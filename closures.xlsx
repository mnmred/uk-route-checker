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52" documentId="8_{B0C3515D-58F0-4261-AEBA-F700DFF01DE5}" xr6:coauthVersionLast="47" xr6:coauthVersionMax="47" xr10:uidLastSave="{BA039130-FCC7-4483-A7B7-812BA97BDAAD}"/>
  <bookViews>
    <workbookView xWindow="28680" yWindow="-120" windowWidth="29040" windowHeight="15720" activeTab="2" xr2:uid="{7542C0CA-4226-42B8-BE97-758C7839391A}"/>
  </bookViews>
  <sheets>
    <sheet name="Front page" sheetId="11" r:id="rId1"/>
    <sheet name="Data Listing" sheetId="4" state="hidden" r:id="rId2"/>
    <sheet name="Friday" sheetId="1" r:id="rId3"/>
    <sheet name="Saturday" sheetId="5" r:id="rId4"/>
    <sheet name="Sunday" sheetId="6" r:id="rId5"/>
    <sheet name="Monday" sheetId="7" r:id="rId6"/>
    <sheet name="Tuesday" sheetId="12" r:id="rId7"/>
    <sheet name="Wednesday" sheetId="9" r:id="rId8"/>
    <sheet name="Thursday" sheetId="10" r:id="rId9"/>
  </sheets>
  <definedNames>
    <definedName name="_xlnm._FilterDatabase" localSheetId="2" hidden="1">Friday!$A$2:$F$168</definedName>
    <definedName name="_xlnm._FilterDatabase" localSheetId="5" hidden="1">Monday!$A$2:$F$179</definedName>
    <definedName name="_xlnm._FilterDatabase" localSheetId="3" hidden="1">Saturday!$A$2:$F$191</definedName>
    <definedName name="_xlnm._FilterDatabase" localSheetId="4" hidden="1">Sunday!$A$2:$F$178</definedName>
    <definedName name="_xlnm._FilterDatabase" localSheetId="8" hidden="1">Thursday!$A$2:$F$82</definedName>
    <definedName name="_xlnm._FilterDatabase" localSheetId="6" hidden="1">Tuesday!$A$2:$F$190</definedName>
    <definedName name="_xlnm._FilterDatabase" localSheetId="7" hidden="1">Wednesday!$A$2:$F$87</definedName>
    <definedName name="Direction">'Data Listing'!$A$1:$A$7</definedName>
    <definedName name="_xlnm.Print_Area" localSheetId="2">Friday!$A:$F</definedName>
    <definedName name="_xlnm.Print_Titles" localSheetId="2">Friday!$1:$1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<sst xmlns="http://schemas.openxmlformats.org/spreadsheetml/2006/main" count="5289" uniqueCount="1055">
  <si>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</si>
  <si>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</si>
  <si>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</si>
  <si>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</si>
  <si>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</si>
  <si>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</si>
  <si>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</si>
  <si>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</si>
  <si>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</si>
  <si>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</si>
  <si>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</si>
  <si>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</si>
  <si>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</si>
  <si>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</si>
  <si>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</si>
  <si>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</si>
  <si>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</si>
  <si>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A12</t>
  </si>
  <si>
    <t>A12 southbound Jct 25 to 23 carriageway closure</t>
  </si>
  <si>
    <t>Overall Scheme Details: A12 both directions
 Jct 19 Boreham to 25 Marks Tey - carriageway closure for carriageway - reconstruction renewal on behalf of National Highways</t>
  </si>
  <si>
    <t>A47</t>
  </si>
  <si>
    <t>A47 eastbound Jct 20 Dogsthorpe to A16 roundabout carriageway closure</t>
  </si>
  <si>
    <t>Overall Scheme Details: A47 eastbound 
Jct 17 to Eye Green Roundabout - Lane closure, carriageway closure and diversion route for carriageway - reconstruction/renewal on behalf of National Highways</t>
  </si>
  <si>
    <t>A47 eastbound Littlewood roundabout to Welland road roundabout carriageway closure</t>
  </si>
  <si>
    <t>A1</t>
  </si>
  <si>
    <t>A1 northbound Jct 17 Stibbington to A47 carriageway closure</t>
  </si>
  <si>
    <t>Overall Scheme Details: A1 northbound
Jct 17 Stibbington to A47 - carriageway closure and diversion route for drainage on behalf of National Highways</t>
  </si>
  <si>
    <t>M11</t>
  </si>
  <si>
    <t>M11 northbound Jct 9 to A11/A505 Jct carriageway closure</t>
  </si>
  <si>
    <t>Overall Scheme Details: M11 both directions 
Jct 9 to A11 A505 Jct - carriageway closure for carriageway - reconstruction/renewal on behalf of National Highways</t>
  </si>
  <si>
    <t>A12 northbound Heybridge entry slip road - carriageway closure</t>
  </si>
  <si>
    <t>Overall Scheme Details: A12 northbound
Heybridge entry slip road - carriageway closure on behalf of Essex County Council</t>
  </si>
  <si>
    <t>A12 southbound Jct 15 exit slip road - carriageway closure</t>
  </si>
  <si>
    <t>Overall Scheme Details: A12 southbound
Jct 15 exit slip road - carriageway closure on behalf of Essex County Council</t>
  </si>
  <si>
    <t>A1 northbound Wansford entry slip road closure</t>
  </si>
  <si>
    <t>Overall Scheme Details: A1 northbound 
Wansford to Wothorpe - carriageway closure, lane closure, speed restrictions and diversion route for carriageway - reconstruction/renewal on behalf of National Highways</t>
  </si>
  <si>
    <t>A12 southbound Jct 28 to Jct 27 carriageway closure</t>
  </si>
  <si>
    <t>Overall Scheme Details: A12 southbound 
Jct 28 to Jct 27 - carriageway closure for carriageway - reconstruction/renewal on behalf of National Highways</t>
  </si>
  <si>
    <t>A14</t>
  </si>
  <si>
    <t>A14 westbound Jct 58a to Jct 58 carriageway closure</t>
  </si>
  <si>
    <t>Overall Scheme Details: A14 westbound 
Jct 58a to Jct 58 - carriageway closure for electrical works on behalf of National Highways</t>
  </si>
  <si>
    <t>A14 westbound Jct 53 exit slip road closure</t>
  </si>
  <si>
    <t>Overall Scheme Details: A14 westbound 
Jct 53 - carriageway closure for carriageway - reconstruction/renewal on behalf of National Highways</t>
  </si>
  <si>
    <t>A14 westbound Jct 53 entry slip road closure</t>
  </si>
  <si>
    <t>Both directions</t>
  </si>
  <si>
    <t>A1 both directions Black Cat roundabout - North quadrant closure</t>
  </si>
  <si>
    <t>Overall Scheme Details: A1 both directions
Black Cat roundabout - North quadrant closure for bypass construction on behalf of National Highways</t>
  </si>
  <si>
    <t>A1(M)</t>
  </si>
  <si>
    <t>A1(M) northbound Jct 9 exit slip road closure</t>
  </si>
  <si>
    <t>Overall Scheme Details: A1(M) northbound
Jct 8 to Jct 9 - exit slip road closure, hard shoulder closure, lane closure and diversion route due to electrical works on behalf of National Highways</t>
  </si>
  <si>
    <t>A14 westbound Jct 21 exit slip road closure</t>
  </si>
  <si>
    <t>Overall Scheme Details: A14 both directions 
Ellington to Jct 21 - carriageway closure for communications on behalf of National Highways</t>
  </si>
  <si>
    <t>A14 eastbound Jct 21 entry slip road closure</t>
  </si>
  <si>
    <t>A11</t>
  </si>
  <si>
    <t>A11 southbound Balsham exit slip road closure</t>
  </si>
  <si>
    <t>Overall Scheme Details: A11 both directions 
Balsham - carriageway closure for drainage on behalf of National Highways</t>
  </si>
  <si>
    <t>A11 southbound Balsham entry slip road closure</t>
  </si>
  <si>
    <t>M11 southbound Jct 11 carriageway closure between the exit and entry slip roads</t>
  </si>
  <si>
    <t>Overall Scheme Details: M11 southbound
Jct 11 between exit and entry slips - carriageway closure for carriageway - reconstruction/renewal on behalf of National Highways</t>
  </si>
  <si>
    <t>A1M northbound Jct 15 exit slip road closure</t>
  </si>
  <si>
    <t>Overall Scheme Details: A1M northbound
Jct 15 Sawtry - exit slip road carriageway closure for barrier/fence safety repairs on behalf of National Highways</t>
  </si>
  <si>
    <t>M40</t>
  </si>
  <si>
    <t>M40 Northbound, Jct 6 to Jct 9 Carriageway Closure</t>
  </si>
  <si>
    <t xml:space="preserve">Overall Scheme Details: M40 Northbound, 
Jct 6 to Jct 9 Lane Closures, carriageway closure and Diversion route for maintenance works. 
Diversion Via local Authority Road </t>
  </si>
  <si>
    <t>M40 Northbound, Jct 7 Entry Slip Road Closure</t>
  </si>
  <si>
    <t>M40 Northbound, Jct 8 Exit Slip Road Closure</t>
  </si>
  <si>
    <t>M40 Northbound, Jct 8a Exit slip road Closure</t>
  </si>
  <si>
    <t>M40 Northbound, Jct 8a Entry Slip road Closure</t>
  </si>
  <si>
    <t>M40 Northbound, Jct 9 Exit Slip Road Closure</t>
  </si>
  <si>
    <t>M40 Northbound, Jct 3, Exit slip road closure.</t>
  </si>
  <si>
    <t>Overall Scheme Details: M40 Northbound, Jct 2 to Jct 3.
Lane closures, slip road closure and diversion route for maintenance works.
Diversion route via national highways and local authority networks.</t>
  </si>
  <si>
    <t>A45</t>
  </si>
  <si>
    <t>A45 southbound Knuston entry slip road closure</t>
  </si>
  <si>
    <t>Overall Scheme Details: A45 northbound and southbound Earls Barton to Higham Ferrers
Slip road, layby and lane closures for horticultural works
Diversion via National Highways network and local authority network</t>
  </si>
  <si>
    <t>A45 southbound Wellingborough exit slip road closure</t>
  </si>
  <si>
    <t>M1</t>
  </si>
  <si>
    <t>M1 southbound Jct 25 exit slip road closure</t>
  </si>
  <si>
    <t xml:space="preserve">Overall Scheme Details: M1 northbound and southbound,  Jct 24 to Trowell.
Slip road, lane and lay-by closures due to maintenance works.
Diversion route via National Highways network and local authority network. </t>
  </si>
  <si>
    <t>A14 westbound layby closure</t>
  </si>
  <si>
    <t>Overall Scheme Details: A14 eastbound and westbound Jct 2 to Jct 8.
Carriageway, slip road, layby and lane closures due to maintenance works.
Diversion via National Highways and local authority network.</t>
  </si>
  <si>
    <t>A14 westbound Jct 8 to Jct 3 carriageway closure</t>
  </si>
  <si>
    <t>A14 westbound Jct 8 entry slip road closure</t>
  </si>
  <si>
    <t>A14 westbound Jct 7 exit slip road closure</t>
  </si>
  <si>
    <t>A14 westbound Jct 7 entry slip road closure</t>
  </si>
  <si>
    <t>A14 westbound Jct 6 exit slip road closure</t>
  </si>
  <si>
    <t>A14 westbound Jct 6 entry slip road closure</t>
  </si>
  <si>
    <t>A14 westbound Jct 5 exit and entry slip road closure</t>
  </si>
  <si>
    <t>A38</t>
  </si>
  <si>
    <t>A38 northbound Findern exit slip road closure</t>
  </si>
  <si>
    <t>Overall Scheme Details: A38 northbound and southbound Kingsway Roundabout to Toyota Island
Carriageway, slip road and lane closure due to maintenance works
Diversion via National Highways network and local authority network</t>
  </si>
  <si>
    <t>A38 northbound Toyota entry slip road closure</t>
  </si>
  <si>
    <t>A38 northbound Findern entry slip road closure</t>
  </si>
  <si>
    <t>A38 northbound Toyota to Mickleover carriageway closure</t>
  </si>
  <si>
    <t>A46</t>
  </si>
  <si>
    <t>A46 Swinderby Layby closure northbound</t>
  </si>
  <si>
    <t>Overall Scheme Details: A46 northbound and southbound Brough to Swinderby
Gap closure, layby closure diversion route with speed restriction and temporary event signs for The Lost Village event</t>
  </si>
  <si>
    <t>A46 Swinderby Layby closure southbound</t>
  </si>
  <si>
    <t>A1 southbound Balderton to Barrowby carriageway closure</t>
  </si>
  <si>
    <t>Overall Scheme Details: A1 southbound Newark to Barrowby
Carriageway, slip road, layby and lane closure due to maintenance works
Diversion via National Highways network and local authority network</t>
  </si>
  <si>
    <t>A1 southbound Barrowby exit slip road closure</t>
  </si>
  <si>
    <t>A1 southbound Gonerby Moor exit slip road closure</t>
  </si>
  <si>
    <t>A1 southbound Gonerby Moor entry slip road closure</t>
  </si>
  <si>
    <t>A1 southbound Long Bennington entry slip road closure</t>
  </si>
  <si>
    <t>A1 southbound layby closure</t>
  </si>
  <si>
    <t>M1 southbound Jct 28 exit slip road closure</t>
  </si>
  <si>
    <t>Overall Scheme Details: M1 southbound Jct 28 to Jct 27
Slip road and lane closure due to maintenance works
Diversion via National Highways network and local authority network</t>
  </si>
  <si>
    <t>M1 southbound Jct 28 entry slip road closure</t>
  </si>
  <si>
    <t>M1 southbound Jct 29a entry slip road closure</t>
  </si>
  <si>
    <t>Overall Scheme Details: M1 southbound Jct 29a to Jct 29.
Lane closure for maintenance works.</t>
  </si>
  <si>
    <t>M62</t>
  </si>
  <si>
    <t>M62 eastbound Jct 22 to Jct 24 carriageway closure</t>
  </si>
  <si>
    <t>Overall Scheme Details: M62 eastbound and westbound Jct 21 to Jct 24
Carriageway and lane closures for structure works.
Diversion A672 A58 A646 A629 M62</t>
  </si>
  <si>
    <t>M62 eastbound Jct 22 entry slip road closure</t>
  </si>
  <si>
    <t>M62 eastbound Jct 23 exit slip road closure</t>
  </si>
  <si>
    <t>M62 eastbound Jct 24 exit slip road closure</t>
  </si>
  <si>
    <t>M62 westbound Jct 24 to Jct 22 carriageway closure</t>
  </si>
  <si>
    <t>M62 westbound Jct 24 entry slip road closure</t>
  </si>
  <si>
    <t>M62 westbound Jct 23 entry slip road closure</t>
  </si>
  <si>
    <t>M62 westbound Jct 22 exit slip road closure</t>
  </si>
  <si>
    <t>M180</t>
  </si>
  <si>
    <t>M180 eastbound Jct 2 to Jct 3 carriageway closure</t>
  </si>
  <si>
    <t xml:space="preserve">Overall Scheme Details: M180 eastbound and westbound Jct 1 to Jct 3 M18 southbound Jct 5, M181 southbound Frodingham 
Carriageway and lane closures for carriageway improvement works.
Diversion via M180, A15 and A18.
</t>
  </si>
  <si>
    <t>M180 eastbound Jct 2 entry slip road closure</t>
  </si>
  <si>
    <t>M180 eastbound Jct 3 exit slip road closure</t>
  </si>
  <si>
    <t>M62 eastbound Jct 29 exit slip road closure</t>
  </si>
  <si>
    <t>Overall Scheme Details: M62 eastbound Jct 28 to Jct 30
Slip road and lane closures for general cleaning and maintenance
Diversion via M62</t>
  </si>
  <si>
    <t>M62 eastbound Jct 29 exit to M1 northbound Jct 42 link road closure</t>
  </si>
  <si>
    <t>M62 westbound Jct 33 entry slip road closure</t>
  </si>
  <si>
    <t>Overall Scheme Details: M62 westbound Jct 34 to Jct 32 
Slip road and lane closures for general cleaning and maintenance works 
diversion via M62</t>
  </si>
  <si>
    <t>M62 westbound Jct 33 exit slip road closure</t>
  </si>
  <si>
    <t>M62 westbound Jct 35 to M18 southbound Jct 7, carriageway closure</t>
  </si>
  <si>
    <t>Overall Scheme Details: M62 eastbound and westbound Jct 34 to Jct 36, M18 northbound and southbound Jct 7
Carriageway closure and lane closures for carriageway repairs
Diversion M62 A614 A19 M18</t>
  </si>
  <si>
    <t>M62 eastbound Jct 35 to M18 southbound Jct 7 carriageway closure</t>
  </si>
  <si>
    <t>M18</t>
  </si>
  <si>
    <t>M18 southbound Jct 7 to Jct 6, carriageway closure</t>
  </si>
  <si>
    <t>M18 southbound Jct 6 exit slip road closure</t>
  </si>
  <si>
    <t>M1 northbound Jct 35 entry slip road closure</t>
  </si>
  <si>
    <t>Overall Scheme Details: M1 northbound Jct 34 to Jct 36
Slip road and lane closures for general cleaning and maintenance works 
diversion via M1 A61 A616</t>
  </si>
  <si>
    <t>M1 northbound Jct 35a exit slip road closure</t>
  </si>
  <si>
    <t>M1 northbound Jct 35 exit slip road closure</t>
  </si>
  <si>
    <t>M606</t>
  </si>
  <si>
    <t>M606 southbound Jct 3 to Jct 26, carraigeway closure</t>
  </si>
  <si>
    <t>Overall Scheme Details: M62 eastbound Jct 25 to Jct 26 M606 northbound and southbound Jct 26 to Jct 3
Carriageway closure and Lane closures for general cleaning and maintenance 
Diversion M62 A650</t>
  </si>
  <si>
    <t>M606 southbound Jct 3 entry slip road closure</t>
  </si>
  <si>
    <t>M606 southbound Jct 2 exit slip road closure</t>
  </si>
  <si>
    <t>M606 southbound Jct 26 to M62 eastbound Jct 26, link road closure</t>
  </si>
  <si>
    <t>M606 southbound Jct 26 exit slip road closure</t>
  </si>
  <si>
    <t>M606 southbound Jct 2 entry slip road closure</t>
  </si>
  <si>
    <t>A63</t>
  </si>
  <si>
    <t>A63 westbound North cave exit slip road closure</t>
  </si>
  <si>
    <t>Overall Scheme Details: A63 westbound Jct 38 .
Slip road and lane closure for electrical works.
Diversion M62 A614</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</si>
  <si>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</si>
  <si>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</si>
  <si>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</si>
  <si>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</si>
  <si>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 westbound Jct 30 carriageway closure between exit and entry slip</t>
  </si>
  <si>
    <t xml:space="preserve">Overall Scheme Details: M62 westbound Jct 30 
Carriageway closure for technology works
Diversion via M62 </t>
  </si>
  <si>
    <t>M1 northbound Jct 40 entry slip road closure</t>
  </si>
  <si>
    <t>Overall Scheme Details: M1 northbound Jct 41 to Jct 42 
Slip road closure and lane closures for technology works
Diversion A638 M1 A636</t>
  </si>
  <si>
    <t>A1M southbound Jct 36 exit slip road closure</t>
  </si>
  <si>
    <t>Overall Scheme Details: A1M northbound and southbound Jct 35 to Jct 36 
Slip road and lane closure on behalf of City of Doncaster Council 
Diversion via A1M</t>
  </si>
  <si>
    <t>A64</t>
  </si>
  <si>
    <t>A64 Hopgrove roundabout closure</t>
  </si>
  <si>
    <t>Overall Scheme Details: A64 eastbound and westbound Hopgrove to Grimston 
carriageway and lane closure for carriageway improvements 
Diversion via A64 A1237 A1036</t>
  </si>
  <si>
    <t>A1M Jct 61 to Jct 63 Northbound Carriageway Closure (C)</t>
  </si>
  <si>
    <t>Overall Scheme Details: A1M Northbound and Southbound Jct 61 to Jct 63
Carriageway Closure for Carriageway Reconstruction Works</t>
  </si>
  <si>
    <t>A1M Jct 61 Northbound Entry Slip Road Closure</t>
  </si>
  <si>
    <t>A1M Jct 62 Northbound Exit Slip Road Closure</t>
  </si>
  <si>
    <t>A1M Jct 63 Northbound Exit Slip Road Closure (C)</t>
  </si>
  <si>
    <t>A1M Jct 62 Northbound Entry Slip Road Closure (C)</t>
  </si>
  <si>
    <t>A66</t>
  </si>
  <si>
    <t>A66 Elton eastbound entry slip road closure</t>
  </si>
  <si>
    <t>Overall Scheme Details: A66 eastbound and westbound Long Newton to Boathouse
Carriageway closures, 40mph speed restriction, lane closures and 24/7 layby closures with diversion route for Renewal of Barrier</t>
  </si>
  <si>
    <t>A66 Yarm Road eastbound exit slip road closure</t>
  </si>
  <si>
    <t>A66 Yarm Road eastbound entry slip road closure</t>
  </si>
  <si>
    <t>A66 Boathouse eastbound exit slip road closure</t>
  </si>
  <si>
    <t>A1 Jct 76 northbound entry slip road closure</t>
  </si>
  <si>
    <t xml:space="preserve">Overall Scheme Details: A1 northbound and southbound Jct 75 to Jct 78
Entry slip road closure for horticulture works  </t>
  </si>
  <si>
    <t>A1 Stannington Interchange Southbound exit slip road closure</t>
  </si>
  <si>
    <t>Overall Scheme Details: A1 northbound and southbound Stannington Interchange
Carriageway closure for Horticultural works</t>
  </si>
  <si>
    <t>A1 Stannington Interchange Southbound entry slip road closure</t>
  </si>
  <si>
    <t>A1M Jct 51 Int. southbound exit slip road closure</t>
  </si>
  <si>
    <t>Overall Scheme Details: A1M northbound and southbound Jct 51
Carriageway closure for drainage work</t>
  </si>
  <si>
    <t>A1M Jct 51 Int. southbound entry slip road closure</t>
  </si>
  <si>
    <t>A19</t>
  </si>
  <si>
    <t>A19 southbound A1046 Portrack to A66 Stockton Road Interchange including exit and entry slip roads carriageway closure</t>
  </si>
  <si>
    <t>Overall Scheme Details: A19 north and southbound Tees Viaduct (A1046 Portrack to A66 Stockton Road Interchange)
Carriageway closures and lane closures for maintenance works</t>
  </si>
  <si>
    <t>A19 northbound A66 Stockton Road to A1046 Portrack Interchange including exit and entry slip roads carriageway closure</t>
  </si>
  <si>
    <t>A19 southbound A174 Parkway to A67 Crathorne Interchange carriageway closure including slip roads</t>
  </si>
  <si>
    <t>Overall Scheme Details: A19 southbound A174 Parkway to A67 Crathorne Interchange carriageway closure including slip roads for maintenance work</t>
  </si>
  <si>
    <t>A19 Northbound Entry Slip Road Closure from A179 Sheraton.</t>
  </si>
  <si>
    <t>Overall Scheme Details: A19 Northbound Entry Slip Road Closure from A179 Sheraton.</t>
  </si>
  <si>
    <t>M57</t>
  </si>
  <si>
    <t>M57 Southbound Jct 1 exit slip road closure</t>
  </si>
  <si>
    <t xml:space="preserve">Overall Scheme Details: M57 southbound J1 exit slip to Tarbuck Island carriageway closure due to works by Knowsley Council </t>
  </si>
  <si>
    <t>M53</t>
  </si>
  <si>
    <t>M53 Southbound Jct 7 to 10 Carriageway Closure</t>
  </si>
  <si>
    <t xml:space="preserve">Overall Scheme Details: M53 both directions J7 to J9 - carriageway closure for carriageway - reconstruction/renewal </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</si>
  <si>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</si>
  <si>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</si>
  <si>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</si>
  <si>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</si>
  <si>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</si>
  <si>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</si>
  <si>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M61</t>
  </si>
  <si>
    <t>M61 Northbound Jct 4 exit slip road closure</t>
  </si>
  <si>
    <t>Overall Scheme Details: M61 northbound M61Nb  Jnc 4  to M61Nb Jnc 5 - carriageway closure for carriageway - reconstruction/renewal on behalf of National Highways</t>
  </si>
  <si>
    <t>M65</t>
  </si>
  <si>
    <t>M65 Westbound Jct 5 entry slip road closure</t>
  </si>
  <si>
    <t>Overall Scheme Details: M65 Eastbound and Westbound Jct 5 due to improvement works on verge for Blackburn with Darwen Borough Council</t>
  </si>
  <si>
    <t>M65 Westbound Jct 5 exit slip road closure</t>
  </si>
  <si>
    <t>M6</t>
  </si>
  <si>
    <t>M6 Southbound Jct 20 entry to M56 links closure</t>
  </si>
  <si>
    <t>Overall Scheme Details: M6 southbound J20 to J20 - carriageway closure for drainage on behalf of National Highways</t>
  </si>
  <si>
    <t>M6 southbound Jct 20 link to M56 Westbound closure</t>
  </si>
  <si>
    <t>A56</t>
  </si>
  <si>
    <t>A56 Southbound Bent Gate exit slip road closure</t>
  </si>
  <si>
    <t xml:space="preserve">Overall Scheme Details: A56 Southbound Bent Gate exit slip road closure due to works on roundabout by United Utilities </t>
  </si>
  <si>
    <t>M62 Eastbound Jct 11 exit slip road closure</t>
  </si>
  <si>
    <t>Overall Scheme Details: M62 both directions J10 to J12 - carriageway closure for construction improvement/upgrade on behalf of National Highways</t>
  </si>
  <si>
    <t>M62 Westbound Jct 11 exit slip road closure</t>
  </si>
  <si>
    <t>M56</t>
  </si>
  <si>
    <t>M56 Westbound Jct 7 to 9 carriageway closure</t>
  </si>
  <si>
    <t>Overall Scheme Details: M56 both directions jct 6 to 7 - lane closure and slip road closures for carriageway - reconstruction/renewal on behalf of National Highways</t>
  </si>
  <si>
    <t>M56 Westbound Jct 8 entry slip road closure</t>
  </si>
  <si>
    <t>M56 Westbound to M6 Northbound link road closure</t>
  </si>
  <si>
    <t>M58</t>
  </si>
  <si>
    <t>M58 westbound jct 1 to Switch Island carriageway closure</t>
  </si>
  <si>
    <t>Overall Scheme Details: M58 westbound M58 to Switch Island - carriageway closure for carriageway - reconstruction/renewal on behalf of National Highways</t>
  </si>
  <si>
    <t>M58 westbound jct 1 entry slip road closure</t>
  </si>
  <si>
    <t>A663</t>
  </si>
  <si>
    <t>A663 southbound Hollinwood Ave to Trevor Dr carriageway closure</t>
  </si>
  <si>
    <t>Overall Scheme Details: A663 both directions Mough Lane, Manchester to Barlea Avenue, Manchester - multiway signals for lha works on behalf of Manchester City Council</t>
  </si>
  <si>
    <t>M62 Westbound Jct 7 entry slip road closure</t>
  </si>
  <si>
    <t>Overall Scheme Details: M62 both directions Tarbock to Prescot - carriageway closure for horticulture (cutting and planting) on behalf of National Highways</t>
  </si>
  <si>
    <t>M60</t>
  </si>
  <si>
    <t>M60 clockwise jct 7 exit slip road closure</t>
  </si>
  <si>
    <t xml:space="preserve">Overall Scheme Details: M60 clockwise and anticlockwise jct 7 exit and entry slip road closures due to off network works </t>
  </si>
  <si>
    <t>M60 clockwise jct 7 entry slip road closure</t>
  </si>
  <si>
    <t>M60 anticlockwise jct 7 exit slip road closure</t>
  </si>
  <si>
    <t>M60 anticlockwise jct 7 entry slip road closure</t>
  </si>
  <si>
    <t>M57 northbound jct 4 carriageway closure between exit and entry slip roads</t>
  </si>
  <si>
    <t>Overall Scheme Details: M57 northbound J3 to J5 - carriageway closure for structure - maintenance on behalf of National Highways</t>
  </si>
  <si>
    <t>M56 westbound J14 exit slip road closure</t>
  </si>
  <si>
    <t>Overall Scheme Details: M56 westbound J12 to J14 - carriageway closure for electrical works on behalf of National Highways</t>
  </si>
  <si>
    <t>M56 Eastbound Jct 2 entry slip road closure</t>
  </si>
  <si>
    <t>Overall Scheme Details: M56 both directions J1 to J3 - carriageway closure for carriageway - reconstruction/renewal on behalf of National Highways</t>
  </si>
  <si>
    <t>M60 clockwise Jct 19 exit slip road closure</t>
  </si>
  <si>
    <t>Overall Scheme Details: M60 both directions Jct 16  to Jct 19 - carriageway closure for construction improvement/upgrade on behalf of National Highways</t>
  </si>
  <si>
    <t>M60 Clockwise Jct 18 entry slip road closure</t>
  </si>
  <si>
    <t>M62 Westbound to M60 Clockwise link road road</t>
  </si>
  <si>
    <t>M60 Clockwise Junction 18 to 19 Carriageway Closure</t>
  </si>
  <si>
    <t>M65 Westbound to M61 Southbound dedicated lane closure</t>
  </si>
  <si>
    <t>Overall Scheme Details: M61 Southbound Jct  9 - Carriageway Closure for Horticulture (Cutting and Planting) on behalf of Amey</t>
  </si>
  <si>
    <t>M61 Southbound Jct 9 entry slip road closure</t>
  </si>
  <si>
    <t>M58 eastbound jct 4 entry slip road closure</t>
  </si>
  <si>
    <t>Overall Scheme Details: M58 both directions Orrell Island to Orrell Island - carriageway closure for horticulture (cutting and planting) on behalf of National Highways</t>
  </si>
  <si>
    <t>M58 Eastbound Jct 4 to 6 carriageway closure</t>
  </si>
  <si>
    <t>M58 Eastbound Jct 5 entry slip road closures</t>
  </si>
  <si>
    <t>M58 Eastbound Jct 5 exit slip road closure</t>
  </si>
  <si>
    <t>M6 Northbound Jct 26 exit slip road closure</t>
  </si>
  <si>
    <t>M6 Southbound Jct 26 exit slip road closure</t>
  </si>
  <si>
    <t>A577</t>
  </si>
  <si>
    <t>A577 Eastbound and Westbound link road closure</t>
  </si>
  <si>
    <t>M6 Southbound Jct 44 Exit slip road closure</t>
  </si>
  <si>
    <t xml:space="preserve">Overall Scheme Details: M6 Southbound Scotland Border to Jct 44 
Carriageway closure for carriageway - reconstruction/renewal </t>
  </si>
  <si>
    <t>M6 Northbound Jct 32 carriageway closure (Mp 356/0 - 356/6)</t>
  </si>
  <si>
    <t>Overall Scheme Details: M6 Northbound Junction 31A to Junction 32
Lane 3 closure for carriageway - reconstruction/renewal</t>
  </si>
  <si>
    <t>M3</t>
  </si>
  <si>
    <t>M3 northbound Jct 9 entry slip road closure</t>
  </si>
  <si>
    <t>Overall Scheme Details: M3 and A34 both directions Jct 9.
Narrow lanes and 24/7 lane closure for major improvement work.</t>
  </si>
  <si>
    <t>A3</t>
  </si>
  <si>
    <t>A3 northbound Hazel Grove entry slip road closure</t>
  </si>
  <si>
    <t xml:space="preserve">Overall Scheme Details: A3 both directions Hindhead Tunnel.
Contraflow for tunnel maintenance. 
</t>
  </si>
  <si>
    <t>A34</t>
  </si>
  <si>
    <t>A34 northbound Marcham to Abingdon carriageway closure</t>
  </si>
  <si>
    <t>Overall Scheme Details: A34 northbound Marcham to Abingdon.
Carriageway closure for barrier work.</t>
  </si>
  <si>
    <t>M27</t>
  </si>
  <si>
    <t>M27 westbound Jct 10 exit slip road closure</t>
  </si>
  <si>
    <t xml:space="preserve">Overall Scheme Details: M27 both directions Jct 10
Slip and lane closures for Hampshire County Council </t>
  </si>
  <si>
    <t>M4</t>
  </si>
  <si>
    <t>M4 westbound Jct 5 entry slip road closure</t>
  </si>
  <si>
    <t>Overall Scheme Details: M4 both directions Jct 5.
Slip road and lane closure resurfacing work.</t>
  </si>
  <si>
    <t>A303</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</si>
  <si>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</si>
  <si>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</si>
  <si>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</si>
  <si>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A3 both directions Queen Elizabeth Country Park link road closure</t>
  </si>
  <si>
    <t>Overall Scheme Details: A3 both directions QECP.
Slip road and lane closure for drainage work.</t>
  </si>
  <si>
    <t>A3 southbound Hogs Back between the slips carriageway closure</t>
  </si>
  <si>
    <t>Overall Scheme Details: A3 both directions Hogs Back to Hazel Grove.
Carriageway and lane closures for resurfacing work.</t>
  </si>
  <si>
    <t>A3 southbound Thursley to Hazel Grove carriageway closure</t>
  </si>
  <si>
    <t>A3 northbound Longmoor between exit and entry slip road carriageway closure</t>
  </si>
  <si>
    <t>A3 northbound Hazel Grove to Thursley carriageway closure</t>
  </si>
  <si>
    <t>A21</t>
  </si>
  <si>
    <t>A21 both directions Johns Cross roundabout to Northbridge Street roundabout carriageway closure</t>
  </si>
  <si>
    <t xml:space="preserve">Overall Scheme Details: A21 both directions Northbridge Street roundabout to Johns Cross roundabout,
Carriageway closure for surface works </t>
  </si>
  <si>
    <t>A2</t>
  </si>
  <si>
    <t>A2 westbound Marling Cross exit slip road closure</t>
  </si>
  <si>
    <t>Overall Scheme Details: A2 both directions Wrotham to M2 Jct 2
slip road and lane closure for survey works</t>
  </si>
  <si>
    <t>M20</t>
  </si>
  <si>
    <t>M20 eastbound jct 7 to jct 9 carriageway closure - diversion  A249/M2/A2/A20/M20</t>
  </si>
  <si>
    <t>Overall Scheme Details: M20 both directions junction 7 to junction 9
carriageway and lane closures for construction works</t>
  </si>
  <si>
    <t>M20 westbound Jct 9 to Jct 8 carriageway closure - Diversion via M20/A20/A2/M2/A229</t>
  </si>
  <si>
    <t>M2</t>
  </si>
  <si>
    <t>M2 eastbound Jct 3 entry slip road closure</t>
  </si>
  <si>
    <t>Overall Scheme Details: M2 both directions Jct 2 to Jct 4
slip road and lane closures for surface works</t>
  </si>
  <si>
    <t>A27</t>
  </si>
  <si>
    <t>A27 eastbound Portfield  to Fontwell West carriageway closure</t>
  </si>
  <si>
    <t>Overall Scheme Details: A27 both directions Chichester to Fontwell
carriageway and lane closures for resurfacing works</t>
  </si>
  <si>
    <t>A23</t>
  </si>
  <si>
    <t>A23 northbound Hickstead exit slip road closure</t>
  </si>
  <si>
    <t>Overall Scheme Details: A23 northbound Sayers Common to Hickstead 
slip road and lane closure for electrical works.</t>
  </si>
  <si>
    <t>A249</t>
  </si>
  <si>
    <t>A249 Sheppey Crossing northbound and southbound carriageway closure</t>
  </si>
  <si>
    <t xml:space="preserve">Overall Scheme Details: A249 Stockbury roundabout to Queenborough northbound and southbound  lane closures for centre reservation maintenance works. 
Diversion via Local Authority network </t>
  </si>
  <si>
    <t>M25</t>
  </si>
  <si>
    <t>M25 Anti-Clockwise Jct 20 to Jct 18 carriageway closure</t>
  </si>
  <si>
    <t>Overall Scheme Details: M25 Anti-Clockwise Jct 20 to Jct 18  
Carriageway and slip road Closure for cyclical maintenance. 
Diversion viaLocal Authorities Network</t>
  </si>
  <si>
    <t>A282</t>
  </si>
  <si>
    <t>A282 Northbound Dartford Crossing West Tunnel closure</t>
  </si>
  <si>
    <t>Overall Scheme Details: A282 Northbound Dartford Crossing West Tunnel
Tunnel closure for maintenance works
Diversion via National Highways Network</t>
  </si>
  <si>
    <t>M3 Eastbound Jct 2 exit slip road closure</t>
  </si>
  <si>
    <t xml:space="preserve">Overall Scheme Details: M25 Anticlockwise Jct 13 to Jct 11
Carriageway and link road closures for resurfacing works, 
Diversion via local authorities </t>
  </si>
  <si>
    <t>M25 Anticlockwise Jct 13 to Jct 11 Carriageway Closure</t>
  </si>
  <si>
    <t>M25 Clockwise Jct 22 to Jct 23 Carriageway closure</t>
  </si>
  <si>
    <t>Overall Scheme Details: M25 Clockwise Jct 22 to Jct 23 
Carriageway and Lane closure for surfacing works. 
Diversion via National Highways and Local Authorities Network</t>
  </si>
  <si>
    <t>M25 Clockwise Jct 25 to Jct 26 carriageway closure</t>
  </si>
  <si>
    <t>Overall Scheme Details: M25 Clockwise Jct 25 to Jct 26 
Carriageway and lane closure for tunnel works
Diversion via Local Authorities and National Highways Network</t>
  </si>
  <si>
    <t>M20 Westbound Jct 3 to Jct 1 carriageway closure</t>
  </si>
  <si>
    <t>Overall Scheme Details: M20 Westbound Jct 3 to Jct 1
Carriageway and lane closure for joint investigations work
Diversion via Local Authority and National Highway network</t>
  </si>
  <si>
    <t>M25 Anti-clockwise Jct 26 to Jct 25 carriageway closure</t>
  </si>
  <si>
    <t>Overall Scheme Details: M25 Anti-clockwise Jct 26 to Jct 25
Carriageway, slip road and lane closure for carriageway repairs 
Diversion via Local Authorities and National Highways network</t>
  </si>
  <si>
    <t>M25 Anti-clockwise Jct 2 to A2 Westbound Darenth Interchange link road closure</t>
  </si>
  <si>
    <t>Overall Scheme Details: M25 Jct 2 Roundabout and Approaches
Lane and link road closure for investigations
Diversion via National Highways Network</t>
  </si>
  <si>
    <t>A3 Northbound Wisley carriageway closure between the exit and entry slip road and A3 Northbound Painshill to Esher carriageway closure</t>
  </si>
  <si>
    <t>Overall Scheme Details: A3 Northbound Wisley between the slip roads and A3 Northbound Painshill to Esher
Carriageway, slip road and lane closure for resurfacing and joint renewals
Diversion via Local Authority and National Highway network</t>
  </si>
  <si>
    <t>M25 Anti-Clockwise Jct 16 to M4 Eastbound and Westbound Jct 4B Link Road Closure</t>
  </si>
  <si>
    <t>Overall Scheme Details: M25 Anti-Clockwise Jct 16 to M4 Eastbound and Westbound Jct 4B
Link Road and Lane Closure for Technology works
Diversion via National Highways Network</t>
  </si>
  <si>
    <t>A1089</t>
  </si>
  <si>
    <t>A1089 Southbound Baker Street to Asda Roundabout carriageway closure</t>
  </si>
  <si>
    <t xml:space="preserve">Overall Scheme Details: A1089 Southbound Baker Street to Asda Roundabout 
Carriageway, slip road and lane closure for crossover works 
Diversion via Local Authorities and National Highways Network </t>
  </si>
  <si>
    <t>A13</t>
  </si>
  <si>
    <t>A13 Eastbound to M25 anticlockwise fast link closure</t>
  </si>
  <si>
    <t>Overall Scheme Details: A13 Eastbound Wennington to Mardyke Junction
Slip road and lane closure for urgent pothole repairs
Diversion via Local Authority and National Highways Network</t>
  </si>
  <si>
    <t>M25 anticlockwise Jct30 entry slip road closue</t>
  </si>
  <si>
    <t>M25 Anti-clockwise Jct28 full closure between exit and entry slip</t>
  </si>
  <si>
    <t xml:space="preserve">Overall Scheme Details: M25 Anti-clockwise Jct 28 up and over
Carriageway, slip road and lane closure for urgent safety fence repairs 
Diversion via National Highways Network </t>
  </si>
  <si>
    <t>A30</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</si>
  <si>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</si>
  <si>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</si>
  <si>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</si>
  <si>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</si>
  <si>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</si>
  <si>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</si>
  <si>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</si>
  <si>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A303 both directions Devonshire House to Horton Cross carriageway closure</t>
  </si>
  <si>
    <t xml:space="preserve">Overall Scheme Details: A303 both directions Devonshire House to Horton Cross carriageway closure for maintenance works.
Diversion via A358, A30 and vice versa for eastbound.  </t>
  </si>
  <si>
    <t>A303 both directions A350 Jct to Deptford carriageway closure</t>
  </si>
  <si>
    <t>Overall Scheme Details: A303 both directions A350 Jct to Deptford - carriageway closure for road surface renewal scheme.
Eastbound diversion via, A350 northbound, A36 southbound and rejoin A303 at Deptford.
Westbound diversion via - As above in reverse.</t>
  </si>
  <si>
    <t>M5</t>
  </si>
  <si>
    <t>M5 northbound Jct 21 exit slip closure</t>
  </si>
  <si>
    <t>Overall Scheme Details: M5 northbound Jct 21 exit slip closure, for St Georges Structural Upgrade scheme.
Diversion via M5 northbound to Jct 20 and return northbound</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</si>
  <si>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</si>
  <si>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</si>
  <si>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</si>
  <si>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M5 southbound Jct 13 to 14 - carriageway closed</t>
  </si>
  <si>
    <t>Overall Scheme Details: M5 southbound Jct 13 to 14 - carriageway closure for white lining renewals.
Diversion via A38 southbound</t>
  </si>
  <si>
    <t>M32</t>
  </si>
  <si>
    <t>M32 northbound Jct 3 closed between exit and entry slip road</t>
  </si>
  <si>
    <t xml:space="preserve">Overall Scheme Details: M32 northbound Jct 3 to Jct 2 closed between exit and entry leading to Jct 2 to Jct 1 carriageway closure.
Off and on diversion via - M32 Jct 3 exit and entry slips.
Jct 2 to Jct 1 diversion via - A432 Muller road, A4174 and rejoin M32 at Jct 1.  
</t>
  </si>
  <si>
    <t>M32 northbound Jct 2 to Jct 1 carriageway closure</t>
  </si>
  <si>
    <t>A35</t>
  </si>
  <si>
    <t>A35 Both Directions Stinsford to Bere Regis Full closure</t>
  </si>
  <si>
    <t xml:space="preserve">Overall Scheme Details: A35 Stinsford to Bere Regis - Full Closure - scheme works
</t>
  </si>
  <si>
    <t>A417</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</si>
  <si>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</si>
  <si>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</si>
  <si>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</si>
  <si>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</si>
  <si>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</si>
  <si>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</si>
  <si>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M5 northbound Jct 4 to Jct 3 carriageway closure</t>
  </si>
  <si>
    <t xml:space="preserve">Overall Scheme Details: M5 northbound Jct 4 to Jct 3.
Carriageway closure for maintenance works. 
Diversion via National Highways and local authority network. </t>
  </si>
  <si>
    <t>M6 northbound Jct 6 to Jct 7 carriageway closure</t>
  </si>
  <si>
    <t xml:space="preserve">Overall Scheme Details: M6 both directions Jct 6 to Jct 7. 
Carriageway closure for maintenance works. 
Diversion via National Highways and local authority network. </t>
  </si>
  <si>
    <t>M6 northbound Jct 6 entry link E-B carriageway closure</t>
  </si>
  <si>
    <t>M6 northbound Jct 6 entry link C-A to E-B carriageway closure</t>
  </si>
  <si>
    <t>A38 southbound Streethay exit slip road closure</t>
  </si>
  <si>
    <t xml:space="preserve">Overall Scheme Details: A38 both directions Fradley to Streethay.
Carriageway closure for maintenance works.
Diversion via National Highways and local authority network. </t>
  </si>
  <si>
    <t>A500</t>
  </si>
  <si>
    <t>A500 both directions Campbell Road over bridge carriageway closure</t>
  </si>
  <si>
    <t>Overall Scheme Details: A500 both directions Campbell Road.
Carriageway closure for maintenance works.
Diversion via National Highways and Local Authority network.</t>
  </si>
  <si>
    <t>A46 northbound Binley Jct to M69 Jct 2 carriageway closure</t>
  </si>
  <si>
    <t xml:space="preserve">Overall Scheme Details: A46 both directions A46/M69 Jct to Binley Jct. 
Carriageway closure for maintenance works. 
Diversion via National Highways and local authority network. </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</si>
  <si>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</si>
  <si>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</si>
  <si>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A46 both directions Beckford to Ashton Under Hill carriageway closure</t>
  </si>
  <si>
    <t xml:space="preserve">Overall Scheme Details: A46 both direction Beckford to Ashton under Hill.
Carriageway closures for maintenance works.
Diversion via National Highways and local authority network. </t>
  </si>
  <si>
    <t>A500 northbound Porthill to Tunstall carriageway closure</t>
  </si>
  <si>
    <t>Overall Scheme Details: A500 both directions Tunstall to Wolstanton.
Carriageway closure for maintenance works.
Diversion via National Highways and local authority network.</t>
  </si>
  <si>
    <t>A50</t>
  </si>
  <si>
    <t>A50 Eastbound Catchems to Tean Carriageway Closure</t>
  </si>
  <si>
    <t>Overall Scheme Details: A50 DBFO - Uttoxeter Blythe Bridge Bypass - Eastbound and Westbound - Full Carriageway Closures - Structure Maintenance</t>
  </si>
  <si>
    <t>A50 Eastbound Tean to A522 Carriageway Closure</t>
  </si>
  <si>
    <t>A50 Sawley JCT 1 to A6 JCT 2 Full closure Westbound</t>
  </si>
  <si>
    <t>Overall Scheme Details: A50 DBFO - Derby Southern Bypass - Sawley Junction 1 to A6 Spur junction 2 - Westbound - Full closures - Lining Works</t>
  </si>
  <si>
    <t>M1 Southbound Junction 24A Exit Slip Full Closure</t>
  </si>
  <si>
    <t>A47 both directions A16 roundabout to White Post roundabout carriageway closure</t>
  </si>
  <si>
    <t>A14 westbound Jct 47 entry slip road closure</t>
  </si>
  <si>
    <t>Overall Scheme Details: A14 both directions 
Jct 46 to Jct 47 - carriageway closure for inspection/survey on behalf of National Highways</t>
  </si>
  <si>
    <t>A14 eastbound Jct 47 exit slip road closure</t>
  </si>
  <si>
    <t>A414</t>
  </si>
  <si>
    <t>A414 westbound Park Street roundabout to Breakspear Jct - carriageway closure</t>
  </si>
  <si>
    <t>Overall Scheme Details: A414 both directions
Approaches to Park Street Roundabout - carriageway closure, lane closure, diversion route for S278/bypass works on behalf of Galldris Group</t>
  </si>
  <si>
    <t>A11 northbound Balsham exit slip road closure</t>
  </si>
  <si>
    <t>A11 northbound Balsham entry slip road closure</t>
  </si>
  <si>
    <t>A1 southbound Brampton Hut exit slip road closure</t>
  </si>
  <si>
    <t>Overall Scheme Details: A1 southbound
Brampton Hut Roundabout - exit slip carriageway closure for electrical works on behalf of National Highways</t>
  </si>
  <si>
    <t>M40 Northbound Jct 8a exit slip road closure</t>
  </si>
  <si>
    <t xml:space="preserve">Overall Scheme Details: M40 Northbound.
Jct 7 to Jct 8a Lane closures, slip road closures and diversion route for maintenance works.
Diversion via national highways network
</t>
  </si>
  <si>
    <t>M40 Northbound Jct 8 OX Spur road closure</t>
  </si>
  <si>
    <t>A45 northbound Wellingborough entry slip road closure</t>
  </si>
  <si>
    <t>A45 northbound Knuston exit slip road closure</t>
  </si>
  <si>
    <t>M1 northbound Jct 25 entry slip road closure</t>
  </si>
  <si>
    <t>A38 southbound Findern exit slip road closure</t>
  </si>
  <si>
    <t>A516</t>
  </si>
  <si>
    <t>A516 southbound Mickleover exit slip road closure</t>
  </si>
  <si>
    <t>A516 southbound Royal Derby Hospital entry slip road closure</t>
  </si>
  <si>
    <t>A38 southbound Kingsway to Findern carriageway closure</t>
  </si>
  <si>
    <t>M6 to M1 southbound link road closure</t>
  </si>
  <si>
    <t>Overall Scheme Details: M6 southbound Jct 1 to M1 Jct 19.
Slip road and lane closures due to maintenance works.
Diversion route via National Highways and local authority network.</t>
  </si>
  <si>
    <t>A14 layby closure westbound</t>
  </si>
  <si>
    <t>Overall Scheme Details: A14 westbound Jct 11 to Jct 10.
Layby and lane closures due to maintenance works.</t>
  </si>
  <si>
    <t>A52</t>
  </si>
  <si>
    <t>A52 westbound Clifton over eastbound bridge carriageway closure</t>
  </si>
  <si>
    <t>Overall Scheme Details: A52 westbound Nottingham knight to Clifton bridge.
Carriageway, lay by and lane closures for maintenance works.
Diversion via National Highways and Local Network.</t>
  </si>
  <si>
    <t>A52 westbound Nottingham Knight to Clifton bridge carriageway closure</t>
  </si>
  <si>
    <t>A52 westbound Silverdale exit slip road closure</t>
  </si>
  <si>
    <t>M62 westbound Jct 34 entry slip road closure</t>
  </si>
  <si>
    <t>Overall Scheme Details: M62 westbound Jct 35 to Jct 34.
Slip road and lane closure for general cleaning and maintenance works.
Diversion via M62</t>
  </si>
  <si>
    <t>M62 westbound Jct 34 exit slip road closure</t>
  </si>
  <si>
    <t>M1 northbound Jct 34 exit slip road closure</t>
  </si>
  <si>
    <t xml:space="preserve">Overall Scheme Details: M1 northbound Jct 32 to Jct 35 
Slip road and lane closures for general cleaning and maintenance works
diversion via M1 </t>
  </si>
  <si>
    <t>M1 northbound Jct 34 entry slip road closure</t>
  </si>
  <si>
    <t>M1 northbound Jct 33 exit slip road closure</t>
  </si>
  <si>
    <t>M1 northbound Jct 33 entry slip road closure</t>
  </si>
  <si>
    <t>M621</t>
  </si>
  <si>
    <t>M621 clockwise Jct 27 exit slip road closure</t>
  </si>
  <si>
    <t>M62 eastbound Jct 27 entry slip road closure</t>
  </si>
  <si>
    <t>M62 westbound Jct 30 to Jct 29 carriageway closure</t>
  </si>
  <si>
    <t>Overall Scheme Details: M62 westbound Jct 29.
Carriageway closure and lane closure for technology works.
Diversion via M62</t>
  </si>
  <si>
    <t>A63 westbound Brighton street exit slip road closure</t>
  </si>
  <si>
    <t>Overall Scheme Details: A63 westbound Daltry Street to Brighton Street.
Carriageway and lane closure for electrical works.
Diversion via A63</t>
  </si>
  <si>
    <t>A1(M) southbound Jct 36 entry slip road closure</t>
  </si>
  <si>
    <t>Overall Scheme Details: A1(M) southbound Jct 36
slip road closure for general cleaning and maintenance works 
Diversion via A1(M) A635</t>
  </si>
  <si>
    <t>M18 northbound Jct 3 entry slip road closure</t>
  </si>
  <si>
    <t>Overall Scheme Details: M18 northbound Jct 3 to Jct 4
Slip road closure for barrier repairs
Diversion via M18</t>
  </si>
  <si>
    <t>A1 Stannington Interchange northbound exit slip road closure</t>
  </si>
  <si>
    <t>A1 Stannington Intertchange Northbound entry slip road closure</t>
  </si>
  <si>
    <t>A1M Jct 51 Int. northbound exit slip road closure</t>
  </si>
  <si>
    <t>A1M Jct 51 Int. northbound entry slip road closure</t>
  </si>
  <si>
    <t>M56 Westbound Jct 14 entry slip road closure</t>
  </si>
  <si>
    <t>Overall Scheme Details: M56 both directions J14 to J16 - carriageway closure for carriageway - reconstruction/renewal on behalf of National Highways</t>
  </si>
  <si>
    <t>A663 northbound Heppleton Road to Moston Lane carriageway closure</t>
  </si>
  <si>
    <t>M62 Eastbound Jct 7 exit slip road  closure</t>
  </si>
  <si>
    <t>M57 northbound jct 4 exit slip road closure</t>
  </si>
  <si>
    <t>M56 Westbound (Sharston Link Jct 2  Carriageway Closure</t>
  </si>
  <si>
    <t>M56 Westbound Jct 12 exit slip road closure</t>
  </si>
  <si>
    <t>Overall Scheme Details: M56 westbound J11 to J12 - carriageway closure for communications on behalf of National Highways</t>
  </si>
  <si>
    <t>M65 Eastbound Jct 8 exit slip road closure</t>
  </si>
  <si>
    <t>Overall Scheme Details: M65 eastbound J7 to J8 - carriageway closure for drainage on behalf of National Highways</t>
  </si>
  <si>
    <t>M65 Eastbound Jct 8 entry slip road closure</t>
  </si>
  <si>
    <t>M62 Westbound Jct 9 exit slip road closure</t>
  </si>
  <si>
    <t>Overall Scheme Details: M62 westbound J9 to J9 - carriageway closure for communications on behalf of National Highways</t>
  </si>
  <si>
    <t>A27 eastbound Bedhampton to Warblington carriageway closure</t>
  </si>
  <si>
    <t>Overall Scheme Details: A27 both directions Langstone
Carriageway closure for structures work</t>
  </si>
  <si>
    <t>A3 northbound Clanfield Right turn divergence closure on exit slip road</t>
  </si>
  <si>
    <t>Overall Scheme Details: A3 northbound Clanfield
Right turn divergence closure on exit slip road for BT works</t>
  </si>
  <si>
    <t>A3 southbound Charlton Exit slip road closure</t>
  </si>
  <si>
    <t>Overall Scheme Details: A3 southbound Charlton
Exit slip road closure for BT works</t>
  </si>
  <si>
    <t>A27 eastbound Ashcombe roundabout to Southerham roundabout carriageway closure</t>
  </si>
  <si>
    <t xml:space="preserve">Overall Scheme Details: A27 both directions Southerham Roundabout to Ashcombe Roundabout 
Carriageway closure for surface works </t>
  </si>
  <si>
    <t>M20 westbound Jct 13 entry slip road closure</t>
  </si>
  <si>
    <t xml:space="preserve">Overall Scheme Details: M20 westbound Jct 13 to A20 Alkham Valley
slip road closure for inspections
</t>
  </si>
  <si>
    <t>A2 eastbound Honeywood Interchange exit slip road closure</t>
  </si>
  <si>
    <t xml:space="preserve">Overall Scheme Details: A2 eastbound Whitfield to Duke Of York roundabout 
slip road and lane closure for inspections
</t>
  </si>
  <si>
    <t>M23</t>
  </si>
  <si>
    <t>M23 southbound Jct 9 to Jct 11 carriageway closure</t>
  </si>
  <si>
    <t>Overall Scheme Details: M23 both directions Jct 9 to Jct 11
carriageway and lane closures for maintenance works</t>
  </si>
  <si>
    <t>M25 Clockwise Jct 16 to Jct 17 Carriageway closure</t>
  </si>
  <si>
    <t>Overall Scheme Details: M25 Clockwise Jct 16 to Jct 17
Carriageway, Link road and Lane closure for surfacing works. 
Diversion via Local Authority and National Highways Network</t>
  </si>
  <si>
    <t>M40 eastbound and westbound to M25 clockwise and anti-clockwise Jct 16 link road closure</t>
  </si>
  <si>
    <t>A2 Westbound Darenth Interchange to A282 Northbound Jct 2 link road closure</t>
  </si>
  <si>
    <t>Overall Scheme Details: A2 Westbound Darenth Interchange to A282 Northbound Jct 2 Link Road
Link road closure for emergency safety fence repairs
Diversion via National Highways Network</t>
  </si>
  <si>
    <t>A282 Jct 2 to Jct 1b Anticlockwise Fast Link Closure</t>
  </si>
  <si>
    <t>Overall Scheme Details: A282 Northbound Jct 2 to Jct 1B
Link Road closure for emergency carriageway repairs
Diversion via National Highways Network</t>
  </si>
  <si>
    <t>M5 northbound Jct 17 entry slip road closed</t>
  </si>
  <si>
    <t>Overall Scheme Details: M5 northbound Jct 17 entry slip road closed for Vodafone works. Diversion via the M5 southbound to Jct 18, to turn and return northbound.</t>
  </si>
  <si>
    <t xml:space="preserve">Overall Scheme Details: M32 northbound Jct 3 to Jct 2 closed between exit and entry including Jct 2 exit and entry slip road closure on 18/08/26 for survey works.
Diversion at Jct 3 via exit and entry slip roads. 
Diversion at Jct 2 via exit and entry slip roads.
Diversion for Jct 2 exit slip via Jct 1 and return.
Diversion for Jct 2 entry slip via Jct 3 and return.
</t>
  </si>
  <si>
    <t>M32 northbound Jct 2 closed between exit and entry slip road</t>
  </si>
  <si>
    <t>M5 southbound Jct 21 entry slip carriageway closure</t>
  </si>
  <si>
    <t xml:space="preserve">Overall Scheme Details: M5 southbound Jct 21 entry slip -  carriageway closure for St Georges Structural upgrade scheme. 
Diversion via - M5 north, exit Jct 20 and return southbound.
</t>
  </si>
  <si>
    <t>A30 Both Directions Daisymount to Turks Head Full Closure</t>
  </si>
  <si>
    <t>Overall Scheme Details: A30 Fairmile   Bridge Maintenance for parapet painting over 2 x nights</t>
  </si>
  <si>
    <t>M5 northbound Jct 8 exit slip road closure</t>
  </si>
  <si>
    <t>Overall Scheme Details: M5 both directions Jct 7 to Jct 9.
Carriageway closure for maintenance works. 
Diversion via National Highways network.</t>
  </si>
  <si>
    <t>M42</t>
  </si>
  <si>
    <t>M42 Junction 6 southbound entry slip</t>
  </si>
  <si>
    <t>Overall Scheme Details: M42 Junction 6 entry slip closure with lane closure on A45 westbound for utility works on behalf of National Grid.</t>
  </si>
  <si>
    <t>A500 / A50 southbound Queensway Roundabout between the exit and entry slip roads carriageway closure</t>
  </si>
  <si>
    <t>M5 northbound Jct 5 entry slip road closure</t>
  </si>
  <si>
    <t>Overall Scheme Details: M5 northbound Jct 5.
Entry slip road closure for maintenance works.
Diversion via National Highways  network.</t>
  </si>
  <si>
    <t>A5148</t>
  </si>
  <si>
    <t>A5148 northbound entry slip road closure</t>
  </si>
  <si>
    <t xml:space="preserve">Overall Scheme Details: A5148 northbound Wall to Swinfen. 
Entry slip road closure for maintenance works. 
Diversion via National Highways network. 
</t>
  </si>
  <si>
    <t>A500 southbound Porthill to Wolstanton carriageway closure</t>
  </si>
  <si>
    <t>A14 eastbound Jct 35 to Jct 39 carriageway closure</t>
  </si>
  <si>
    <t>Overall Scheme Details: A14 both directions 
Jct 39 to Jct 35 - carriageway closure for electrical works on behalf of National Highways</t>
  </si>
  <si>
    <t>A47 westbound Ipswich Interchange entry slip closure</t>
  </si>
  <si>
    <t>Overall Scheme Details: A47 both directions 
Watton Road Interchange to Ipswich Road Interchange - carriageway closure, lane closure and diversion route for electrical works on behalf of National Highways</t>
  </si>
  <si>
    <t>A47 westbound Ipswich Interchange exit slip closure</t>
  </si>
  <si>
    <t>A47 eastbound Ipswich Interchange entry slip road closure</t>
  </si>
  <si>
    <t>A47 eastbound Lynn Road Roundabout to Terrington St John Interchange carriageway closure</t>
  </si>
  <si>
    <t>Overall Scheme Details: A47 eastbound 
Lynn Road Roundabout Wisbech to Terrington St John Interchange - carriageway closure for carriageway - reconstruction/renewal on behalf of National Highways</t>
  </si>
  <si>
    <t>A11 southbound Red Lodge to Chippenham carriageway closure</t>
  </si>
  <si>
    <t>Overall Scheme Details: A11 southbound 
Red Lodge to Chippenham - carriageway closure for communications on behalf of National Highways</t>
  </si>
  <si>
    <t>A14 eastbound Jct 52 entry slip road closure</t>
  </si>
  <si>
    <t>Overall Scheme Details: A14 eastbound
Jct 52 to Jct 53 - entry slip road closure, lane closures and diversion route for communications on behalf of National Highways</t>
  </si>
  <si>
    <t>A120</t>
  </si>
  <si>
    <t>A120 westbound Crown Interchange exit slip road closure</t>
  </si>
  <si>
    <t>Overall Scheme Details: A120 westbound
A133 Interchange to Jct 28 - exit slip road closure, lane closure and diversion route due to communications works on behalf of Ringway</t>
  </si>
  <si>
    <t>M40 Southbound Jct 4 to Jct 3 carriageway closure</t>
  </si>
  <si>
    <t>Overall Scheme Details: M40 Southbound Jct 4 to Jct 3, carriageway closure and entry slip road closure for maintenance works.</t>
  </si>
  <si>
    <t>M40 Southbound Jct 4 entry slip road closure</t>
  </si>
  <si>
    <t>A45 southbound Wilby Way roundabout approach carriageway closure</t>
  </si>
  <si>
    <t>A52 westbound Raynesway exit slip road closure</t>
  </si>
  <si>
    <t>Overall Scheme Details: A5111 northbound and southbound A50 to Chaddesden.
Slip road and lane closures due to maintenance works.
Diversion route  via National Highways and local authority network.</t>
  </si>
  <si>
    <t>A5111</t>
  </si>
  <si>
    <t>A5111 southbound Raynesway Carriageway closure</t>
  </si>
  <si>
    <t>A5111 southbound Raynesway exit slip road closure</t>
  </si>
  <si>
    <t>M1 northbound Jct 25 exit slip road closure</t>
  </si>
  <si>
    <t>A5</t>
  </si>
  <si>
    <t>A5 both directions Sketchley roundabout to Dodwells roundabout carriageway closure</t>
  </si>
  <si>
    <t>Overall Scheme Details: A5 northbound and southbound Burbage to Mancetter.
Carriageway and slip road closure due to horticultural works
Diversion via National Highways network.</t>
  </si>
  <si>
    <t>M1 northbound Jct 29a entry slip road closure</t>
  </si>
  <si>
    <t xml:space="preserve">Overall Scheme Details: M1 northbound Jct 28 to Jct 29a.
Slip road and lane closures for maintenance works. 
Diversion Via National Highways network. </t>
  </si>
  <si>
    <t>A52 eastbound Nottingham Knight to Wheatcroft carriageway closure</t>
  </si>
  <si>
    <t>Overall Scheme Details: A52 eastbound and westbound Nottingham Knight to Wheatcroft
Carriageway, layby and lane closure due to maintenance works
Diversion via National Highways network and local authority network</t>
  </si>
  <si>
    <t>A14 eastbound layby closure</t>
  </si>
  <si>
    <t>Overall Scheme Details: A14 eastbound Jct 10 to Jct 11.
Layby and lane closures due to maintenance works.</t>
  </si>
  <si>
    <t>A628</t>
  </si>
  <si>
    <t>A628 eastbound and westbound Flouch to Tintwistle carriageway closure</t>
  </si>
  <si>
    <t>Overall Scheme Details: A628 eastbound and westbound Tintwistle to Flouch
Carriageway closures and traffic lights for general cleaning and maintenance 
Diversion routes A616 A61 M1 M62 M60 M67</t>
  </si>
  <si>
    <t>M1 northbound Jct 31 entry slip road closure</t>
  </si>
  <si>
    <t xml:space="preserve">Overall Scheme Details: M1 northbound Jct 31 to Jct 33 
Slip road and lane closures for general cleaning and maintenance works 
diversion via M1 </t>
  </si>
  <si>
    <t>M1 northbound Jct 31 exit slip road closure</t>
  </si>
  <si>
    <t>A1 northbound Barnsdale Bar exit slip road closure</t>
  </si>
  <si>
    <t>Overall Scheme Details: A1 northbound Redhouse to Wentbridge
Slip road and lane closures for barrier repairs
Diversion via A1</t>
  </si>
  <si>
    <t>A1 northbound Barnsdale Bar entry slip road closure</t>
  </si>
  <si>
    <t>A64 eastbound Grimston bar to Hopgrove, carriageway closure</t>
  </si>
  <si>
    <t>A64 eastbound Grimston bar entry slip road</t>
  </si>
  <si>
    <t>A64 eastbound Hopgrove exit slip road closure</t>
  </si>
  <si>
    <t>M62 eastbound Jct 32a to Jct 33 carriageway closure</t>
  </si>
  <si>
    <t xml:space="preserve">Overall Scheme Details: M62 eastbound Jct 32 to Jct 33 and A1M Jct 41.
Carriageway and lane closures for carriageway repair works.
Diversion via M62, A1M and A1.
</t>
  </si>
  <si>
    <t>M62 eastbound Jct 33 exit slip road closure</t>
  </si>
  <si>
    <t>A1M southbound Jct 41 to M62 eastbound Jct 32a carriageway closure</t>
  </si>
  <si>
    <t>M1 southbound Jct 40 entry slip road closure</t>
  </si>
  <si>
    <t xml:space="preserve">Overall Scheme Details: M1 southbound Jct 40 to Jct 39
Slip road and lane closure for barrier/fence safety repairs 
Diversion via M1 </t>
  </si>
  <si>
    <t>A1M Jct 61 to Jct 62 Northbound Carriageway closure</t>
  </si>
  <si>
    <t>A1 Jct 72 southbound entry slip road closure</t>
  </si>
  <si>
    <t xml:space="preserve">Overall Scheme Details: A1 southbound Jct 72
Entry slip road closure, partial designated lane closure and off network partial roundabout closure for drainage works </t>
  </si>
  <si>
    <t>A19 northbound A1231 Hylton to A184 Testos Interchange carriageway closure</t>
  </si>
  <si>
    <t>Overall Scheme Details: A19 northbound A183 Chester Road to A184 Testo's Interchange carriageway closure and lane closure for electrical works</t>
  </si>
  <si>
    <t>M61 northbound jct 4 to 5 carriageway closure</t>
  </si>
  <si>
    <t>M61 northbound jct 4 entry slip road closure</t>
  </si>
  <si>
    <t>M61 northbound jct 5 exit slip road closure</t>
  </si>
  <si>
    <t>M56 Westbound Jct 14 to A494 Park Gate carriageway closure</t>
  </si>
  <si>
    <t>M56 Westbound to M53 Southbound link road closure</t>
  </si>
  <si>
    <t>M56 Westbound to M53 Northbound link road closure</t>
  </si>
  <si>
    <t>A494</t>
  </si>
  <si>
    <t>A494 Westbound Park Gate exit slip road closure</t>
  </si>
  <si>
    <t>M60 Anticlockwise to M62 Westbound link road closure</t>
  </si>
  <si>
    <t>Overall Scheme Details: M62 Westbound Jct 1 to M62 12 carriageway closures for rail purposes</t>
  </si>
  <si>
    <t>M60 Clockwise to M62 Westbound link road closure</t>
  </si>
  <si>
    <t>M60 Anticlockwise jct 8 to 7 CD link carriageway closure</t>
  </si>
  <si>
    <t>Overall Scheme Details: M60 Anti-Clockwise Junction 8 to Junction 5 - Carriageway Closure for Horticulture (Cutting and Planting)</t>
  </si>
  <si>
    <t>M60 Anticlockwise Jct 8 entry slip road closure</t>
  </si>
  <si>
    <t>M62 westbound jct 11 exit slip road closure</t>
  </si>
  <si>
    <t>Overall Scheme Details: M62 both directions Jct 9 to Jct 12 - carriageway closure for horticulture (cutting and planting) on behalf of National Highways</t>
  </si>
  <si>
    <t>M53 Northbound Jct 3 to 2 carriageway closure</t>
  </si>
  <si>
    <t>Overall Scheme Details: M53 northbound J4 to J2 - carriageway closure for structure - maintenance on behalf of National Highways</t>
  </si>
  <si>
    <t>M53 Northbound Jct 3 entry slip road closure</t>
  </si>
  <si>
    <t>M53 Northbound Jct 2 exit slip road closure</t>
  </si>
  <si>
    <t>A3 northbound Dennis to Stoke carriageway closure</t>
  </si>
  <si>
    <t>Overall Scheme Details: A3 both directions Stoke to Dennis.
Carriageway, slip road and lane closures for structures work.</t>
  </si>
  <si>
    <t>A27 westbound Warblington to Bedhampton carriageway closure</t>
  </si>
  <si>
    <t>M3 northbound Jct 7 exit slip road closure</t>
  </si>
  <si>
    <t>Overall Scheme Details: M3 northbound Jct 7 and A303 eastbound Crematorium.
Slip road and lane closure for roadmarkings renewal.</t>
  </si>
  <si>
    <t>A303 eastbound to M3 northbound link road closure</t>
  </si>
  <si>
    <t>A34 southbound Botley exit slip road closure</t>
  </si>
  <si>
    <t>Overall Scheme Details: A34 southbound Botley.
Slip road and lane closures for barrier work.</t>
  </si>
  <si>
    <t>M20 eastbound Jct 10a entry slip road closure</t>
  </si>
  <si>
    <t>Overall Scheme Details: M20 eastbound Jct 10 to Jct 11
Slip and lane closure for barrier works</t>
  </si>
  <si>
    <t>M25 Anti-Clockwise Jct 16 to Jct 15 Carriageway closure</t>
  </si>
  <si>
    <t>Overall Scheme Details: M25 Anti-Clockwise Jct 16 to Jct 15 and M40 Eastbound and Westbound Jct 1 link roads
Carriageway closure for cyclical maintenance, 
Diversion via Local Authorities network</t>
  </si>
  <si>
    <t>A206</t>
  </si>
  <si>
    <t>A206 Littlebrook Interchange Eastern Roundabout closure</t>
  </si>
  <si>
    <t>Overall Scheme Details: A206 Littlebrook Interchange
Lane and carriageway closure for routine maintenance
Diversion via Local Authorities and National Highways Network</t>
  </si>
  <si>
    <t>A206 Littlebrook Interchange Western Roundabout closure</t>
  </si>
  <si>
    <t>A2 Westbound Darenth Interchange exit slip road closure</t>
  </si>
  <si>
    <t>A406</t>
  </si>
  <si>
    <t>A406 Eastbound to M11 Northbound Jct 4 link road closure</t>
  </si>
  <si>
    <t>Overall Scheme Details: A406 Eastbound to M11 Northbound Jct 4
Link road closure for technology works
Diversion via Local Authority and National Highway network</t>
  </si>
  <si>
    <t>M32 southbound Jct 1 entry slip closed</t>
  </si>
  <si>
    <t>Overall Scheme Details: M32 southbound Jct 1 to 2 - carriageway closure for inspection/survey.
Diversion via A4174 and A38.</t>
  </si>
  <si>
    <t>M32 southbound Jct 1 to 2 - carriageway closure</t>
  </si>
  <si>
    <t>M5 northbound Jct 26 entry slip road closed</t>
  </si>
  <si>
    <t>Overall Scheme Details: M5 northbound Jct 26 entry slip road closed for drainage
Diversion via M5 southbound to Jct 27 and return northbound</t>
  </si>
  <si>
    <t>M50</t>
  </si>
  <si>
    <t>M50 eastbound Jct 1 entry and exit slip road closure</t>
  </si>
  <si>
    <t>Overall Scheme Details: M50 both directions Jct 1.
Entry and exit slip road closures for maintenance works.
Diversion via National Highways network.</t>
  </si>
  <si>
    <t>A500 northbound Hanford entry slip road closure</t>
  </si>
  <si>
    <t>A45 / A46 Festival roundabout partial roundabout closure (western side)</t>
  </si>
  <si>
    <t>Overall Scheme Details: A45 / A46 both directions Festival Roundabout.
Carriageway closure for maintenance works.
Diversion via National Highways and local authority network.</t>
  </si>
  <si>
    <t>M42 northbound Jct 9 entry slip road closure</t>
  </si>
  <si>
    <t>Overall Scheme Details: M42 northbound Jct 9.
Entry slip road closure for maintenance works.
Diversion via National Highways and local authority network.</t>
  </si>
  <si>
    <t>M42 southbound Jct 10 entry slip road closure</t>
  </si>
  <si>
    <t xml:space="preserve">Overall Scheme Details: M42 southbound Jct 10.
Entry slip road closure for maintenance works.
Diversion via National Highways and local authority network. </t>
  </si>
  <si>
    <t>A50 Jct 4 to Jct 5 Westbound Full Closure and Entry Slip Roads</t>
  </si>
  <si>
    <t>Overall Scheme Details: A50 DBFO - Derby Southern Bypass - Westbound Carriageway - Full Closures - A38 Jct 4 to A516 Jct 5 - Resurfacing and Lining Works</t>
  </si>
  <si>
    <t>A47 westbound Watton Interchange entry slip closure</t>
  </si>
  <si>
    <t>A47 eastbound Watton Interchange exit slip closure</t>
  </si>
  <si>
    <t>A47 westbound Watton Interchange exit slip closure</t>
  </si>
  <si>
    <t>A47 eastbound Watton Interchange entry slip closure</t>
  </si>
  <si>
    <t>M11 southbound Jct 10 exit slip road closure</t>
  </si>
  <si>
    <t>Overall Scheme Details: M11 southbound
Jct 11 to Jct 10 - exit slip road closure, lane closure and diversion route due to barrier/fence safety repair works on behalf of Ringway</t>
  </si>
  <si>
    <t>M40 Northbound Jct 1 entry slip road closure.</t>
  </si>
  <si>
    <t>Overall Scheme Details: M40 Northbound Jct 1a to Jct 2, lane closures, link road closures, slip road closures and diversion routes for maintenance works.
Diversions via National Highways network and local authority roads.</t>
  </si>
  <si>
    <t>M40 Northbound Jct 1a to Jct 2 carriageway closure</t>
  </si>
  <si>
    <t>M25 Clockwise to M40 northbound link road closure</t>
  </si>
  <si>
    <t>A45 southbound Wellingborough entry slip road closure</t>
  </si>
  <si>
    <t>A45 southbound Millers Park entry slip road closure</t>
  </si>
  <si>
    <t>A45 southbound Wilby Way dedicated left turn lane closure</t>
  </si>
  <si>
    <t>A6</t>
  </si>
  <si>
    <t>A6 northbound Raynesway exit slip road closure</t>
  </si>
  <si>
    <t>A52 westbound Raynesway entry slip road closure</t>
  </si>
  <si>
    <t>A52 eastbound Raynesway (ASDA loop) entry slip road closure</t>
  </si>
  <si>
    <t>A46 southbound Margidunum exit slip road closure</t>
  </si>
  <si>
    <t>Overall Scheme Details: A46 northbound and southbound Saxondale to Flintham
Slip road, layby and lane closures for horticultural works.
Diversion route via National Highways network and local authority network.</t>
  </si>
  <si>
    <t>M1 southbound Jct 29 entry slip road closure</t>
  </si>
  <si>
    <t>Overall Scheme Details: M1 southbound Jct 29.
Slip road closure due to maintenance works.
Diversion via National Highways and local authority network.</t>
  </si>
  <si>
    <t>A63 westbound South Cave to North Cave carriageway closure</t>
  </si>
  <si>
    <t xml:space="preserve">Overall Scheme Details: A63 westbound South Cave to North Cave
Carriageway closure for general cleaning and maintenance
Diversion via A63 </t>
  </si>
  <si>
    <t>A63 westbound South Cave entry slip road closure</t>
  </si>
  <si>
    <t>A63 westbound North Cave exit slip road closure</t>
  </si>
  <si>
    <t>M1 southbound Jct 33 entry slip road closure</t>
  </si>
  <si>
    <t>Overall Scheme Details: M1 southbound Jct 34 to Jct 32, M18 southbound Jct 32
Slip road closure and lane closures for technology works
Diversion A631 M1 A629</t>
  </si>
  <si>
    <t>A194M</t>
  </si>
  <si>
    <t>A194M Northbound Whitemare Pool Roundabout Circulatory closure</t>
  </si>
  <si>
    <t>Overall Scheme Details: A194M Northbound and Southbound Whitemarepool Roundabout.
Lane closures with switching for technology improvement works.</t>
  </si>
  <si>
    <t>A66 Blands Corner to Neasham Road eastbound and westbound carriageway closure</t>
  </si>
  <si>
    <t>Overall Scheme Details: A1M Jct 57 / A66M eastbound and westbound Blackwell Spur to A66 Neasham Road 
Carriageway closures with 40mph speed restriction for carriageway resurfacing</t>
  </si>
  <si>
    <t>A19 Dudley Int Northbound Entry Slip Road Closure</t>
  </si>
  <si>
    <t>Overall Scheme Details: A19 Northbound and Southbound Fisher Lane to Moorfarm 
Slip Road Closures for Horticulture Works and Diversion on network</t>
  </si>
  <si>
    <t>A19 Dudley Int Southbound Exit Slip Road Closure</t>
  </si>
  <si>
    <t>M53 Northbound Jct 5 to 4 Carriageway Closure</t>
  </si>
  <si>
    <t>Overall Scheme Details: M53 both directions Jct 4 to Jct 5 - carriageway closure for structure - maintenance on behalf of National Highways</t>
  </si>
  <si>
    <t>M53 Northbound Jct 5 entry slip road closure</t>
  </si>
  <si>
    <t>M53 Northbound Jct 4 exit slip road closure</t>
  </si>
  <si>
    <t>M56 Westbound Jct 15 to 16 Carriageway Closure</t>
  </si>
  <si>
    <t>M58 Eastbound Switch Island to Jct 1 Carriageway Closure</t>
  </si>
  <si>
    <t>Overall Scheme Details: M58 both directions Switch Island  to J1 - carriageway closure for structure - maintenance on behalf of National Highways</t>
  </si>
  <si>
    <t>M58 Eastbound Jct 1 exit slip road closure</t>
  </si>
  <si>
    <t>M6 southbound jct 27 entry slip road closure</t>
  </si>
  <si>
    <t>Overall Scheme Details: M6 both directions J26 to J28 - carriageway closure for carriageway - reconstruction/renewal on behalf of National Highways</t>
  </si>
  <si>
    <t>M62 Eastbound Jct 11 entry slip road closure</t>
  </si>
  <si>
    <t>A34 Southbound to M56 Westbound link road closure</t>
  </si>
  <si>
    <t>M53 Northbound Jct 2 entry slip road closure</t>
  </si>
  <si>
    <t>Overall Scheme Details: M53 northbound J2 to J1 - carriageway closure for carriageway - reconstruction/renewal on behalf of National Highways</t>
  </si>
  <si>
    <t>M6 Southbound Knutsford Services exit slip road closure</t>
  </si>
  <si>
    <t>Overall Scheme Details: M6 southbound J19 to J18 - lane closure for communications on behalf of National Highways</t>
  </si>
  <si>
    <t>A3 southbound Stoke to University carriageway closure</t>
  </si>
  <si>
    <t>A3 northbound University to Stoke carriageway closure</t>
  </si>
  <si>
    <t>A27 westbound Langstone carriageway closure between the exit and entry slip roads</t>
  </si>
  <si>
    <t>M27 eastbound Jct 5 exit slip road closure</t>
  </si>
  <si>
    <t>Overall Scheme Details: M27 eastbound Jct 5.
Slip road and lane closure for maintenance work.</t>
  </si>
  <si>
    <t>M27 eastbound Jct 5 entry slip road closure</t>
  </si>
  <si>
    <t>M4 westbound Jct 12 entry slip road closure</t>
  </si>
  <si>
    <t>Overall Scheme Details: M4 both directions Jct 12.
Slip road and lane closures for structures works.</t>
  </si>
  <si>
    <t>M3 southbound Jct 4 exit slip road closure</t>
  </si>
  <si>
    <t>Overall Scheme Details: M3 southbound Jct 4.
Slip road and lane closure for maintenance work.</t>
  </si>
  <si>
    <t>M2 westbound Jct 6 exit slip road closure</t>
  </si>
  <si>
    <t>Overall Scheme Details: M2 westbound Jct 7 to Jct 6
slip road and lane closure for maintenance works</t>
  </si>
  <si>
    <t>A21 northbound Westerham exit slip road closure</t>
  </si>
  <si>
    <t>Overall Scheme Details: A21 northbound Morleys Interchange to A25 Sevenoaks
slip road and lane closure for inspection/survey.</t>
  </si>
  <si>
    <t>M20 eastbound Jct 6 entry slip road closure</t>
  </si>
  <si>
    <t>Overall Scheme Details: M20 eastbound Jct 5 to Jct 6 
slip road closure for maintenance work</t>
  </si>
  <si>
    <t>M25 Anti-clockwise Jct 25 entry slip road closure</t>
  </si>
  <si>
    <t>Overall Scheme Details: M25 Anti-clockwise Jct 25 entry slip road
Slip road closure for routine maintenance works
Diversion via National Highways and Local Authorities Network</t>
  </si>
  <si>
    <t>A406 Westbound to M11 Northbound Jct 4 link road closure</t>
  </si>
  <si>
    <t>Overall Scheme Details: A406 Westbound to M11 Northbound Jct 4
Link road and lane closure for routine maintenance works
Diversion via Local Authority and National Highway network</t>
  </si>
  <si>
    <t>M11 Southbound carriagway closure Jct 6 between the slips</t>
  </si>
  <si>
    <t xml:space="preserve">Overall Scheme Details: M11 Southbound Jct 6 
Carriageway and lane closure for carriageway repairs 
Diversion via National Highways network </t>
  </si>
  <si>
    <t>A1(M) Northbound Jct 4 Entry Overbridge Closure</t>
  </si>
  <si>
    <t>Overall Scheme Details: A1(M) Northbound Jct 4
Overbridge Closure for Urgent Carriageway Repairs</t>
  </si>
  <si>
    <t>M23 Southbound Jct 7 to Jct 8 carriageway closure</t>
  </si>
  <si>
    <t>Overall Scheme Details: M23 Southbound Jct 7 to Jct 8
Carriageway and lane closure for emergency safety fence repairs
Diversion via National Highways and Local Authorities Network</t>
  </si>
  <si>
    <t>M5 southbound Jct 21 exit slip carriageway closure</t>
  </si>
  <si>
    <t xml:space="preserve">Overall Scheme Details: M5 southbound Jct 21 exit slip -  carriageway closure for St Georges Structural upgrade scheme. 
Southbound exit diversion via - M5 south, exit Jct 22 and return northbound.
</t>
  </si>
  <si>
    <t>M5 southbound Jct 12 entry slip road closed</t>
  </si>
  <si>
    <t>Overall Scheme Details: M5 southbound Jct 12 entry slip road closed for white lining renewals.
Diversion via A38 to re-join at Jct 13</t>
  </si>
  <si>
    <t>M50 westbound Jct 1 entry and exit slip road closure</t>
  </si>
  <si>
    <t>A45 / A46 Festival roundabout partial roundabout closure (eastern side)</t>
  </si>
  <si>
    <t>A500 southbound Talke entry slip road closure</t>
  </si>
  <si>
    <t xml:space="preserve">Overall Scheme Details: A500 southbound Talke.
Entry slip road closure for maintenance works.
Diversion via National Highways network. 
</t>
  </si>
  <si>
    <t>A5 northbound Redgate to Mancetter carriageway closure</t>
  </si>
  <si>
    <t xml:space="preserve">Overall Scheme Details: A5 northbound Redgate to Mancetter.
Carriageway closure for maintenance works. 
Diversion via National Highways and local authority network. 
</t>
  </si>
  <si>
    <t>A5 both directions Mancetter partial roundabout closure</t>
  </si>
  <si>
    <t>A5 eastbound from Edgebold roundabout to A488 Hanwood Road entry slip road closure</t>
  </si>
  <si>
    <t xml:space="preserve">Overall Scheme Details: A5 eastbound Edgebold.
Entry slip road closure for maintenance works.
Diversion via National Highways and local authority network.
</t>
  </si>
  <si>
    <t>A500 northbound Eturia entry slip road closure</t>
  </si>
  <si>
    <t xml:space="preserve">Overall Scheme Details: A500 northbound Shelton to Euturia. 
Entry slip road closure for maintenance works. 
Diversion via national highway and local authority network. </t>
  </si>
  <si>
    <t>M5 northbound Jct 1 entry slip road closure</t>
  </si>
  <si>
    <t xml:space="preserve">Overall Scheme Details: M5 northbound Jct 1.
Entry slip road closure for maintenance works. 
Diversion via National Highways network. </t>
  </si>
  <si>
    <t>A120 eastbound Notely entry slip carriageway closure</t>
  </si>
  <si>
    <t>Overall Scheme Details: A120 both directions
 Marks Farm Roundabout to Galleys Interchange - carriageway closure for white lining road markings on behalf of National Highways</t>
  </si>
  <si>
    <t>A120  westbound Marks Farm Roundbout to Galleys Roundabout carriageway closure</t>
  </si>
  <si>
    <t>A120 Galley's Corner Roundabout closure</t>
  </si>
  <si>
    <t>A120 eastbound Panners Interchange to Galley's Corner carriageway closure</t>
  </si>
  <si>
    <t>A14 eastbound Jct 21 to Jct 22 carriageway closure</t>
  </si>
  <si>
    <t>Overall Scheme Details: A14 eastbound 
Jct 20 to Jct 23 - carriageway closure for construction - bridge/structure on behalf of National Highways</t>
  </si>
  <si>
    <t>A1 southbound Wyboston to Black Cat Roundabout carriageway closure</t>
  </si>
  <si>
    <t>Overall Scheme Details: A1 / A421 both directions 
Biggleswade to St Neots - carriageway closures, lane closures, narrow lanes, permanent layby closures and diversion routes for construction - bypass/new on behalf of National Highways</t>
  </si>
  <si>
    <t>A1 southbound Black Cat Roundabout to Tempsford carriageway closure</t>
  </si>
  <si>
    <t>A1 northbound Tempsford to Black Cat Roundabout carriageway closure</t>
  </si>
  <si>
    <t>A421</t>
  </si>
  <si>
    <t>A421 westbound Black Cat Roundabout to Water End Interchange carriageway closure</t>
  </si>
  <si>
    <t>A43</t>
  </si>
  <si>
    <t>A43 southbound Dadford Road exit slip road closure</t>
  </si>
  <si>
    <t>Overall Scheme Details: A43 southbound Dadford Road Silverstone.
Slip road closure for event traffic management by Tracsis Event Limited</t>
  </si>
  <si>
    <t>M1 northbound Jct 39 entry slip road closure</t>
  </si>
  <si>
    <t>Overall Scheme Details: M1 northbound Jct 39
slip road closure for technology works 
Diversion via M1 A637</t>
  </si>
  <si>
    <t>M62 eastbound Jct 26, carriageway closure between exit and entry slip roads</t>
  </si>
  <si>
    <t>Overall Scheme Details: M62 eastbound Jct 25 to Jct 27, M606 southbound Jct 2 to Jct 26, A58 chainbar roundabout 
Carriageway closure and lane closures for technology works.
Diversion via M62</t>
  </si>
  <si>
    <t>M62 eastbound to M18 southbound link road closure</t>
  </si>
  <si>
    <t>Overall Scheme Details: M18 southbound Jct 7 to Jct 6 and M62 westbound and eastbound jct 35
carriageway and lane closures for general cleaning and maintenance  works 
Diversion via M62  A19 A614</t>
  </si>
  <si>
    <t>M62 westbound to M18 southbound link road closure</t>
  </si>
  <si>
    <t>M18 southbound Jct 7 to Jct 6 carriageway closure</t>
  </si>
  <si>
    <t>M18 southbound Jct6 exit slip road closure</t>
  </si>
  <si>
    <t>A180</t>
  </si>
  <si>
    <t>A180 eastbound Great Coates exit slip road closure</t>
  </si>
  <si>
    <t>Overall Scheme Details: A180 eastbound and westbound Stallingborough to Great Coates Carriageway closure for barrier/fence safety repairs
Diversion via local authority networks</t>
  </si>
  <si>
    <t>A180 eastbound and westbound Stallingborough to Great Coates carriageway closure</t>
  </si>
  <si>
    <t>A180 eastbound Stallingborough entry slip road closure</t>
  </si>
  <si>
    <t>M621 clockwise Jct 1 exit slip road closure</t>
  </si>
  <si>
    <t>Overall Scheme Details: M621 clockwise Jct 1
Slip road and lane closure for barrier/fence safety repairs
Diversion via M621</t>
  </si>
  <si>
    <t>M1 southbound Jct 46 entry slip road closure</t>
  </si>
  <si>
    <t>Overall Scheme Details: M1 southbound Jct 46 to Jct 44 
Carriageway and lane closures for carriageway improvement works.
Diversion via M1 and A1M</t>
  </si>
  <si>
    <t>M1 southbound Jct 46 to Jct 45 carriageway closure</t>
  </si>
  <si>
    <t>M1 southbound Jct 45 exit slip road closure</t>
  </si>
  <si>
    <t>A1M SB J42 exit slip closed</t>
  </si>
  <si>
    <t>Overall Scheme Details: A1M junction 42 slip road closures and A63 overbridge closures for overhead power line works. Diversion on Local Authority and National Highways network</t>
  </si>
  <si>
    <t>A1M SB J42 entry slip closed</t>
  </si>
  <si>
    <t>M60 Anticlockwise Jct 2 exit slip road closure</t>
  </si>
  <si>
    <t>Overall Scheme Details: M60 both directions J5 to J1 - carriageway closure for carriageway - reconstruction/renewal on behalf of National Highways</t>
  </si>
  <si>
    <t>M60 anticlockwise Jct 3 entry slip road closure</t>
  </si>
  <si>
    <t>Overall Scheme Details: M61 Northbound junction 3 to junction 4 - Carriageway Closure for Horticulture</t>
  </si>
  <si>
    <t>M61 Northbound Jct 4 entry slip road closure</t>
  </si>
  <si>
    <t>M56 westbound jct 11 exit slip road closure</t>
  </si>
  <si>
    <t>Overall Scheme Details: M56 westbound junction 11 to 12 - lane closure and carriageway closure for drainage</t>
  </si>
  <si>
    <t>M56 westbound jct 11 entry slip road closure</t>
  </si>
  <si>
    <t>M60 Clockwise Jct 6 to 9 carriageway closure</t>
  </si>
  <si>
    <t>Overall Scheme Details: M60 both directions Junction 6 to Junction 9 - carriageway closure for horticulture</t>
  </si>
  <si>
    <t>M60 Clockwise Jct 7 CD link carriageway closure between exit and entry slip roads</t>
  </si>
  <si>
    <t>M60 Clockwise Jct 8 entry slip road closure</t>
  </si>
  <si>
    <t>M60 clockwise jct 8 CD exit slip road closure</t>
  </si>
  <si>
    <t>M60 clockwise jct 9 exit slip road closure</t>
  </si>
  <si>
    <t>M60 Clockwise Jct 7 entry slip from CD link closure</t>
  </si>
  <si>
    <t>M6 northbound jct 21 entry slip road closure</t>
  </si>
  <si>
    <t>Overall Scheme Details: M6 northbound J20 to J21 - carriageway closure for drainage on behalf of National Highways</t>
  </si>
  <si>
    <t>M6 Northbound Jct 17 to 18 carriageway closure</t>
  </si>
  <si>
    <t>Overall Scheme Details: M6 northbound J17 to J18 - carriageway closure for drainage on behalf of National Highways</t>
  </si>
  <si>
    <t>M6 Northbound Jct 17 entry slip road closure</t>
  </si>
  <si>
    <t>M6 Northbound Jct 18 exit slip road closure</t>
  </si>
  <si>
    <t>M65 Westbound Jct 3 to 2 carriageway closure</t>
  </si>
  <si>
    <t>Overall Scheme Details: M65 Eastbound and Westbound junction 3 to junction 2 - Carriageway Closure for Horticulture (Cutting and Planting) on behalf of Amey</t>
  </si>
  <si>
    <t>M65 Westbound Jct 3 entry slip road closure</t>
  </si>
  <si>
    <t>M65 Westbound Jct 2 exit slip road closure</t>
  </si>
  <si>
    <t>M65 Westbound to M61 Southbound link road closure</t>
  </si>
  <si>
    <t>M53 southbound Jct 1 to 3 carriageway closure</t>
  </si>
  <si>
    <t>Overall Scheme Details: M53 Northbound and Southbound junction 1 to 3 carriageway closure for Drainage</t>
  </si>
  <si>
    <t>M53 southbound jct 1 entry slip road closure</t>
  </si>
  <si>
    <t>M53 southbound jct 2 exit slip road closure</t>
  </si>
  <si>
    <t>M53 southbound jct 2 entry slip road closure</t>
  </si>
  <si>
    <t>M53 southbound jct 3 exit slip road closure</t>
  </si>
  <si>
    <t>M53 Eastbound Moreton Spur carriageway closure</t>
  </si>
  <si>
    <t>M60 Clockwise Jct 24 entry slip road closure</t>
  </si>
  <si>
    <t>Overall Scheme Details: M60 both directions Denton  to Denton  - carriageway closure for inspection/survey on behalf of National Highways</t>
  </si>
  <si>
    <t>M62 Eastbound to M60 Anticlockwise link road closure</t>
  </si>
  <si>
    <t>Overall Scheme Details: M62 eastbound Jct 11 to Jct 12 - carriageway closure for barrier/fence safety repairs on behalf of National Highways</t>
  </si>
  <si>
    <t>M6 Southbound Jct 40 Entry slip road closure</t>
  </si>
  <si>
    <t>Overall Scheme Details: M6 Northbound and Southbound Jct 39 to 40
Lane 1 closure for structural maintenance work and rail bridge replacement</t>
  </si>
  <si>
    <t>M6 Southbound Jct 40 - 39 carriageway closure (Mp 459/5 - 441/0)</t>
  </si>
  <si>
    <t>A66 Eastbound and Westbound Ramsay Brow  to Stainburn Roundabout Carriageway closure</t>
  </si>
  <si>
    <t xml:space="preserve">Overall Scheme Details: A66 Eastbound and Westbound Ramsay Brow  to Stainburn Roundabout
Carriageway closure for Resurfacing Works </t>
  </si>
  <si>
    <t>M6 Northbound Jct 32 Exit slip road Closure</t>
  </si>
  <si>
    <t>A34 northbound Jct 9 to Three Maids Hill carriageway closure</t>
  </si>
  <si>
    <t>Overall Scheme Details: M3 and A34 both directions Jct 9.
Carriageway closure for major improvement work.</t>
  </si>
  <si>
    <t>M3 both directions Jct 9 exit and entry slip road closure and roundabout</t>
  </si>
  <si>
    <t>A34 southbound Bullington to Jct 9 carriageway closure</t>
  </si>
  <si>
    <t>A303 westbound Longparish exit slip road closure</t>
  </si>
  <si>
    <t>Overall Scheme Details: A303 westbound Longparish.
Slip road and lane closure for maintenance work.</t>
  </si>
  <si>
    <t>A303 westbound Longparish entry slip road closure</t>
  </si>
  <si>
    <t>A2 westbound Whitfield to Coldharbour lane carriageway closure</t>
  </si>
  <si>
    <t>Overall Scheme Details: A2 both directions Brenley Corner  to Whitfield
Carriageway and lane closures for surface works</t>
  </si>
  <si>
    <t>M2 westbound Jct 2 exit slip road closure</t>
  </si>
  <si>
    <t>Overall Scheme Details: M2 westbound Jct 2
slip road closure for maintenance work</t>
  </si>
  <si>
    <t>M25 Clockwise Jct 25 roundabout and entry slip road closure</t>
  </si>
  <si>
    <t>Overall Scheme Details: M25 Jct 25 and all approaches
Slip road and carriageway closure for road marking 
Diversion via Local Authority and National Highway network</t>
  </si>
  <si>
    <t>M25 Anti-clockwise Jct 25 exit slip road closure</t>
  </si>
  <si>
    <t>A405</t>
  </si>
  <si>
    <t>A405 Southbound Jct 21A to M1 Jct 6 carriageway closure</t>
  </si>
  <si>
    <t>Overall Scheme Details: A405 Southbound Jct 21A to M1 Jct 6
Carriageway and lane closure for Surfacing Works
Diversion via Local Authority and National Highway Network</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</si>
  <si>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</si>
  <si>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</si>
  <si>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A35  both directions - Miles Cross to East Road rdabt - Full Closure</t>
  </si>
  <si>
    <t>Overall Scheme Details: A35 Miles Cross to Crown Rdabt - Full Closure - for Torch Light Procession - 1 x night</t>
  </si>
  <si>
    <t>M6 northbound Jct 4 entry slip road closure</t>
  </si>
  <si>
    <t>Overall Scheme Details: M6 both directions Jct 3a to Jct 4a
Carriageway closures for HS2 works. 
Diversion via National Highways and local authority network.</t>
  </si>
  <si>
    <t>M6 southbound Jct 4a to Jct 4 carriageway closure</t>
  </si>
  <si>
    <t>M6 northbound Jct 4 between the slips carriageway closure</t>
  </si>
  <si>
    <t>M42 northbound Jct 7a to M6 southbound Jct 4 link road closure</t>
  </si>
  <si>
    <t>M42 southbound Jct 6 between the exit and entry slip roads carriageway closure</t>
  </si>
  <si>
    <t>Overall Scheme Details: M42 both directions Jct 6 to Jct 7.
Carriageway and lane closures for maintenance works.
Diversion via National Highways network.</t>
  </si>
  <si>
    <t>A45 eastbound, East Way carriageway closure</t>
  </si>
  <si>
    <t>Overall Scheme Details: M42/A45 both directions Bickenhill to Coleshill
Carriageway and lane closures for HS2 works.
Diversions are via National Highways and local authority networks.</t>
  </si>
  <si>
    <t>Overall Scheme Details: M5 northbound Jct 5.
Entry slip road closure for maintenance works.
Diversion via National Highways network.</t>
  </si>
  <si>
    <t>M1 southbound Jct 11A to Jct 9 carriageway closure</t>
  </si>
  <si>
    <t>Overall Scheme Details: M1 both directions 
Jct 6A to Jct 14 - carriageway closure for communications on behalf of National Highways</t>
  </si>
  <si>
    <t>M1 southbound Jct 29 exit slip road closure</t>
  </si>
  <si>
    <t>Overall Scheme Details: M1 southbound Jct 29a to Jct 29
Slip road and lane closure due to maintenance works
Diversion via National Highways network and local authority network</t>
  </si>
  <si>
    <t>M1 southbound Jct 18 entry slip road closure</t>
  </si>
  <si>
    <t>Overall Scheme Details: M1 southbound Jct 18.
Slip road closure due to maintenance works.
Diversion via National Highways and local authority network.</t>
  </si>
  <si>
    <t>A1 northbound Woolsthorpe entry slip road closure</t>
  </si>
  <si>
    <t>Overall Scheme Details: A1 northbound Colsterworth to Woolsthorpe By Colsterworth
Slip road and lane closure due to maintenance works
Diversion via National Highways network and local authority network</t>
  </si>
  <si>
    <t>A1(M) southbound Jct 37 entry slip closure</t>
  </si>
  <si>
    <t>Overall Scheme Details: A1(M) southbound Jct 37 
slip road closure for general cleaning and maintenance works
Diversion  via A1M  A638</t>
  </si>
  <si>
    <t>M1 northbound Jct 45 to Jct 46  carriageway closure</t>
  </si>
  <si>
    <t>Overall Scheme Details: M1 northbound Jct 45 to Jct 46 
Carriageway closure and lane closures for carriageway - reconstruction/renewals
Diversion via A63, A64, A6120, A1M and M62</t>
  </si>
  <si>
    <t>M1 northbound Jct 45 entry slip road closure</t>
  </si>
  <si>
    <t>M1 northbound Jct 46 exit slip road closure</t>
  </si>
  <si>
    <t>M56 Westbound Jct 9 exit slip road closure</t>
  </si>
  <si>
    <t>Overall Scheme Details: M56 westbound junction 9 to 10 carriageway closure for drainage</t>
  </si>
  <si>
    <t>M61 southbound Jct 3 exit slip road closure</t>
  </si>
  <si>
    <t>Overall Scheme Details: M61 Southbound junction 4 to junction 3 - Carriageway Closure for Horticulture</t>
  </si>
  <si>
    <t>M61 northbound jct 3 exit slip to A666 closure</t>
  </si>
  <si>
    <t>M6 northbound Knutsford Services entry and exit slip road closures</t>
  </si>
  <si>
    <t>Overall Scheme Details: M6 northbound J18 to J19 - lane closure for drainage on behalf of National Highways</t>
  </si>
  <si>
    <t>M60 Anticlockwise Jct 18 entry slip road closure</t>
  </si>
  <si>
    <t>M60 Anticlockwise Jct 18 to M60 Anticlockwise free flow link closure</t>
  </si>
  <si>
    <t>M60 Anticlockwise Jct 24 exit slip road closure</t>
  </si>
  <si>
    <t>M6 Northbound Jct 39 to 40 Carriageway closure</t>
  </si>
  <si>
    <t>M6 Northbound Jct 39 Entry slip road closure</t>
  </si>
  <si>
    <t>A27 eastbound to A3M northbound link road closure</t>
  </si>
  <si>
    <t>Overall Scheme Details: A27 eastbound to A3M northbound.
Link road and lane closure for maintenance work.</t>
  </si>
  <si>
    <t>A249 Full Closure Bobbing NB</t>
  </si>
  <si>
    <t xml:space="preserve">Overall Scheme Details: A249 Bobbing Southbound and Northbound.
Bobbing on slip to Bobbing off slip full closure for Bobbing joint replacement.
</t>
  </si>
  <si>
    <t>M25 Anti-clockwise Jct 16 to Jct 15 carriageway closure</t>
  </si>
  <si>
    <t xml:space="preserve">Overall Scheme Details: M25 Anti-clockwise Jct 16 to Jct 15
Carriageway and link road closure for maintenance works 
Diversion via National Highways and Local Authorities Network </t>
  </si>
  <si>
    <t>A303 Westbound A350 to Wincanton carriageway closure 160/2a - 180/6a</t>
  </si>
  <si>
    <t xml:space="preserve">Overall Scheme Details: A303 Westbound A350 to Wincanton carriageway closure for resurfacing works. Diversion via A350 southbound to A30, A359 and rejoin A303 at Sparkford. </t>
  </si>
  <si>
    <t>M5 southbound Jct 4a to M42 northbound Jct 1 link road closure</t>
  </si>
  <si>
    <t xml:space="preserve">Overall Scheme Details: M5 southbound Jct 4a to M42 northbound Jct 1. 
Link road closure for maintenance works.
Diversion route via National Highways network. </t>
  </si>
  <si>
    <t>A45 westbound Straight Mile (A4071) to Fosse Way carriageway closure</t>
  </si>
  <si>
    <t xml:space="preserve">Overall Scheme Details: A45 westbound Thurlaston to Fosse Way.
Carriageway closure for maintenance works. 
Diversion via National Highways and local authority network. 
</t>
  </si>
  <si>
    <t>A47 both directions Cucumber Lane Roundabout to Acle Roundabout carriageway closure</t>
  </si>
  <si>
    <t>Overall Scheme Details: A47 both directions
Blofield to Acle - Carriageway closures, static lane closures and narrow lanes for carriageway construction on behalf of National Highways</t>
  </si>
  <si>
    <t>A12 southbound Jct 25 to 24 carriageway closure</t>
  </si>
  <si>
    <t>A14 eastbound Jct 58 to Jct 59 carriageway closure</t>
  </si>
  <si>
    <t>Overall Scheme Details: A14 both directions
Jct 56 to Jct 62 - carriageway closure for white lining/road markings on behalf of National Highways</t>
  </si>
  <si>
    <t>A12 southbound Jct 25 to Jct 21 carriageway closure</t>
  </si>
  <si>
    <t>Overall Scheme Details: A12 southbound 
Jct 25 to Jct 21 - carriageway closure for carriageway - reconstruction/renewal on behalf of National Highways</t>
  </si>
  <si>
    <t>A11 northbound Brandon Road Roundabout to Mundford Road Roundabout carriageway closure</t>
  </si>
  <si>
    <t>Overall Scheme Details: A11 northbound
Brandon Road Roundabout to Mundford Road Roundabout - carriageway closure, lane closure and diversion route due to white lining/road markings works on behalf of Ringway</t>
  </si>
  <si>
    <t>M1 southbound Jct 14 to Jct 11A carriageway closure</t>
  </si>
  <si>
    <t>A5 southbound Little Brickhill to Flying Fox roundabout carriageway closure</t>
  </si>
  <si>
    <t>Overall Scheme Details: A5 both directions 
Old Stratford Roundabout  to Thorn Roundabout - carriageway closure for horticulture cutting and planting on behalf of National Highways</t>
  </si>
  <si>
    <t>M40 southbound Jct 10 to Jct 9 carriageway closure</t>
  </si>
  <si>
    <t>Overall Scheme Details: M40 southbound
Jct 11 to Jct 9 lane closures, carriageway closure and diversion route for maintenance work
Diversion via National Highways network local authority roads</t>
  </si>
  <si>
    <t>M40 southbound Jct 10 entry slip road closure</t>
  </si>
  <si>
    <t>M40 southbound Jct 9 exit slip road closure</t>
  </si>
  <si>
    <t>M40 Southbound, Jct 15 to Jct 13, carriageway closure.</t>
  </si>
  <si>
    <t>Overall Scheme Details: M40 Southbound, Jct 16 to Jct 13.
Lane closure, Carriageway Closure, Slip road closure and diversion route for maintenance works.
Diversion route via national highways and local authority roads.</t>
  </si>
  <si>
    <t>M40 Southbound, Jct 15, Entry slip road closure.</t>
  </si>
  <si>
    <t>A45 northbound Wellingborough exit slip road closure</t>
  </si>
  <si>
    <t>M1 northbound Jct 24 exit slip road closure</t>
  </si>
  <si>
    <t>M1 northbound Jct 24 entry slip road closure</t>
  </si>
  <si>
    <t>M1 northbound Jct 24a entry slip closure</t>
  </si>
  <si>
    <t>A46 southbound Layby closure</t>
  </si>
  <si>
    <t>A46 southbound Red Lodge exit slip road closure</t>
  </si>
  <si>
    <t>A46 southbound Red Lodge entry slip road closure</t>
  </si>
  <si>
    <t>A46 southbound Red Lodge 2 way slip road closure</t>
  </si>
  <si>
    <t>M1 southbound Jct 26 entry slip road closure</t>
  </si>
  <si>
    <t xml:space="preserve">Overall Scheme Details: M1 southbound Jct 27 to Jct 26.
Slip road and lane closures for maintenance works. 
Diversion route via National Highways network. </t>
  </si>
  <si>
    <t>M1 northbound Jct 46 to Jct 48 carriageway closure</t>
  </si>
  <si>
    <t>Overall Scheme Details: A1M northbound and southbound Jct 42 to Jct 45 and M1 Jct 46 to Jct 48.
Carriageway and lane closures for carriageway improvement works.
Diversion A1M, M1, A6210, A63, A162 and A64.</t>
  </si>
  <si>
    <t>M1 northbound Jct 46 entry slip road closure</t>
  </si>
  <si>
    <t>M1 northbound Jct 47 exit slip road closure</t>
  </si>
  <si>
    <t>M1 northbound Jct 47 entry slip road closure</t>
  </si>
  <si>
    <t>A1M northbound Jct 42 to Jct 44 carriageway closure</t>
  </si>
  <si>
    <t>A1M northbound Jct 42 entry slip road closure</t>
  </si>
  <si>
    <t>M1 southbound Jct 38 to Jct 37 carriageway closure</t>
  </si>
  <si>
    <t>Overall Scheme Details: M1 southbound Jct 39 to Jct 37 
Carriageway closure and lane closures for carriageway repair works.
Diversion A637 A636 A629 A628</t>
  </si>
  <si>
    <t>M1 southbound Jct 38 entry slip road closure</t>
  </si>
  <si>
    <t>M1 southbound Jct 37 exit slip road closure</t>
  </si>
  <si>
    <t>M1 southbound Jct 35a entry slip road closure</t>
  </si>
  <si>
    <t>Overall Scheme Details: M1 southbound Jct 35A to Jct 35 
Slip road and lane closure for barrier repairs
Diversion via A616, A61, M1</t>
  </si>
  <si>
    <t>M62 eastbound Jct 34 exit slip road closure</t>
  </si>
  <si>
    <t>Overall Scheme Details: M62 eastbound Jct 32a to Jct 34, A162 southbound Ferrybridge 
Slip road and lane closures for carriageway repair works.
Diversion M62</t>
  </si>
  <si>
    <t>A1M Jct 63 to Jct 61 Southbound Carriageway Closure</t>
  </si>
  <si>
    <t>A1M Entry Slip Road from Washington Services Southbound Carriageway Closure</t>
  </si>
  <si>
    <t>A1M Jct 63 Southbound Entry Slip Road Closure</t>
  </si>
  <si>
    <t>A1M Jct 62 Southbound Exit Slip Road Closure</t>
  </si>
  <si>
    <t>A1M Jct 62 Southbound Entry Slip Road Closure</t>
  </si>
  <si>
    <t>A1M Jct 61 Southbound Exit Slip Road Closure</t>
  </si>
  <si>
    <t>A66 Boathouse westbound entry slip road closure</t>
  </si>
  <si>
    <t>A66 Yarm Road westbound exit slip road closure</t>
  </si>
  <si>
    <t>A66 Yarm Road westbound entry slip road closure</t>
  </si>
  <si>
    <t>A66 Elton westbound exit slip road closure</t>
  </si>
  <si>
    <t>A66 Boathouse to Elton westbound carriageway closure</t>
  </si>
  <si>
    <t>A1 Jct 66  southbound entry slip road closure</t>
  </si>
  <si>
    <t xml:space="preserve">Overall Scheme Details: A1 northbound and southbound Jct 64 to Jct 68
Carriageway closure including entry slip road closures for structure maintenance </t>
  </si>
  <si>
    <t>A19 Northbound Exit Slip Road Closure to A179 Sheraton.</t>
  </si>
  <si>
    <t>Overall Scheme Details: A19 Northbound Exit Slip Road Closure to A179 Sheraton.</t>
  </si>
  <si>
    <t>M56 westbound jct 6 exit slip road closure</t>
  </si>
  <si>
    <t>Overall Scheme Details: M56 westbound jct 6 - 7  lane closure and slip road closures for drainage on behalf of National Highways</t>
  </si>
  <si>
    <t>M56 westbound jct 6 entry slip road closure</t>
  </si>
  <si>
    <t>M67</t>
  </si>
  <si>
    <t>M67 eastbound jct 3 to 4 carriageway closure</t>
  </si>
  <si>
    <t>Overall Scheme Details: M67 both directions Hyde to Glossop - narrow lanes for construction improvement/upgrade on behalf of National Highways</t>
  </si>
  <si>
    <t>M67 eastbound jct 3 entry slip road closure</t>
  </si>
  <si>
    <t>M67 westbound jct 4 to 3 carriageway closure</t>
  </si>
  <si>
    <t>M67 westbound jct 3 exit slip road closure</t>
  </si>
  <si>
    <t>M6 Southbound Jct 20 entry slip road closure</t>
  </si>
  <si>
    <t>M56 westbound jct 10 exit slip road closure</t>
  </si>
  <si>
    <t>Overall Scheme Details: M56 westbound J10 to J11 - carriageway closure for drainage on behalf of National Highways</t>
  </si>
  <si>
    <t>M56 westbound jct 10 entry slip road closure</t>
  </si>
  <si>
    <t>M61 Northbound Jct 9 to M6 Jct 30 carriageway closure</t>
  </si>
  <si>
    <t>Overall Scheme Details: M61 both directions J8 to M61/M6 Interchange - carriageway closure for electrical works on behalf of National Highways</t>
  </si>
  <si>
    <t>M61 Northbound Jct 9 entry slip road closure</t>
  </si>
  <si>
    <t>M61 Southbound Jct 3 to 2 carriageway closure</t>
  </si>
  <si>
    <t>Overall Scheme Details: M61 both directions J3 to J1 - carriageway closure for barriers - permanent on behalf of National Highways</t>
  </si>
  <si>
    <t>M60 Anticlockwise Jct 1 exit slip road closure</t>
  </si>
  <si>
    <t>Overall Scheme Details: M60 both directions Jct 1  to Jct 25 - carriageway closure for electrical works on behalf of National Highways</t>
  </si>
  <si>
    <t>M60 Anticlockwise Jct 1 entry slip road closure</t>
  </si>
  <si>
    <t>M60 Anticlockwise Jct 27 exit slip road closure</t>
  </si>
  <si>
    <t>M57 Northbound Jct 2 exit slip road closure</t>
  </si>
  <si>
    <t>Overall Scheme Details: M57 both directions J2 to J2 - lane closure for drainage on behalf of National Highways</t>
  </si>
  <si>
    <t>A55</t>
  </si>
  <si>
    <t>A55 Westbound Jct 38 entry slip road closure</t>
  </si>
  <si>
    <t>Overall Scheme Details: A55 Eastbound and Westbound Junction 40 to Junction 38 - Carriageway Closure for Barriers - Permanent</t>
  </si>
  <si>
    <t>A55 Westbound Jct 38 to Jct 36 Carriageway Closure</t>
  </si>
  <si>
    <t>M6 Northbound Jct 27 to 28 carriageway closure</t>
  </si>
  <si>
    <t>Overall Scheme Details: M6 northbound J27 to J28 - carriageway closure for carriageway - reconstruction/renewal on behalf of National Highways</t>
  </si>
  <si>
    <t>M6 Northbound Jct 27 entry slip road closure</t>
  </si>
  <si>
    <t>M6 Northbound Jct 28 exit slip road closure</t>
  </si>
  <si>
    <t>M6 Northbound Charnock Richard Services exit and entry slip road closure</t>
  </si>
  <si>
    <t>M66</t>
  </si>
  <si>
    <t>M66 Southbound Jct 3 to 4 Carriageway Closure</t>
  </si>
  <si>
    <t>M66 Southbound Jct 3 entry slip road closure</t>
  </si>
  <si>
    <t>M66 Southbound Jct 4 exit slip road closure</t>
  </si>
  <si>
    <t>M66 Southbound to M62 Eastbound link road closure</t>
  </si>
  <si>
    <t>M55</t>
  </si>
  <si>
    <t>M55 Eastbound Jct 2 overbridge closure</t>
  </si>
  <si>
    <t>Overall Scheme Details: M55 Jct 2 Eastbound exit and entry slip roads
slip road closure for safety fence repairs</t>
  </si>
  <si>
    <t>M55 Eastbound Jct 2 Exit slip road closure</t>
  </si>
  <si>
    <t>M6 Southbound Jct 44 to 42 Lane 1 closure with closure of Jct 43 Entry slip road (Mp 488/6 - 487/9)</t>
  </si>
  <si>
    <t>Overall Scheme Details: M6 Southbound Jct 44 to 42
Lane 1 closure with closure of Jct 43 Entry slip road for barrier repairs</t>
  </si>
  <si>
    <t>A27 eastbound Langstone carriageway closure between the exit and entry slip roads</t>
  </si>
  <si>
    <t>M27 westbound Jct 5 exit slip road closure</t>
  </si>
  <si>
    <t>Overall Scheme Details: M27 westbound Jct 5.
Slip road and lane closure for maintenance work.</t>
  </si>
  <si>
    <t>M27 westbound Jct 5 entry slip road closure</t>
  </si>
  <si>
    <t>M27 westbound to M3 northbound link road closure</t>
  </si>
  <si>
    <t>M27 westbound Jct 8 carriageway closure between the exit and entry slip roads</t>
  </si>
  <si>
    <t>Overall Scheme Details: M27 both directions Jct 4 to 8
Carriageway and lane closures for vegetation works</t>
  </si>
  <si>
    <t>M3 southbound Jct 3 exit slip road closure</t>
  </si>
  <si>
    <t>Overall Scheme Details: M3 southbound Jct 3.
Slip road and lane closure for horticulture work.</t>
  </si>
  <si>
    <t>M4 westbound Jct 8/9 to Jct 10 carriageway closure</t>
  </si>
  <si>
    <t>Overall Scheme Details: M4 westbound Junction 7 to Junction 10
carriageway closure for maintenance works</t>
  </si>
  <si>
    <t>M27 eastbound carriageway closure Jct 9 to Jct 10</t>
  </si>
  <si>
    <t>Overall Scheme Details: M27 eastbound Jct 9 to Jct 11 
carriageway closure for barrier repair works</t>
  </si>
  <si>
    <t>A27 eastbound Boxgrove to Fontwell West carriageway closure</t>
  </si>
  <si>
    <t>A23 northbound Hickstead to Bolney carriageway closure</t>
  </si>
  <si>
    <t>Overall Scheme Details: A23 northbound Hickstead
carriageway, slip road and lane closure for maintenance work.</t>
  </si>
  <si>
    <t>A2 eastbound Wick Lane entry slip road closure</t>
  </si>
  <si>
    <t>Overall Scheme Details: A2 eastbound A260 to Lydden 
slip road and lane closure for maintenance works</t>
  </si>
  <si>
    <t>A2 eastbound Wick lane exit slip road closure</t>
  </si>
  <si>
    <t>A21 southbound Morleys road entry slip road closure</t>
  </si>
  <si>
    <t>Overall Scheme Details: A21 southbound Dibden Lane to Morleys Roundabout
slip road and lane closure for inspection/survey</t>
  </si>
  <si>
    <t>A27 westbound Falmer entry slip road closure</t>
  </si>
  <si>
    <t>Overall Scheme Details: A27 westbound Falmer to Coldean
slip road and lane closure for maintenance works</t>
  </si>
  <si>
    <t>A27 westbound Falmer exit slip road closure</t>
  </si>
  <si>
    <t>M25 Clockwise Jct 15 to Jct 16 and M4 Eastbound and westbound link road closure to M25 Anti-clockwise</t>
  </si>
  <si>
    <t>Overall Scheme Details: M25 Clockwise Jct 14 to Jct 16 and M4 Northbound, Eastbound and Westbound Jct 5 to Jct 4A
Lane, link road and carriageway closure for Carriageway repairs 
Diversion via National Highways network</t>
  </si>
  <si>
    <t>M25 Clockwise Jct 25 to Jct 27 carriageway closure</t>
  </si>
  <si>
    <t>Overall Scheme Details: M25 Clockwise Jct 25 to Jct 27
Carriageway and lane closure for routine maintenance works
Diversion via National Highways Network</t>
  </si>
  <si>
    <t>M25 Clockwise Jct 25 entry slip road closure</t>
  </si>
  <si>
    <t>M25 Clockwise Jct 26 entry slip road closure</t>
  </si>
  <si>
    <t>M26</t>
  </si>
  <si>
    <t>M26 Westbound Jct 3 to M25 Jct 5 carriageway closure</t>
  </si>
  <si>
    <t>Overall Scheme Details: M26 Westbound Jct 3 M25 Clockwise Jct 6
Carriageway and lane closure for routine maintenance work
Diversion via National Highways and Local Authorities Networks</t>
  </si>
  <si>
    <t>M25 Clockwise Jct 5 to Jct 6 carriageway closure</t>
  </si>
  <si>
    <t>M25 Clockwise Jct 2 to Jct 3 carriageway closure</t>
  </si>
  <si>
    <t>Overall Scheme Details: M25 Clockwise Dartford Crossing QEII Bridge Jct 31 to Jct 3
Carriageway, lane and link road closure for resurfacing works
Diversion via National Highways and Local Authorities Network</t>
  </si>
  <si>
    <t>A2 Westbound Darenth Interchange to M25 Clockwise Jct 2 link road closure</t>
  </si>
  <si>
    <t>M25 Clockwise Jct 2 entry slip road closure</t>
  </si>
  <si>
    <t>A126</t>
  </si>
  <si>
    <t>A126 Lakeside to A13 Westbound entry slip closure</t>
  </si>
  <si>
    <t>Overall Scheme Details: A13 Westbound A126 to M25 Jct 30
Slip road closure for cyclical maintenance works
Diversion via Local Authority and National Highway network</t>
  </si>
  <si>
    <t>A13 Westbound A126 to M25 Jct 30 exit slip road closure</t>
  </si>
  <si>
    <t>A20</t>
  </si>
  <si>
    <t>A20 Westbound Swanley By-pass link road closure</t>
  </si>
  <si>
    <t>Overall Scheme Details: A20 Westbound Swanley By-pass Link Road
Link Road closure for electrical works
Diversions via Local Authorities Network</t>
  </si>
  <si>
    <t>Overall Scheme Details: A3 Northbound Wisley between the slip roads and A3 Northbound Painshill to Esher
Carriageway, slip road and lane closure for joint renewals
Diversion via Local Authority and National Highway network</t>
  </si>
  <si>
    <t>M40 Westbound Jct 1a to M25 Clockwise and Anti-Clockwise Jct 16 Link Road Closure</t>
  </si>
  <si>
    <t>Overall Scheme Details: M40 Westbound Jct 1 to Jct 1A and M25 Clockwise and Anti-Clockwise
Link Road and Lane Closure For Safety Barrier Repairs
Diversion via National Highways Network</t>
  </si>
  <si>
    <t>M25 Anti-clockwise Jct 7 to M23 Northbound and Southbound Jct 8 link road closure</t>
  </si>
  <si>
    <t>Overall Scheme Details: M25 Anti-clockwise Jct 8 to Jct 7
Lane and link road closure for emergency safety fence repairs
Diversion via National Highways and Local Authorities Network</t>
  </si>
  <si>
    <t>A38 both directions Stoketon Cross carriageway closure (37/6 to 39/9)</t>
  </si>
  <si>
    <t>Overall Scheme Details: A38 both directions Stoketon Cross - carriageway closure for construction of new roundabout and housing development scheme.
Eastbound diversion - A390 to A388 southbound to Carkeel roundabout to rejoin A38.
Westbound diversion - As above in reverse.
Local traffic diversions also in place.</t>
  </si>
  <si>
    <t>A30 Eastbound Victoria entry slip road carriageway closure</t>
  </si>
  <si>
    <t xml:space="preserve">Overall Scheme Details: A30 Eastbound Victoria entry slip road carriageway closure for drainage works. Diversion via LA roads to Innis Down. </t>
  </si>
  <si>
    <t>M5 northbound Jct 21 entry slip closure</t>
  </si>
  <si>
    <t>Overall Scheme Details: M5 northbound Jct 21 entry slip closure, for St Georges Structural Upgrade scheme.
Diversion via M5 southbound to Jct 22 and return northbound</t>
  </si>
  <si>
    <t>M5 southbound Jct 10 exit slip road closed</t>
  </si>
  <si>
    <t>Overall Scheme Details: M5 southbound Jct 10 exit slip road closed including lane closures on main carriageway for white lining renewals.
Diversion via M5 southbound, exit Jct 11, A40 westbound, A38 to Jct 10</t>
  </si>
  <si>
    <t>M50 eastbound Jct 4 to Jct 2 carriageway closure</t>
  </si>
  <si>
    <t>Overall Scheme Details: M50 eastbound Jct 4 to Jct 2.
Carriageway closure for maintenance works.
Diversion via National Highways and local authority network.</t>
  </si>
  <si>
    <t>A5 westbound Mile Oak to Weeford Carriageway closure</t>
  </si>
  <si>
    <t>Overall Scheme Details: A5 both directions Weeford Interchange to Mile Oak. 
Carriageway closure for HS2 works. 
Diversion via National Highways and local authority network.</t>
  </si>
  <si>
    <t>A5 eastbound Weeford to Mile Oak carriageway closure</t>
  </si>
  <si>
    <t>A5 both directions Gailey roundabout to M6 Jct 12 carriageway closure</t>
  </si>
  <si>
    <t xml:space="preserve">Overall Scheme Details: A5 both directions Gailey roundabout to M6 Jct 12.
Carriageway closure for maintenance works.
Diversion via National Highways and local authority network. 
</t>
  </si>
  <si>
    <t>M25 Anti clockwise to M40 Northbound link road closure</t>
  </si>
  <si>
    <t>M62 westbound jct 10 exit slip road closure</t>
  </si>
  <si>
    <t xml:space="preserve">Overall Scheme Details: M62 eastbound and westbound jct 10 lane closures and slip road closures due to electrical works </t>
  </si>
  <si>
    <t>M25 Jct 29 roundabout north quadrant full closure</t>
  </si>
  <si>
    <t>Overall Scheme Details: M25 Jct 29 roundabout and approaches 
Carriageway, slip road and lane closure for urgent carriageway repairs 
Diversion via Local Authorities and National Highways Network</t>
  </si>
  <si>
    <t>M25 Clockwise Jct 29 exit slip road closure</t>
  </si>
  <si>
    <t>M25 Anti-clockwise Jct 29 entry slip road closure</t>
  </si>
  <si>
    <t>M25 Jct 29 roundabout north quadrant closure</t>
  </si>
  <si>
    <t>Overall Scheme Details: M25 Jct 29 roundabout 
Carriageway closure for urgent pothole repairs 
Diversion via Local Authority and National Highways Network</t>
  </si>
  <si>
    <t>M1 southbound Jct 31 exit slip road closure</t>
  </si>
  <si>
    <t>Overall Scheme Details: M1 southbound Jct 32 to Jct 30 
Slip road closures and lane closures for inspections/surveys
Diversion M1 A616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</si>
</sst>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5">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2" xfId="0" applyBorder="1" applyAlignment="1">
      <alignment horizontal="left" vertical="top" wrapText="1"/>
    </xf>
    <xf numFmtId="22" fontId="0" fillId="0" borderId="2" xfId="0" applyNumberFormat="1" applyBorder="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5">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4"/>
      <tableStyleElement type="headerRow" dxfId="23"/>
    </tableStyle>
    <tableStyle name="ClosureRpt 2" pivot="0" table="0" count="2" xr9:uid="{53E7C76E-6A63-4C5C-BBBF-BBFBF7EDB5AC}">
      <tableStyleElement type="wholeTable" dxfId="22"/>
      <tableStyleElement type="headerRow" dxfId="21"/>
    </tableStyle>
    <tableStyle name="ClosureRpt 3" pivot="0" table="0" count="2" xr9:uid="{0EDFDD6F-E977-4BC5-B30A-44FACA3F65AF}">
      <tableStyleElement type="wholeTable" dxfId="20"/>
      <tableStyleElement type="headerRow" dxfId="19"/>
    </tableStyle>
    <tableStyle name="ClosureRpt 4" pivot="0" table="0" count="2" xr9:uid="{6F313F84-EE9B-4AD5-88E3-9C7140FC217B}">
      <tableStyleElement type="wholeTable" dxfId="18"/>
      <tableStyleElement type="headerRow" dxfId="17"/>
    </tableStyle>
    <tableStyle name="ClosureRpt 5" pivot="0" table="0" count="2" xr9:uid="{B175135D-E846-4DFF-AD85-F4162F757744}">
      <tableStyleElement type="wholeTable" dxfId="16"/>
      <tableStyleElement type="headerRow" dxfId="15"/>
    </tableStyle>
    <tableStyle name="ClosureRpt 6" pivot="0" table="0" count="2" xr9:uid="{C16379D2-38BE-445F-9953-2FFFE4132743}">
      <tableStyleElement type="wholeTable" dxfId="14"/>
      <tableStyleElement type="headerRow" dxfId="13"/>
    </tableStyle>
    <tableStyle name="ClosureRpt 7" pivot="0" table="0" count="2" xr9:uid="{5EADC49E-4006-436D-968B-31F3DCF4D027}">
      <tableStyleElement type="wholeTable" dxfId="12"/>
      <tableStyleElement type="headerRow" dxfId="1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6" t="s">
        <v>15</v>
      </c>
      <c r="B1" s="36"/>
      <c r="C1" s="36"/>
      <c r="D1" s="36"/>
      <c r="E1" s="36"/>
      <c r="F1" s="36"/>
    </row>
    <row r="2" spans="1:6" s="2" customFormat="1" ht="26" x14ac:dyDescent="0.35">
      <c r="A2" s="40">
        <v>46255</v>
      </c>
      <c r="B2" s="40"/>
      <c r="C2" s="44" t="str">
        <f>"to "&amp;TEXT($A$2+6,"dddd d mmm yyyy")</f>
        <v>to Thursday 27 Aug 2026</v>
      </c>
      <c r="D2" s="44"/>
      <c r="E2" s="44"/>
      <c r="F2" s="44"/>
    </row>
    <row r="3" spans="1:6" ht="12.75" customHeight="1" x14ac:dyDescent="0.35">
      <c r="A3" s="37" t="s">
        <v>13</v>
      </c>
      <c r="B3" s="37"/>
      <c r="C3" s="37"/>
      <c r="D3" s="37"/>
      <c r="E3" s="37"/>
      <c r="F3" s="37"/>
    </row>
    <row r="4" spans="1:6" s="2" customFormat="1" ht="27.5" x14ac:dyDescent="0.35">
      <c r="A4" s="42" t="str">
        <f>TEXT($A$2,"dddd, d mmmm")</f>
        <v>Friday, 21 August</v>
      </c>
      <c r="B4" s="42"/>
      <c r="C4" s="42"/>
      <c r="D4" s="42"/>
      <c r="E4" s="42"/>
      <c r="F4" s="42"/>
    </row>
    <row r="5" spans="1:6" s="2" customFormat="1" ht="27.5" x14ac:dyDescent="0.35">
      <c r="A5" s="41" t="str">
        <f>TEXT($A$2+1,"dddd, d mmmm")</f>
        <v>Saturday, 22 August</v>
      </c>
      <c r="B5" s="41"/>
      <c r="C5" s="41"/>
      <c r="D5" s="41"/>
      <c r="E5" s="41"/>
      <c r="F5" s="41"/>
    </row>
    <row r="6" spans="1:6" s="2" customFormat="1" ht="27.5" x14ac:dyDescent="0.35">
      <c r="A6" s="42" t="str">
        <f>TEXT($A$2+2,"dddd, d mmmm")</f>
        <v>Sunday, 23 August</v>
      </c>
      <c r="B6" s="42"/>
      <c r="C6" s="42"/>
      <c r="D6" s="42"/>
      <c r="E6" s="42"/>
      <c r="F6" s="42"/>
    </row>
    <row r="7" spans="1:6" s="2" customFormat="1" ht="27.5" x14ac:dyDescent="0.35">
      <c r="A7" s="41" t="str">
        <f>TEXT($A$2+3,"dddd, d mmmm")</f>
        <v>Monday, 24 August</v>
      </c>
      <c r="B7" s="41"/>
      <c r="C7" s="41"/>
      <c r="D7" s="41"/>
      <c r="E7" s="41"/>
      <c r="F7" s="41"/>
    </row>
    <row r="8" spans="1:6" s="2" customFormat="1" ht="27.5" x14ac:dyDescent="0.35">
      <c r="A8" s="43" t="str">
        <f>TEXT($A$2+4,"dddd, d mmmm")</f>
        <v>Tuesday, 25 August</v>
      </c>
      <c r="B8" s="43"/>
      <c r="C8" s="43"/>
      <c r="D8" s="43"/>
      <c r="E8" s="43"/>
      <c r="F8" s="43"/>
    </row>
    <row r="9" spans="1:6" s="2" customFormat="1" ht="27.5" x14ac:dyDescent="0.35">
      <c r="A9" s="41" t="str">
        <f>TEXT($A$2+5,"dddd, d mmmm")</f>
        <v>Wednesday, 26 August</v>
      </c>
      <c r="B9" s="41"/>
      <c r="C9" s="41"/>
      <c r="D9" s="41"/>
      <c r="E9" s="41"/>
      <c r="F9" s="41"/>
    </row>
    <row r="10" spans="1:6" s="2" customFormat="1" ht="27.5" x14ac:dyDescent="0.35">
      <c r="A10" s="42" t="str">
        <f>TEXT($A$2+6,"dddd, d mmmm")</f>
        <v>Thursday, 27 August</v>
      </c>
      <c r="B10" s="42"/>
      <c r="C10" s="42"/>
      <c r="D10" s="42"/>
      <c r="E10" s="42"/>
      <c r="F10" s="42"/>
    </row>
    <row r="11" spans="1:6" s="9" customFormat="1" ht="46.5" customHeight="1" x14ac:dyDescent="0.35">
      <c r="A11" s="38" t="s">
        <v>16</v>
      </c>
      <c r="B11" s="38"/>
      <c r="C11" s="38"/>
      <c r="D11" s="38"/>
      <c r="E11" s="38"/>
      <c r="F11" s="38"/>
    </row>
    <row r="12" spans="1:6" s="10" customFormat="1" ht="47.25" customHeight="1" x14ac:dyDescent="0.35">
      <c r="A12" s="39" t="s">
        <v>14</v>
      </c>
      <c r="B12" s="39"/>
      <c r="C12" s="39"/>
      <c r="D12" s="39"/>
      <c r="E12" s="39"/>
      <c r="F12" s="39"/>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Friday!A3" display="Friday!A3" xr:uid="{7DE4A605-4260-40B2-A084-1D06D1A971B2}"/>
    <hyperlink ref="A5:F5" location="Saturday!A3" display="Saturday!A3" xr:uid="{3452476D-5801-4C2D-99ED-71DCCF499C47}"/>
    <hyperlink ref="A6:F6" location="Sunday!A3" display="Sunday!A3" xr:uid="{6C320A7D-64ED-43FC-B74B-4657F54DC60A}"/>
    <hyperlink ref="A7:F7" location="Monday!A3" display="Monday!A3" xr:uid="{840106FB-CF08-44B2-A5FC-F315E2BB9DE3}"/>
    <hyperlink ref="A8:F8" location="Tuesday!A1" display="Tuesday!A1" xr:uid="{8B0DE19A-8E3C-4C40-A565-EEC6F75C451B}"/>
    <hyperlink ref="A9:F9" location="Wednesday!A1" display="Wednesday!A1" xr:uid="{EA033183-595F-47B8-9001-AF05B3330931}"/>
    <hyperlink ref="A10:F10" location="Thursday!A3" display="Thurs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33"/>
  <sheetViews>
    <sheetView tabSelected="1" zoomScaleNormal="100" workbookViewId="0">
      <pane ySplit="1" topLeftCell="A2" activePane="bottomLeft" state="frozenSplit"/>
      <selection sqref="A1:F1"/>
      <selection pane="bottomLeft" activeCell="D5" sqref="D5"/>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5" t="str">
        <f>"Daily closure report: "&amp;'Front page'!A4</f>
        <v>Daily closure report: Friday, 21 August</v>
      </c>
      <c r="B1" s="35"/>
      <c r="C1" s="35"/>
      <c r="D1" s="35"/>
      <c r="E1" s="35"/>
      <c r="F1" s="35"/>
    </row>
    <row r="2" spans="1:6" s="5" customFormat="1" ht="28" x14ac:dyDescent="0.35">
      <c r="A2" s="12" t="s">
        <v>9</v>
      </c>
      <c r="B2" s="12" t="s">
        <v>1</v>
      </c>
      <c r="C2" s="12" t="s">
        <v>0</v>
      </c>
      <c r="D2" s="11" t="s">
        <v>11</v>
      </c>
      <c r="E2" s="11" t="s">
        <v>12</v>
      </c>
      <c r="F2" s="12" t="s">
        <v>10</v>
      </c>
    </row>
    <row r="3" spans="1:6" s="6" customFormat="1" ht="62" x14ac:dyDescent="0.35">
      <c r="A3" s="29" t="s">
        <v>24</v>
      </c>
      <c r="B3" s="29" t="s">
        <v>2</v>
      </c>
      <c r="C3" s="30" t="s">
        <v>25</v>
      </c>
      <c r="D3" s="31">
        <v>46255.875</v>
      </c>
      <c r="E3" s="31">
        <v>46256.208333333299</v>
      </c>
      <c r="F3" s="30" t="s">
        <v>26</v>
      </c>
    </row>
    <row r="4" spans="1:6" s="6" customFormat="1" ht="62" x14ac:dyDescent="0.35">
      <c r="A4" s="29" t="s">
        <v>24</v>
      </c>
      <c r="B4" s="29" t="s">
        <v>6</v>
      </c>
      <c r="C4" s="30" t="s">
        <v>732</v>
      </c>
      <c r="D4" s="31">
        <v>46255.875</v>
      </c>
      <c r="E4" s="31">
        <v>46258.208333333299</v>
      </c>
      <c r="F4" s="30" t="s">
        <v>733</v>
      </c>
    </row>
    <row r="5" spans="1:6" s="6" customFormat="1" ht="77.5" x14ac:dyDescent="0.35">
      <c r="A5" s="29" t="s">
        <v>24</v>
      </c>
      <c r="B5" s="29" t="s">
        <v>6</v>
      </c>
      <c r="C5" s="30" t="s">
        <v>734</v>
      </c>
      <c r="D5" s="31">
        <v>46255.875</v>
      </c>
      <c r="E5" s="31">
        <v>46258.208333333299</v>
      </c>
      <c r="F5" s="30" t="s">
        <v>733</v>
      </c>
    </row>
    <row r="6" spans="1:6" s="6" customFormat="1" ht="77.5" x14ac:dyDescent="0.35">
      <c r="A6" s="29" t="s">
        <v>24</v>
      </c>
      <c r="B6" s="29" t="s">
        <v>2</v>
      </c>
      <c r="C6" s="30" t="s">
        <v>735</v>
      </c>
      <c r="D6" s="31">
        <v>46255.875</v>
      </c>
      <c r="E6" s="31">
        <v>46258.208333333299</v>
      </c>
      <c r="F6" s="30" t="s">
        <v>733</v>
      </c>
    </row>
    <row r="7" spans="1:6" s="6" customFormat="1" ht="77.5" x14ac:dyDescent="0.35">
      <c r="A7" s="29" t="s">
        <v>24</v>
      </c>
      <c r="B7" s="29" t="s">
        <v>44</v>
      </c>
      <c r="C7" s="30" t="s">
        <v>45</v>
      </c>
      <c r="D7" s="31">
        <v>45847.208333333299</v>
      </c>
      <c r="E7" s="31">
        <v>46507.999305555597</v>
      </c>
      <c r="F7" s="30" t="s">
        <v>46</v>
      </c>
    </row>
    <row r="8" spans="1:6" s="6" customFormat="1" ht="62" x14ac:dyDescent="0.35">
      <c r="A8" s="29" t="s">
        <v>24</v>
      </c>
      <c r="B8" s="29" t="s">
        <v>6</v>
      </c>
      <c r="C8" s="30" t="s">
        <v>97</v>
      </c>
      <c r="D8" s="31">
        <v>46255.833333333299</v>
      </c>
      <c r="E8" s="31">
        <v>46256.25</v>
      </c>
      <c r="F8" s="30" t="s">
        <v>98</v>
      </c>
    </row>
    <row r="9" spans="1:6" s="6" customFormat="1" ht="62" x14ac:dyDescent="0.35">
      <c r="A9" s="29" t="s">
        <v>24</v>
      </c>
      <c r="B9" s="29" t="s">
        <v>6</v>
      </c>
      <c r="C9" s="30" t="s">
        <v>99</v>
      </c>
      <c r="D9" s="31">
        <v>46255.833333333299</v>
      </c>
      <c r="E9" s="31">
        <v>46256.25</v>
      </c>
      <c r="F9" s="30" t="s">
        <v>98</v>
      </c>
    </row>
    <row r="10" spans="1:6" s="6" customFormat="1" ht="46.5" x14ac:dyDescent="0.35">
      <c r="A10" s="29" t="s">
        <v>24</v>
      </c>
      <c r="B10" s="29" t="s">
        <v>6</v>
      </c>
      <c r="C10" s="30" t="s">
        <v>100</v>
      </c>
      <c r="D10" s="31">
        <v>46255.833333333299</v>
      </c>
      <c r="E10" s="31">
        <v>46256.25</v>
      </c>
      <c r="F10" s="30" t="s">
        <v>98</v>
      </c>
    </row>
    <row r="11" spans="1:6" s="6" customFormat="1" ht="46.5" x14ac:dyDescent="0.35">
      <c r="A11" s="29" t="s">
        <v>24</v>
      </c>
      <c r="B11" s="29" t="s">
        <v>6</v>
      </c>
      <c r="C11" s="30" t="s">
        <v>101</v>
      </c>
      <c r="D11" s="31">
        <v>46255.833333333299</v>
      </c>
      <c r="E11" s="31">
        <v>46256.25</v>
      </c>
      <c r="F11" s="30" t="s">
        <v>98</v>
      </c>
    </row>
    <row r="12" spans="1:6" s="6" customFormat="1" ht="46.5" x14ac:dyDescent="0.35">
      <c r="A12" s="29" t="s">
        <v>24</v>
      </c>
      <c r="B12" s="29" t="s">
        <v>6</v>
      </c>
      <c r="C12" s="30" t="s">
        <v>102</v>
      </c>
      <c r="D12" s="31">
        <v>46255.833333333299</v>
      </c>
      <c r="E12" s="31">
        <v>46256.25</v>
      </c>
      <c r="F12" s="30" t="s">
        <v>98</v>
      </c>
    </row>
    <row r="13" spans="1:6" s="6" customFormat="1" ht="77.5" x14ac:dyDescent="0.35">
      <c r="A13" s="29" t="s">
        <v>24</v>
      </c>
      <c r="B13" s="29" t="s">
        <v>6</v>
      </c>
      <c r="C13" s="30" t="s">
        <v>103</v>
      </c>
      <c r="D13" s="31">
        <v>46255.833333333299</v>
      </c>
      <c r="E13" s="31">
        <v>46256.25</v>
      </c>
      <c r="F13" s="30" t="s">
        <v>98</v>
      </c>
    </row>
    <row r="14" spans="1:6" s="6" customFormat="1" ht="77.5" x14ac:dyDescent="0.35">
      <c r="A14" s="29" t="s">
        <v>24</v>
      </c>
      <c r="B14" s="29" t="s">
        <v>2</v>
      </c>
      <c r="C14" s="30" t="s">
        <v>557</v>
      </c>
      <c r="D14" s="31">
        <v>46255.833333333299</v>
      </c>
      <c r="E14" s="31">
        <v>46256.25</v>
      </c>
      <c r="F14" s="30" t="s">
        <v>558</v>
      </c>
    </row>
    <row r="15" spans="1:6" s="6" customFormat="1" ht="77.5" x14ac:dyDescent="0.35">
      <c r="A15" s="29" t="s">
        <v>24</v>
      </c>
      <c r="B15" s="29" t="s">
        <v>2</v>
      </c>
      <c r="C15" s="30" t="s">
        <v>559</v>
      </c>
      <c r="D15" s="31">
        <v>46255.833333333299</v>
      </c>
      <c r="E15" s="31">
        <v>46256.25</v>
      </c>
      <c r="F15" s="30" t="s">
        <v>558</v>
      </c>
    </row>
    <row r="16" spans="1:6" s="6" customFormat="1" ht="77.5" x14ac:dyDescent="0.35">
      <c r="A16" s="29" t="s">
        <v>24</v>
      </c>
      <c r="B16" s="29" t="s">
        <v>6</v>
      </c>
      <c r="C16" s="30" t="s">
        <v>931</v>
      </c>
      <c r="D16" s="31">
        <v>46255.875</v>
      </c>
      <c r="E16" s="31">
        <v>46256.25</v>
      </c>
      <c r="F16" s="30" t="s">
        <v>932</v>
      </c>
    </row>
    <row r="17" spans="1:6" s="6" customFormat="1" ht="77.5" x14ac:dyDescent="0.35">
      <c r="A17" s="29" t="s">
        <v>47</v>
      </c>
      <c r="B17" s="29" t="s">
        <v>2</v>
      </c>
      <c r="C17" s="30" t="s">
        <v>48</v>
      </c>
      <c r="D17" s="31">
        <v>46255.875</v>
      </c>
      <c r="E17" s="31">
        <v>46256.208333333299</v>
      </c>
      <c r="F17" s="30" t="s">
        <v>49</v>
      </c>
    </row>
    <row r="18" spans="1:6" s="6" customFormat="1" ht="46.5" x14ac:dyDescent="0.35">
      <c r="A18" s="29" t="s">
        <v>47</v>
      </c>
      <c r="B18" s="29" t="s">
        <v>2</v>
      </c>
      <c r="C18" s="30" t="s">
        <v>910</v>
      </c>
      <c r="D18" s="31">
        <v>46255.854166666701</v>
      </c>
      <c r="E18" s="31">
        <v>46256.25</v>
      </c>
      <c r="F18" s="30" t="s">
        <v>906</v>
      </c>
    </row>
    <row r="19" spans="1:6" s="6" customFormat="1" ht="62" x14ac:dyDescent="0.35">
      <c r="A19" s="29" t="s">
        <v>47</v>
      </c>
      <c r="B19" s="29" t="s">
        <v>2</v>
      </c>
      <c r="C19" s="30" t="s">
        <v>911</v>
      </c>
      <c r="D19" s="31">
        <v>46255.854166666701</v>
      </c>
      <c r="E19" s="31">
        <v>46256.25</v>
      </c>
      <c r="F19" s="30" t="s">
        <v>906</v>
      </c>
    </row>
    <row r="20" spans="1:6" s="6" customFormat="1" ht="46.5" x14ac:dyDescent="0.35">
      <c r="A20" s="29" t="s">
        <v>47</v>
      </c>
      <c r="B20" s="29" t="s">
        <v>6</v>
      </c>
      <c r="C20" s="30" t="s">
        <v>846</v>
      </c>
      <c r="D20" s="31">
        <v>46255.875</v>
      </c>
      <c r="E20" s="31">
        <v>46256.25</v>
      </c>
      <c r="F20" s="30" t="s">
        <v>847</v>
      </c>
    </row>
    <row r="21" spans="1:6" s="6" customFormat="1" ht="62" x14ac:dyDescent="0.35">
      <c r="A21" s="29" t="s">
        <v>47</v>
      </c>
      <c r="B21" s="29" t="s">
        <v>6</v>
      </c>
      <c r="C21" s="30" t="s">
        <v>920</v>
      </c>
      <c r="D21" s="31">
        <v>46255.833333333299</v>
      </c>
      <c r="E21" s="31">
        <v>46256.25</v>
      </c>
      <c r="F21" s="30" t="s">
        <v>165</v>
      </c>
    </row>
    <row r="22" spans="1:6" s="6" customFormat="1" ht="77.5" x14ac:dyDescent="0.35">
      <c r="A22" s="29" t="s">
        <v>47</v>
      </c>
      <c r="B22" s="29" t="s">
        <v>6</v>
      </c>
      <c r="C22" s="30" t="s">
        <v>921</v>
      </c>
      <c r="D22" s="31">
        <v>46255.833333333299</v>
      </c>
      <c r="E22" s="31">
        <v>46256.25</v>
      </c>
      <c r="F22" s="30" t="s">
        <v>165</v>
      </c>
    </row>
    <row r="23" spans="1:6" s="6" customFormat="1" ht="77.5" x14ac:dyDescent="0.35">
      <c r="A23" s="29" t="s">
        <v>47</v>
      </c>
      <c r="B23" s="29" t="s">
        <v>6</v>
      </c>
      <c r="C23" s="30" t="s">
        <v>922</v>
      </c>
      <c r="D23" s="31">
        <v>46255.833333333299</v>
      </c>
      <c r="E23" s="31">
        <v>46256.25</v>
      </c>
      <c r="F23" s="30" t="s">
        <v>165</v>
      </c>
    </row>
    <row r="24" spans="1:6" s="6" customFormat="1" ht="77.5" x14ac:dyDescent="0.35">
      <c r="A24" s="29" t="s">
        <v>47</v>
      </c>
      <c r="B24" s="29" t="s">
        <v>6</v>
      </c>
      <c r="C24" s="30" t="s">
        <v>923</v>
      </c>
      <c r="D24" s="31">
        <v>46255.833333333299</v>
      </c>
      <c r="E24" s="31">
        <v>46256.25</v>
      </c>
      <c r="F24" s="30" t="s">
        <v>165</v>
      </c>
    </row>
    <row r="25" spans="1:6" s="6" customFormat="1" ht="62" x14ac:dyDescent="0.35">
      <c r="A25" s="29" t="s">
        <v>47</v>
      </c>
      <c r="B25" s="29" t="s">
        <v>6</v>
      </c>
      <c r="C25" s="30" t="s">
        <v>924</v>
      </c>
      <c r="D25" s="31">
        <v>46255.833333333299</v>
      </c>
      <c r="E25" s="31">
        <v>46256.25</v>
      </c>
      <c r="F25" s="30" t="s">
        <v>165</v>
      </c>
    </row>
    <row r="26" spans="1:6" s="6" customFormat="1" ht="62" x14ac:dyDescent="0.35">
      <c r="A26" s="29" t="s">
        <v>47</v>
      </c>
      <c r="B26" s="29" t="s">
        <v>6</v>
      </c>
      <c r="C26" s="30" t="s">
        <v>925</v>
      </c>
      <c r="D26" s="31">
        <v>46255.833333333299</v>
      </c>
      <c r="E26" s="31">
        <v>46256.25</v>
      </c>
      <c r="F26" s="30" t="s">
        <v>165</v>
      </c>
    </row>
    <row r="27" spans="1:6" s="6" customFormat="1" ht="62" x14ac:dyDescent="0.35">
      <c r="A27" s="29" t="s">
        <v>339</v>
      </c>
      <c r="B27" s="29" t="s">
        <v>6</v>
      </c>
      <c r="C27" s="30" t="s">
        <v>340</v>
      </c>
      <c r="D27" s="31">
        <v>46255.833333333299</v>
      </c>
      <c r="E27" s="31">
        <v>46256.166666666701</v>
      </c>
      <c r="F27" s="30" t="s">
        <v>341</v>
      </c>
    </row>
    <row r="28" spans="1:6" s="6" customFormat="1" ht="62" x14ac:dyDescent="0.35">
      <c r="A28" s="29" t="s">
        <v>53</v>
      </c>
      <c r="B28" s="29" t="s">
        <v>2</v>
      </c>
      <c r="C28" s="30" t="s">
        <v>883</v>
      </c>
      <c r="D28" s="31">
        <v>46255.833333333299</v>
      </c>
      <c r="E28" s="31">
        <v>46256.25</v>
      </c>
      <c r="F28" s="30" t="s">
        <v>884</v>
      </c>
    </row>
    <row r="29" spans="1:6" s="6" customFormat="1" ht="62" x14ac:dyDescent="0.35">
      <c r="A29" s="29" t="s">
        <v>17</v>
      </c>
      <c r="B29" s="29" t="s">
        <v>6</v>
      </c>
      <c r="C29" s="30" t="s">
        <v>878</v>
      </c>
      <c r="D29" s="31">
        <v>46255.875</v>
      </c>
      <c r="E29" s="31">
        <v>46256.208333333299</v>
      </c>
      <c r="F29" s="30" t="s">
        <v>19</v>
      </c>
    </row>
    <row r="30" spans="1:6" s="6" customFormat="1" ht="62" x14ac:dyDescent="0.35">
      <c r="A30" s="29" t="s">
        <v>17</v>
      </c>
      <c r="B30" s="29" t="s">
        <v>6</v>
      </c>
      <c r="C30" s="30" t="s">
        <v>881</v>
      </c>
      <c r="D30" s="31">
        <v>46255.875</v>
      </c>
      <c r="E30" s="31">
        <v>46256.208333333299</v>
      </c>
      <c r="F30" s="30" t="s">
        <v>882</v>
      </c>
    </row>
    <row r="31" spans="1:6" s="6" customFormat="1" ht="93" x14ac:dyDescent="0.35">
      <c r="A31" s="29" t="s">
        <v>1017</v>
      </c>
      <c r="B31" s="29" t="s">
        <v>5</v>
      </c>
      <c r="C31" s="30" t="s">
        <v>1018</v>
      </c>
      <c r="D31" s="31">
        <v>46255.958333333299</v>
      </c>
      <c r="E31" s="31">
        <v>46256.229166666701</v>
      </c>
      <c r="F31" s="30" t="s">
        <v>1019</v>
      </c>
    </row>
    <row r="32" spans="1:6" s="6" customFormat="1" ht="93" x14ac:dyDescent="0.35">
      <c r="A32" s="29" t="s">
        <v>342</v>
      </c>
      <c r="B32" s="29" t="s">
        <v>5</v>
      </c>
      <c r="C32" s="30" t="s">
        <v>1020</v>
      </c>
      <c r="D32" s="31">
        <v>46255.958333333299</v>
      </c>
      <c r="E32" s="31">
        <v>46256.229166666701</v>
      </c>
      <c r="F32" s="30" t="s">
        <v>1019</v>
      </c>
    </row>
    <row r="33" spans="1:6" s="6" customFormat="1" ht="93" x14ac:dyDescent="0.35">
      <c r="A33" s="29" t="s">
        <v>38</v>
      </c>
      <c r="B33" s="29" t="s">
        <v>4</v>
      </c>
      <c r="C33" s="30" t="s">
        <v>879</v>
      </c>
      <c r="D33" s="31">
        <v>46255.895833333299</v>
      </c>
      <c r="E33" s="31">
        <v>46256.25</v>
      </c>
      <c r="F33" s="30" t="s">
        <v>880</v>
      </c>
    </row>
    <row r="34" spans="1:6" s="6" customFormat="1" ht="93" x14ac:dyDescent="0.35">
      <c r="A34" s="29" t="s">
        <v>38</v>
      </c>
      <c r="B34" s="29" t="s">
        <v>4</v>
      </c>
      <c r="C34" s="30" t="s">
        <v>730</v>
      </c>
      <c r="D34" s="31">
        <v>46255.875</v>
      </c>
      <c r="E34" s="31">
        <v>46258.208333333299</v>
      </c>
      <c r="F34" s="30" t="s">
        <v>731</v>
      </c>
    </row>
    <row r="35" spans="1:6" s="6" customFormat="1" ht="93" x14ac:dyDescent="0.35">
      <c r="A35" s="29" t="s">
        <v>38</v>
      </c>
      <c r="B35" s="29" t="s">
        <v>5</v>
      </c>
      <c r="C35" s="30" t="s">
        <v>78</v>
      </c>
      <c r="D35" s="31">
        <v>46255.541666666701</v>
      </c>
      <c r="E35" s="31">
        <v>46256.25</v>
      </c>
      <c r="F35" s="30" t="s">
        <v>79</v>
      </c>
    </row>
    <row r="36" spans="1:6" s="6" customFormat="1" ht="93" x14ac:dyDescent="0.35">
      <c r="A36" s="29" t="s">
        <v>38</v>
      </c>
      <c r="B36" s="29" t="s">
        <v>5</v>
      </c>
      <c r="C36" s="30" t="s">
        <v>80</v>
      </c>
      <c r="D36" s="31">
        <v>46255.833333333299</v>
      </c>
      <c r="E36" s="31">
        <v>46256.25</v>
      </c>
      <c r="F36" s="30" t="s">
        <v>79</v>
      </c>
    </row>
    <row r="37" spans="1:6" s="6" customFormat="1" ht="93" x14ac:dyDescent="0.35">
      <c r="A37" s="29" t="s">
        <v>38</v>
      </c>
      <c r="B37" s="29" t="s">
        <v>5</v>
      </c>
      <c r="C37" s="30" t="s">
        <v>81</v>
      </c>
      <c r="D37" s="31">
        <v>46255.833333333299</v>
      </c>
      <c r="E37" s="31">
        <v>46256.25</v>
      </c>
      <c r="F37" s="30" t="s">
        <v>79</v>
      </c>
    </row>
    <row r="38" spans="1:6" s="6" customFormat="1" ht="93" x14ac:dyDescent="0.35">
      <c r="A38" s="29" t="s">
        <v>38</v>
      </c>
      <c r="B38" s="29" t="s">
        <v>5</v>
      </c>
      <c r="C38" s="30" t="s">
        <v>82</v>
      </c>
      <c r="D38" s="31">
        <v>46255.833333333299</v>
      </c>
      <c r="E38" s="31">
        <v>46256.25</v>
      </c>
      <c r="F38" s="30" t="s">
        <v>79</v>
      </c>
    </row>
    <row r="39" spans="1:6" s="14" customFormat="1" ht="93" x14ac:dyDescent="0.35">
      <c r="A39" s="29" t="s">
        <v>38</v>
      </c>
      <c r="B39" s="29" t="s">
        <v>5</v>
      </c>
      <c r="C39" s="30" t="s">
        <v>83</v>
      </c>
      <c r="D39" s="31">
        <v>46255.833333333299</v>
      </c>
      <c r="E39" s="31">
        <v>46256.25</v>
      </c>
      <c r="F39" s="30" t="s">
        <v>79</v>
      </c>
    </row>
    <row r="40" spans="1:6" s="6" customFormat="1" ht="93" x14ac:dyDescent="0.35">
      <c r="A40" s="29" t="s">
        <v>38</v>
      </c>
      <c r="B40" s="29" t="s">
        <v>5</v>
      </c>
      <c r="C40" s="30" t="s">
        <v>84</v>
      </c>
      <c r="D40" s="31">
        <v>46255.833333333299</v>
      </c>
      <c r="E40" s="31">
        <v>46256.25</v>
      </c>
      <c r="F40" s="30" t="s">
        <v>79</v>
      </c>
    </row>
    <row r="41" spans="1:6" s="6" customFormat="1" ht="93" x14ac:dyDescent="0.35">
      <c r="A41" s="29" t="s">
        <v>38</v>
      </c>
      <c r="B41" s="29" t="s">
        <v>5</v>
      </c>
      <c r="C41" s="30" t="s">
        <v>85</v>
      </c>
      <c r="D41" s="31">
        <v>46255.833333333299</v>
      </c>
      <c r="E41" s="31">
        <v>46256.25</v>
      </c>
      <c r="F41" s="30" t="s">
        <v>79</v>
      </c>
    </row>
    <row r="42" spans="1:6" s="6" customFormat="1" ht="93" x14ac:dyDescent="0.35">
      <c r="A42" s="29" t="s">
        <v>38</v>
      </c>
      <c r="B42" s="29" t="s">
        <v>5</v>
      </c>
      <c r="C42" s="30" t="s">
        <v>86</v>
      </c>
      <c r="D42" s="31">
        <v>46255.833333333299</v>
      </c>
      <c r="E42" s="31">
        <v>46256.25</v>
      </c>
      <c r="F42" s="30" t="s">
        <v>79</v>
      </c>
    </row>
    <row r="43" spans="1:6" s="6" customFormat="1" ht="93" x14ac:dyDescent="0.35">
      <c r="A43" s="29" t="s">
        <v>184</v>
      </c>
      <c r="B43" s="29" t="s">
        <v>6</v>
      </c>
      <c r="C43" s="30" t="s">
        <v>185</v>
      </c>
      <c r="D43" s="31">
        <v>46255.833333333299</v>
      </c>
      <c r="E43" s="31">
        <v>46256.25</v>
      </c>
      <c r="F43" s="30" t="s">
        <v>186</v>
      </c>
    </row>
    <row r="44" spans="1:6" s="6" customFormat="1" ht="93" x14ac:dyDescent="0.35">
      <c r="A44" s="29" t="s">
        <v>184</v>
      </c>
      <c r="B44" s="29" t="s">
        <v>2</v>
      </c>
      <c r="C44" s="30" t="s">
        <v>187</v>
      </c>
      <c r="D44" s="31">
        <v>46255.833333333299</v>
      </c>
      <c r="E44" s="31">
        <v>46256.25</v>
      </c>
      <c r="F44" s="30" t="s">
        <v>186</v>
      </c>
    </row>
    <row r="45" spans="1:6" s="6" customFormat="1" ht="93" x14ac:dyDescent="0.35">
      <c r="A45" s="29" t="s">
        <v>184</v>
      </c>
      <c r="B45" s="29" t="s">
        <v>2</v>
      </c>
      <c r="C45" s="30" t="s">
        <v>933</v>
      </c>
      <c r="D45" s="31">
        <v>46255.833333333299</v>
      </c>
      <c r="E45" s="31">
        <v>46256.25</v>
      </c>
      <c r="F45" s="30" t="s">
        <v>934</v>
      </c>
    </row>
    <row r="46" spans="1:6" s="6" customFormat="1" ht="93" x14ac:dyDescent="0.35">
      <c r="A46" s="29" t="s">
        <v>297</v>
      </c>
      <c r="B46" s="29" t="s">
        <v>5</v>
      </c>
      <c r="C46" s="30" t="s">
        <v>298</v>
      </c>
      <c r="D46" s="31">
        <v>46255.833333333299</v>
      </c>
      <c r="E46" s="31">
        <v>46256.25</v>
      </c>
      <c r="F46" s="30" t="s">
        <v>299</v>
      </c>
    </row>
    <row r="47" spans="1:6" s="14" customFormat="1" ht="93" x14ac:dyDescent="0.35">
      <c r="A47" s="29" t="s">
        <v>297</v>
      </c>
      <c r="B47" s="29" t="s">
        <v>4</v>
      </c>
      <c r="C47" s="30" t="s">
        <v>995</v>
      </c>
      <c r="D47" s="31">
        <v>46255.833333333299</v>
      </c>
      <c r="E47" s="31">
        <v>46256.208333333299</v>
      </c>
      <c r="F47" s="30" t="s">
        <v>996</v>
      </c>
    </row>
    <row r="48" spans="1:6" s="6" customFormat="1" ht="93" x14ac:dyDescent="0.35">
      <c r="A48" s="29" t="s">
        <v>297</v>
      </c>
      <c r="B48" s="29" t="s">
        <v>4</v>
      </c>
      <c r="C48" s="30" t="s">
        <v>997</v>
      </c>
      <c r="D48" s="31">
        <v>46255.833333333299</v>
      </c>
      <c r="E48" s="31">
        <v>46256.208333333299</v>
      </c>
      <c r="F48" s="30" t="s">
        <v>996</v>
      </c>
    </row>
    <row r="49" spans="1:6" s="6" customFormat="1" ht="93" x14ac:dyDescent="0.35">
      <c r="A49" s="29" t="s">
        <v>297</v>
      </c>
      <c r="B49" s="29" t="s">
        <v>5</v>
      </c>
      <c r="C49" s="30" t="s">
        <v>1015</v>
      </c>
      <c r="D49" s="31">
        <v>46255.958333333299</v>
      </c>
      <c r="E49" s="31">
        <v>46256.25</v>
      </c>
      <c r="F49" s="30" t="s">
        <v>1014</v>
      </c>
    </row>
    <row r="50" spans="1:6" s="6" customFormat="1" ht="93" x14ac:dyDescent="0.35">
      <c r="A50" s="29" t="s">
        <v>1021</v>
      </c>
      <c r="B50" s="29" t="s">
        <v>5</v>
      </c>
      <c r="C50" s="30" t="s">
        <v>1022</v>
      </c>
      <c r="D50" s="31">
        <v>46255.958333333299</v>
      </c>
      <c r="E50" s="31">
        <v>46256.229166666701</v>
      </c>
      <c r="F50" s="30" t="s">
        <v>1023</v>
      </c>
    </row>
    <row r="51" spans="1:6" s="6" customFormat="1" ht="93" x14ac:dyDescent="0.35">
      <c r="A51" s="29" t="s">
        <v>294</v>
      </c>
      <c r="B51" s="29" t="s">
        <v>6</v>
      </c>
      <c r="C51" s="30" t="s">
        <v>998</v>
      </c>
      <c r="D51" s="31">
        <v>46255.833333333299</v>
      </c>
      <c r="E51" s="31">
        <v>46256.25</v>
      </c>
      <c r="F51" s="30" t="s">
        <v>999</v>
      </c>
    </row>
    <row r="52" spans="1:6" s="6" customFormat="1" ht="93" x14ac:dyDescent="0.35">
      <c r="A52" s="29" t="s">
        <v>310</v>
      </c>
      <c r="B52" s="29" t="s">
        <v>2</v>
      </c>
      <c r="C52" s="30" t="s">
        <v>993</v>
      </c>
      <c r="D52" s="31">
        <v>46255.833333333299</v>
      </c>
      <c r="E52" s="31">
        <v>46256.208333333299</v>
      </c>
      <c r="F52" s="30" t="s">
        <v>994</v>
      </c>
    </row>
    <row r="53" spans="1:6" s="14" customFormat="1" ht="93" x14ac:dyDescent="0.35">
      <c r="A53" s="29" t="s">
        <v>313</v>
      </c>
      <c r="B53" s="29" t="s">
        <v>2</v>
      </c>
      <c r="C53" s="30" t="s">
        <v>866</v>
      </c>
      <c r="D53" s="31">
        <v>46255.833333333299</v>
      </c>
      <c r="E53" s="31">
        <v>46256.25</v>
      </c>
      <c r="F53" s="30" t="s">
        <v>867</v>
      </c>
    </row>
    <row r="54" spans="1:6" s="14" customFormat="1" ht="77.5" x14ac:dyDescent="0.35">
      <c r="A54" s="29" t="s">
        <v>307</v>
      </c>
      <c r="B54" s="29" t="s">
        <v>5</v>
      </c>
      <c r="C54" s="30" t="s">
        <v>684</v>
      </c>
      <c r="D54" s="31">
        <v>46255.875</v>
      </c>
      <c r="E54" s="31">
        <v>46256.25</v>
      </c>
      <c r="F54" s="30" t="s">
        <v>476</v>
      </c>
    </row>
    <row r="55" spans="1:6" s="14" customFormat="1" ht="62" x14ac:dyDescent="0.35">
      <c r="A55" s="29" t="s">
        <v>307</v>
      </c>
      <c r="B55" s="29" t="s">
        <v>4</v>
      </c>
      <c r="C55" s="30" t="s">
        <v>979</v>
      </c>
      <c r="D55" s="31">
        <v>46255.875</v>
      </c>
      <c r="E55" s="31">
        <v>46256.25</v>
      </c>
      <c r="F55" s="30" t="s">
        <v>476</v>
      </c>
    </row>
    <row r="56" spans="1:6" s="6" customFormat="1" ht="77.5" x14ac:dyDescent="0.35">
      <c r="A56" s="29" t="s">
        <v>307</v>
      </c>
      <c r="B56" s="29" t="s">
        <v>4</v>
      </c>
      <c r="C56" s="30" t="s">
        <v>992</v>
      </c>
      <c r="D56" s="31">
        <v>46255.833333333299</v>
      </c>
      <c r="E56" s="31">
        <v>46256.25</v>
      </c>
      <c r="F56" s="30" t="s">
        <v>309</v>
      </c>
    </row>
    <row r="57" spans="1:6" s="6" customFormat="1" ht="93" x14ac:dyDescent="0.35">
      <c r="A57" s="29" t="s">
        <v>307</v>
      </c>
      <c r="B57" s="29" t="s">
        <v>5</v>
      </c>
      <c r="C57" s="30" t="s">
        <v>1000</v>
      </c>
      <c r="D57" s="31">
        <v>46255.833333333299</v>
      </c>
      <c r="E57" s="31">
        <v>46256.25</v>
      </c>
      <c r="F57" s="30" t="s">
        <v>1001</v>
      </c>
    </row>
    <row r="58" spans="1:6" s="6" customFormat="1" ht="93" x14ac:dyDescent="0.35">
      <c r="A58" s="29" t="s">
        <v>307</v>
      </c>
      <c r="B58" s="29" t="s">
        <v>5</v>
      </c>
      <c r="C58" s="30" t="s">
        <v>1002</v>
      </c>
      <c r="D58" s="31">
        <v>46255.833333333299</v>
      </c>
      <c r="E58" s="31">
        <v>46256.25</v>
      </c>
      <c r="F58" s="30" t="s">
        <v>1001</v>
      </c>
    </row>
    <row r="59" spans="1:6" s="6" customFormat="1" ht="93" x14ac:dyDescent="0.35">
      <c r="A59" s="29" t="s">
        <v>319</v>
      </c>
      <c r="B59" s="29" t="s">
        <v>2</v>
      </c>
      <c r="C59" s="30" t="s">
        <v>320</v>
      </c>
      <c r="D59" s="31">
        <v>46255.958333333299</v>
      </c>
      <c r="E59" s="31">
        <v>46256.229166666701</v>
      </c>
      <c r="F59" s="30" t="s">
        <v>321</v>
      </c>
    </row>
    <row r="60" spans="1:6" s="6" customFormat="1" ht="93" x14ac:dyDescent="0.35">
      <c r="A60" s="29" t="s">
        <v>271</v>
      </c>
      <c r="B60" s="29" t="s">
        <v>2</v>
      </c>
      <c r="C60" s="30" t="s">
        <v>594</v>
      </c>
      <c r="D60" s="31">
        <v>46255.875</v>
      </c>
      <c r="E60" s="31">
        <v>46258.25</v>
      </c>
      <c r="F60" s="30" t="s">
        <v>595</v>
      </c>
    </row>
    <row r="61" spans="1:6" s="6" customFormat="1" ht="93" x14ac:dyDescent="0.35">
      <c r="A61" s="29" t="s">
        <v>271</v>
      </c>
      <c r="B61" s="29" t="s">
        <v>44</v>
      </c>
      <c r="C61" s="30" t="s">
        <v>287</v>
      </c>
      <c r="D61" s="31">
        <v>46255.875</v>
      </c>
      <c r="E61" s="31">
        <v>46256.25</v>
      </c>
      <c r="F61" s="30" t="s">
        <v>288</v>
      </c>
    </row>
    <row r="62" spans="1:6" s="6" customFormat="1" ht="93" x14ac:dyDescent="0.35">
      <c r="A62" s="29" t="s">
        <v>271</v>
      </c>
      <c r="B62" s="29" t="s">
        <v>2</v>
      </c>
      <c r="C62" s="30" t="s">
        <v>335</v>
      </c>
      <c r="D62" s="31">
        <v>46255.958333333299</v>
      </c>
      <c r="E62" s="31">
        <v>46256.25</v>
      </c>
      <c r="F62" s="30" t="s">
        <v>1024</v>
      </c>
    </row>
    <row r="63" spans="1:6" s="6" customFormat="1" ht="108.5" x14ac:dyDescent="0.35">
      <c r="A63" s="29" t="s">
        <v>348</v>
      </c>
      <c r="B63" s="29" t="s">
        <v>4</v>
      </c>
      <c r="C63" s="30" t="s">
        <v>1031</v>
      </c>
      <c r="D63" s="31">
        <v>46255.833333333299</v>
      </c>
      <c r="E63" s="31">
        <v>46256.25</v>
      </c>
      <c r="F63" s="30" t="s">
        <v>1032</v>
      </c>
    </row>
    <row r="64" spans="1:6" s="6" customFormat="1" ht="108.5" x14ac:dyDescent="0.35">
      <c r="A64" s="29" t="s">
        <v>283</v>
      </c>
      <c r="B64" s="29" t="s">
        <v>5</v>
      </c>
      <c r="C64" s="30" t="s">
        <v>284</v>
      </c>
      <c r="D64" s="31">
        <v>46255.875</v>
      </c>
      <c r="E64" s="31">
        <v>46256.25</v>
      </c>
      <c r="F64" s="30" t="s">
        <v>285</v>
      </c>
    </row>
    <row r="65" spans="1:6" s="6" customFormat="1" ht="108.5" x14ac:dyDescent="0.35">
      <c r="A65" s="29" t="s">
        <v>283</v>
      </c>
      <c r="B65" s="29" t="s">
        <v>4</v>
      </c>
      <c r="C65" s="30" t="s">
        <v>286</v>
      </c>
      <c r="D65" s="31">
        <v>46255.875</v>
      </c>
      <c r="E65" s="31">
        <v>46256.25</v>
      </c>
      <c r="F65" s="30" t="s">
        <v>285</v>
      </c>
    </row>
    <row r="66" spans="1:6" s="6" customFormat="1" ht="93" x14ac:dyDescent="0.35">
      <c r="A66" s="29" t="s">
        <v>274</v>
      </c>
      <c r="B66" s="29" t="s">
        <v>2</v>
      </c>
      <c r="C66" s="30" t="s">
        <v>275</v>
      </c>
      <c r="D66" s="31">
        <v>46255.875</v>
      </c>
      <c r="E66" s="31">
        <v>46256.25</v>
      </c>
      <c r="F66" s="30" t="s">
        <v>276</v>
      </c>
    </row>
    <row r="67" spans="1:6" s="6" customFormat="1" ht="77.5" x14ac:dyDescent="0.35">
      <c r="A67" s="29" t="s">
        <v>274</v>
      </c>
      <c r="B67" s="29" t="s">
        <v>2</v>
      </c>
      <c r="C67" s="30" t="s">
        <v>807</v>
      </c>
      <c r="D67" s="31">
        <v>46255.875</v>
      </c>
      <c r="E67" s="31">
        <v>46258.25</v>
      </c>
      <c r="F67" s="30" t="s">
        <v>808</v>
      </c>
    </row>
    <row r="68" spans="1:6" s="6" customFormat="1" ht="77.5" x14ac:dyDescent="0.35">
      <c r="A68" s="29" t="s">
        <v>274</v>
      </c>
      <c r="B68" s="29" t="s">
        <v>6</v>
      </c>
      <c r="C68" s="30" t="s">
        <v>810</v>
      </c>
      <c r="D68" s="31">
        <v>46255.875</v>
      </c>
      <c r="E68" s="31">
        <v>46258.25</v>
      </c>
      <c r="F68" s="30" t="s">
        <v>808</v>
      </c>
    </row>
    <row r="69" spans="1:6" s="6" customFormat="1" ht="77.5" x14ac:dyDescent="0.35">
      <c r="A69" s="29" t="s">
        <v>372</v>
      </c>
      <c r="B69" s="29" t="s">
        <v>44</v>
      </c>
      <c r="C69" s="30" t="s">
        <v>373</v>
      </c>
      <c r="D69" s="31">
        <v>46255.833333333299</v>
      </c>
      <c r="E69" s="31">
        <v>46256.25</v>
      </c>
      <c r="F69" s="30" t="s">
        <v>374</v>
      </c>
    </row>
    <row r="70" spans="1:6" s="6" customFormat="1" ht="77.5" x14ac:dyDescent="0.35">
      <c r="A70" s="29" t="s">
        <v>363</v>
      </c>
      <c r="B70" s="29" t="s">
        <v>44</v>
      </c>
      <c r="C70" s="30" t="s">
        <v>364</v>
      </c>
      <c r="D70" s="31">
        <v>46255.833333333299</v>
      </c>
      <c r="E70" s="31">
        <v>46256.25</v>
      </c>
      <c r="F70" s="30" t="s">
        <v>365</v>
      </c>
    </row>
    <row r="71" spans="1:6" s="6" customFormat="1" ht="77.5" x14ac:dyDescent="0.35">
      <c r="A71" s="29" t="s">
        <v>87</v>
      </c>
      <c r="B71" s="29" t="s">
        <v>6</v>
      </c>
      <c r="C71" s="30" t="s">
        <v>425</v>
      </c>
      <c r="D71" s="31">
        <v>46255.833333333299</v>
      </c>
      <c r="E71" s="31">
        <v>46256.25</v>
      </c>
      <c r="F71" s="30" t="s">
        <v>89</v>
      </c>
    </row>
    <row r="72" spans="1:6" s="6" customFormat="1" ht="77.5" x14ac:dyDescent="0.35">
      <c r="A72" s="29" t="s">
        <v>87</v>
      </c>
      <c r="B72" s="29" t="s">
        <v>6</v>
      </c>
      <c r="C72" s="30" t="s">
        <v>429</v>
      </c>
      <c r="D72" s="31">
        <v>46255.833333333299</v>
      </c>
      <c r="E72" s="31">
        <v>46256.25</v>
      </c>
      <c r="F72" s="30" t="s">
        <v>89</v>
      </c>
    </row>
    <row r="73" spans="1:6" s="6" customFormat="1" ht="46.5" x14ac:dyDescent="0.35">
      <c r="A73" s="29" t="s">
        <v>87</v>
      </c>
      <c r="B73" s="29" t="s">
        <v>44</v>
      </c>
      <c r="C73" s="30" t="s">
        <v>1029</v>
      </c>
      <c r="D73" s="31">
        <v>46255.833333333299</v>
      </c>
      <c r="E73" s="31">
        <v>46256.25</v>
      </c>
      <c r="F73" s="30" t="s">
        <v>1030</v>
      </c>
    </row>
    <row r="74" spans="1:6" s="6" customFormat="1" ht="93" x14ac:dyDescent="0.35">
      <c r="A74" s="29" t="s">
        <v>87</v>
      </c>
      <c r="B74" s="29" t="s">
        <v>6</v>
      </c>
      <c r="C74" s="30" t="s">
        <v>380</v>
      </c>
      <c r="D74" s="31">
        <v>46202.875</v>
      </c>
      <c r="E74" s="31">
        <v>46508.208333333299</v>
      </c>
      <c r="F74" s="30" t="s">
        <v>381</v>
      </c>
    </row>
    <row r="75" spans="1:6" s="6" customFormat="1" ht="93" x14ac:dyDescent="0.35">
      <c r="A75" s="29" t="s">
        <v>736</v>
      </c>
      <c r="B75" s="29" t="s">
        <v>5</v>
      </c>
      <c r="C75" s="30" t="s">
        <v>737</v>
      </c>
      <c r="D75" s="31">
        <v>46255.875</v>
      </c>
      <c r="E75" s="31">
        <v>46258.208333333299</v>
      </c>
      <c r="F75" s="30" t="s">
        <v>733</v>
      </c>
    </row>
    <row r="76" spans="1:6" s="6" customFormat="1" ht="93" x14ac:dyDescent="0.35">
      <c r="A76" s="29" t="s">
        <v>71</v>
      </c>
      <c r="B76" s="29" t="s">
        <v>2</v>
      </c>
      <c r="C76" s="30" t="s">
        <v>895</v>
      </c>
      <c r="D76" s="31">
        <v>46255.833333333299</v>
      </c>
      <c r="E76" s="31">
        <v>46256.25</v>
      </c>
      <c r="F76" s="30" t="s">
        <v>73</v>
      </c>
    </row>
    <row r="77" spans="1:6" s="6" customFormat="1" ht="93" x14ac:dyDescent="0.35">
      <c r="A77" s="29" t="s">
        <v>71</v>
      </c>
      <c r="B77" s="29" t="s">
        <v>4</v>
      </c>
      <c r="C77" s="30" t="s">
        <v>835</v>
      </c>
      <c r="D77" s="31">
        <v>46237.375</v>
      </c>
      <c r="E77" s="31">
        <v>46258.416666666701</v>
      </c>
      <c r="F77" s="30" t="s">
        <v>836</v>
      </c>
    </row>
    <row r="78" spans="1:6" s="6" customFormat="1" ht="77.5" x14ac:dyDescent="0.35">
      <c r="A78" s="29" t="s">
        <v>71</v>
      </c>
      <c r="B78" s="29" t="s">
        <v>7</v>
      </c>
      <c r="C78" s="30" t="s">
        <v>395</v>
      </c>
      <c r="D78" s="31">
        <v>46217.625</v>
      </c>
      <c r="E78" s="31">
        <v>46387.875</v>
      </c>
      <c r="F78" s="30" t="s">
        <v>396</v>
      </c>
    </row>
    <row r="79" spans="1:6" s="6" customFormat="1" ht="77.5" x14ac:dyDescent="0.35">
      <c r="A79" s="29" t="s">
        <v>93</v>
      </c>
      <c r="B79" s="29" t="s">
        <v>6</v>
      </c>
      <c r="C79" s="30" t="s">
        <v>899</v>
      </c>
      <c r="D79" s="31">
        <v>46255.541666666701</v>
      </c>
      <c r="E79" s="31">
        <v>46256.25</v>
      </c>
      <c r="F79" s="30" t="s">
        <v>649</v>
      </c>
    </row>
    <row r="80" spans="1:6" s="6" customFormat="1" ht="77.5" x14ac:dyDescent="0.35">
      <c r="A80" s="29" t="s">
        <v>93</v>
      </c>
      <c r="B80" s="29" t="s">
        <v>6</v>
      </c>
      <c r="C80" s="30" t="s">
        <v>900</v>
      </c>
      <c r="D80" s="31">
        <v>46255.833333333299</v>
      </c>
      <c r="E80" s="31">
        <v>46256.25</v>
      </c>
      <c r="F80" s="30" t="s">
        <v>649</v>
      </c>
    </row>
    <row r="81" spans="1:6" s="6" customFormat="1" ht="77.5" x14ac:dyDescent="0.35">
      <c r="A81" s="29" t="s">
        <v>93</v>
      </c>
      <c r="B81" s="29" t="s">
        <v>6</v>
      </c>
      <c r="C81" s="30" t="s">
        <v>901</v>
      </c>
      <c r="D81" s="31">
        <v>46255.833333333299</v>
      </c>
      <c r="E81" s="31">
        <v>46256.25</v>
      </c>
      <c r="F81" s="30" t="s">
        <v>649</v>
      </c>
    </row>
    <row r="82" spans="1:6" s="6" customFormat="1" ht="77.5" x14ac:dyDescent="0.35">
      <c r="A82" s="29" t="s">
        <v>93</v>
      </c>
      <c r="B82" s="29" t="s">
        <v>6</v>
      </c>
      <c r="C82" s="30" t="s">
        <v>902</v>
      </c>
      <c r="D82" s="31">
        <v>46255.833333333299</v>
      </c>
      <c r="E82" s="31">
        <v>46256.25</v>
      </c>
      <c r="F82" s="30" t="s">
        <v>649</v>
      </c>
    </row>
    <row r="83" spans="1:6" s="6" customFormat="1" ht="77.5" x14ac:dyDescent="0.35">
      <c r="A83" s="29" t="s">
        <v>20</v>
      </c>
      <c r="B83" s="29" t="s">
        <v>44</v>
      </c>
      <c r="C83" s="30" t="s">
        <v>876</v>
      </c>
      <c r="D83" s="31">
        <v>46255.833333333299</v>
      </c>
      <c r="E83" s="31">
        <v>46256.25</v>
      </c>
      <c r="F83" s="30" t="s">
        <v>877</v>
      </c>
    </row>
    <row r="84" spans="1:6" s="6" customFormat="1" ht="62" x14ac:dyDescent="0.35">
      <c r="A84" s="29" t="s">
        <v>20</v>
      </c>
      <c r="B84" s="29" t="s">
        <v>4</v>
      </c>
      <c r="C84" s="30" t="s">
        <v>21</v>
      </c>
      <c r="D84" s="31">
        <v>46255.833333333299</v>
      </c>
      <c r="E84" s="31">
        <v>46256.25</v>
      </c>
      <c r="F84" s="30" t="s">
        <v>22</v>
      </c>
    </row>
    <row r="85" spans="1:6" s="6" customFormat="1" ht="62" x14ac:dyDescent="0.35">
      <c r="A85" s="29" t="s">
        <v>20</v>
      </c>
      <c r="B85" s="29" t="s">
        <v>44</v>
      </c>
      <c r="C85" s="30" t="s">
        <v>408</v>
      </c>
      <c r="D85" s="31">
        <v>46255.833333333299</v>
      </c>
      <c r="E85" s="31">
        <v>46256.25</v>
      </c>
      <c r="F85" s="30" t="s">
        <v>22</v>
      </c>
    </row>
    <row r="86" spans="1:6" s="6" customFormat="1" ht="77.5" x14ac:dyDescent="0.35">
      <c r="A86" s="29" t="s">
        <v>20</v>
      </c>
      <c r="B86" s="29" t="s">
        <v>4</v>
      </c>
      <c r="C86" s="30" t="s">
        <v>23</v>
      </c>
      <c r="D86" s="31">
        <v>46255.833333333299</v>
      </c>
      <c r="E86" s="31">
        <v>46256.25</v>
      </c>
      <c r="F86" s="30" t="s">
        <v>22</v>
      </c>
    </row>
    <row r="87" spans="1:6" s="6" customFormat="1" ht="77.5" x14ac:dyDescent="0.35">
      <c r="A87" s="29" t="s">
        <v>542</v>
      </c>
      <c r="B87" s="29" t="s">
        <v>6</v>
      </c>
      <c r="C87" s="30" t="s">
        <v>886</v>
      </c>
      <c r="D87" s="31">
        <v>46255.833333333299</v>
      </c>
      <c r="E87" s="31">
        <v>46256.25</v>
      </c>
      <c r="F87" s="30" t="s">
        <v>887</v>
      </c>
    </row>
    <row r="88" spans="1:6" s="6" customFormat="1" ht="77.5" x14ac:dyDescent="0.35">
      <c r="A88" s="29" t="s">
        <v>542</v>
      </c>
      <c r="B88" s="29" t="s">
        <v>5</v>
      </c>
      <c r="C88" s="30" t="s">
        <v>1039</v>
      </c>
      <c r="D88" s="31">
        <v>46255.875</v>
      </c>
      <c r="E88" s="31">
        <v>46256.25</v>
      </c>
      <c r="F88" s="30" t="s">
        <v>1040</v>
      </c>
    </row>
    <row r="89" spans="1:6" s="6" customFormat="1" ht="62" x14ac:dyDescent="0.35">
      <c r="A89" s="29" t="s">
        <v>542</v>
      </c>
      <c r="B89" s="29" t="s">
        <v>4</v>
      </c>
      <c r="C89" s="30" t="s">
        <v>1041</v>
      </c>
      <c r="D89" s="31">
        <v>46255.875</v>
      </c>
      <c r="E89" s="31">
        <v>46256.25</v>
      </c>
      <c r="F89" s="30" t="s">
        <v>1040</v>
      </c>
    </row>
    <row r="90" spans="1:6" s="6" customFormat="1" ht="77.5" x14ac:dyDescent="0.35">
      <c r="A90" s="29" t="s">
        <v>542</v>
      </c>
      <c r="B90" s="29" t="s">
        <v>44</v>
      </c>
      <c r="C90" s="30" t="s">
        <v>1042</v>
      </c>
      <c r="D90" s="31">
        <v>46255.833333333299</v>
      </c>
      <c r="E90" s="31">
        <v>46256.25</v>
      </c>
      <c r="F90" s="30" t="s">
        <v>1043</v>
      </c>
    </row>
    <row r="91" spans="1:6" s="6" customFormat="1" ht="62" x14ac:dyDescent="0.35">
      <c r="A91" s="29" t="s">
        <v>401</v>
      </c>
      <c r="B91" s="29" t="s">
        <v>4</v>
      </c>
      <c r="C91" s="30" t="s">
        <v>402</v>
      </c>
      <c r="D91" s="31">
        <v>46255.833333333299</v>
      </c>
      <c r="E91" s="31">
        <v>46256.208333333299</v>
      </c>
      <c r="F91" s="30" t="s">
        <v>403</v>
      </c>
    </row>
    <row r="92" spans="1:6" s="6" customFormat="1" ht="62" x14ac:dyDescent="0.35">
      <c r="A92" s="29" t="s">
        <v>401</v>
      </c>
      <c r="B92" s="29" t="s">
        <v>4</v>
      </c>
      <c r="C92" s="30" t="s">
        <v>404</v>
      </c>
      <c r="D92" s="31">
        <v>46255.833333333299</v>
      </c>
      <c r="E92" s="31">
        <v>46256.208333333299</v>
      </c>
      <c r="F92" s="30" t="s">
        <v>403</v>
      </c>
    </row>
    <row r="93" spans="1:6" s="6" customFormat="1" ht="62" x14ac:dyDescent="0.35">
      <c r="A93" s="29" t="s">
        <v>390</v>
      </c>
      <c r="B93" s="29" t="s">
        <v>44</v>
      </c>
      <c r="C93" s="30" t="s">
        <v>391</v>
      </c>
      <c r="D93" s="31">
        <v>46230.833333333299</v>
      </c>
      <c r="E93" s="31">
        <v>46403.25</v>
      </c>
      <c r="F93" s="30" t="s">
        <v>392</v>
      </c>
    </row>
    <row r="94" spans="1:6" s="6" customFormat="1" ht="62" x14ac:dyDescent="0.35">
      <c r="A94" s="29" t="s">
        <v>426</v>
      </c>
      <c r="B94" s="29" t="s">
        <v>6</v>
      </c>
      <c r="C94" s="30" t="s">
        <v>427</v>
      </c>
      <c r="D94" s="31">
        <v>46255.833333333299</v>
      </c>
      <c r="E94" s="31">
        <v>46256.25</v>
      </c>
      <c r="F94" s="30" t="s">
        <v>89</v>
      </c>
    </row>
    <row r="95" spans="1:6" s="6" customFormat="1" ht="62" x14ac:dyDescent="0.35">
      <c r="A95" s="29" t="s">
        <v>426</v>
      </c>
      <c r="B95" s="29" t="s">
        <v>6</v>
      </c>
      <c r="C95" s="30" t="s">
        <v>428</v>
      </c>
      <c r="D95" s="31">
        <v>46255.833333333299</v>
      </c>
      <c r="E95" s="31">
        <v>46256.25</v>
      </c>
      <c r="F95" s="30" t="s">
        <v>89</v>
      </c>
    </row>
    <row r="96" spans="1:6" s="6" customFormat="1" ht="62" x14ac:dyDescent="0.35">
      <c r="A96" s="29" t="s">
        <v>959</v>
      </c>
      <c r="B96" s="29" t="s">
        <v>5</v>
      </c>
      <c r="C96" s="30" t="s">
        <v>960</v>
      </c>
      <c r="D96" s="31">
        <v>46255.875</v>
      </c>
      <c r="E96" s="31">
        <v>46256.208333333299</v>
      </c>
      <c r="F96" s="30" t="s">
        <v>961</v>
      </c>
    </row>
    <row r="97" spans="1:6" s="6" customFormat="1" ht="62" x14ac:dyDescent="0.35">
      <c r="A97" s="29" t="s">
        <v>959</v>
      </c>
      <c r="B97" s="29" t="s">
        <v>5</v>
      </c>
      <c r="C97" s="30" t="s">
        <v>962</v>
      </c>
      <c r="D97" s="31">
        <v>46255.875</v>
      </c>
      <c r="E97" s="31">
        <v>46256.208333333299</v>
      </c>
      <c r="F97" s="30" t="s">
        <v>961</v>
      </c>
    </row>
    <row r="98" spans="1:6" s="6" customFormat="1" ht="77.5" x14ac:dyDescent="0.35">
      <c r="A98" s="29" t="s">
        <v>215</v>
      </c>
      <c r="B98" s="29" t="s">
        <v>6</v>
      </c>
      <c r="C98" s="30" t="s">
        <v>216</v>
      </c>
      <c r="D98" s="31">
        <v>46230.208333333299</v>
      </c>
      <c r="E98" s="31">
        <v>46266.208333333299</v>
      </c>
      <c r="F98" s="30" t="s">
        <v>217</v>
      </c>
    </row>
    <row r="99" spans="1:6" s="5" customFormat="1" ht="77.5" x14ac:dyDescent="0.35">
      <c r="A99" s="29" t="s">
        <v>151</v>
      </c>
      <c r="B99" s="29" t="s">
        <v>6</v>
      </c>
      <c r="C99" s="30" t="s">
        <v>152</v>
      </c>
      <c r="D99" s="31">
        <v>46237.833333333299</v>
      </c>
      <c r="E99" s="31">
        <v>46326.25</v>
      </c>
      <c r="F99" s="30" t="s">
        <v>153</v>
      </c>
    </row>
    <row r="100" spans="1:6" s="6" customFormat="1" ht="77.5" x14ac:dyDescent="0.35">
      <c r="A100" s="29" t="s">
        <v>151</v>
      </c>
      <c r="B100" s="29" t="s">
        <v>2</v>
      </c>
      <c r="C100" s="30" t="s">
        <v>154</v>
      </c>
      <c r="D100" s="31">
        <v>46237.833333333299</v>
      </c>
      <c r="E100" s="31">
        <v>46326.25</v>
      </c>
      <c r="F100" s="30" t="s">
        <v>153</v>
      </c>
    </row>
    <row r="101" spans="1:6" s="6" customFormat="1" ht="77.5" x14ac:dyDescent="0.35">
      <c r="A101" s="29" t="s">
        <v>148</v>
      </c>
      <c r="B101" s="29" t="s">
        <v>5</v>
      </c>
      <c r="C101" s="30" t="s">
        <v>149</v>
      </c>
      <c r="D101" s="31">
        <v>46255.833333333299</v>
      </c>
      <c r="E101" s="31">
        <v>46256.25</v>
      </c>
      <c r="F101" s="30" t="s">
        <v>150</v>
      </c>
    </row>
    <row r="102" spans="1:6" s="5" customFormat="1" ht="77.5" x14ac:dyDescent="0.35">
      <c r="A102" s="29" t="s">
        <v>170</v>
      </c>
      <c r="B102" s="29" t="s">
        <v>5</v>
      </c>
      <c r="C102" s="30" t="s">
        <v>926</v>
      </c>
      <c r="D102" s="31">
        <v>46255.833333333299</v>
      </c>
      <c r="E102" s="31">
        <v>46256.25</v>
      </c>
      <c r="F102" s="30" t="s">
        <v>172</v>
      </c>
    </row>
    <row r="103" spans="1:6" s="5" customFormat="1" ht="62" x14ac:dyDescent="0.35">
      <c r="A103" s="29" t="s">
        <v>170</v>
      </c>
      <c r="B103" s="29" t="s">
        <v>5</v>
      </c>
      <c r="C103" s="30" t="s">
        <v>927</v>
      </c>
      <c r="D103" s="31">
        <v>46255.833333333299</v>
      </c>
      <c r="E103" s="31">
        <v>46256.25</v>
      </c>
      <c r="F103" s="30" t="s">
        <v>172</v>
      </c>
    </row>
    <row r="104" spans="1:6" s="5" customFormat="1" ht="62" x14ac:dyDescent="0.35">
      <c r="A104" s="29" t="s">
        <v>170</v>
      </c>
      <c r="B104" s="29" t="s">
        <v>5</v>
      </c>
      <c r="C104" s="30" t="s">
        <v>928</v>
      </c>
      <c r="D104" s="31">
        <v>46255.833333333299</v>
      </c>
      <c r="E104" s="31">
        <v>46256.25</v>
      </c>
      <c r="F104" s="30" t="s">
        <v>172</v>
      </c>
    </row>
    <row r="105" spans="1:6" s="5" customFormat="1" ht="77.5" x14ac:dyDescent="0.35">
      <c r="A105" s="29" t="s">
        <v>170</v>
      </c>
      <c r="B105" s="29" t="s">
        <v>5</v>
      </c>
      <c r="C105" s="30" t="s">
        <v>929</v>
      </c>
      <c r="D105" s="31">
        <v>46255.833333333299</v>
      </c>
      <c r="E105" s="31">
        <v>46256.25</v>
      </c>
      <c r="F105" s="30" t="s">
        <v>172</v>
      </c>
    </row>
    <row r="106" spans="1:6" s="5" customFormat="1" ht="77.5" x14ac:dyDescent="0.35">
      <c r="A106" s="29" t="s">
        <v>170</v>
      </c>
      <c r="B106" s="29" t="s">
        <v>5</v>
      </c>
      <c r="C106" s="30" t="s">
        <v>930</v>
      </c>
      <c r="D106" s="31">
        <v>46255.833333333299</v>
      </c>
      <c r="E106" s="31">
        <v>46256.25</v>
      </c>
      <c r="F106" s="30" t="s">
        <v>172</v>
      </c>
    </row>
    <row r="107" spans="1:6" s="5" customFormat="1" ht="31" x14ac:dyDescent="0.35">
      <c r="A107" s="29" t="s">
        <v>170</v>
      </c>
      <c r="B107" s="29" t="s">
        <v>44</v>
      </c>
      <c r="C107" s="30" t="s">
        <v>661</v>
      </c>
      <c r="D107" s="31">
        <v>46255.833333333299</v>
      </c>
      <c r="E107" s="31">
        <v>46256.25</v>
      </c>
      <c r="F107" s="30" t="s">
        <v>662</v>
      </c>
    </row>
    <row r="108" spans="1:6" s="5" customFormat="1" ht="46.5" x14ac:dyDescent="0.35">
      <c r="A108" s="29" t="s">
        <v>170</v>
      </c>
      <c r="B108" s="29" t="s">
        <v>44</v>
      </c>
      <c r="C108" s="30" t="s">
        <v>804</v>
      </c>
      <c r="D108" s="31">
        <v>46255.791666666701</v>
      </c>
      <c r="E108" s="31">
        <v>46258.25</v>
      </c>
      <c r="F108" s="30" t="s">
        <v>805</v>
      </c>
    </row>
    <row r="109" spans="1:6" s="5" customFormat="1" ht="46.5" x14ac:dyDescent="0.35">
      <c r="A109" s="29" t="s">
        <v>75</v>
      </c>
      <c r="B109" s="29" t="s">
        <v>6</v>
      </c>
      <c r="C109" s="30" t="s">
        <v>885</v>
      </c>
      <c r="D109" s="31">
        <v>46255.916666666701</v>
      </c>
      <c r="E109" s="31">
        <v>46256.208333333299</v>
      </c>
      <c r="F109" s="30" t="s">
        <v>839</v>
      </c>
    </row>
    <row r="110" spans="1:6" s="5" customFormat="1" ht="46.5" x14ac:dyDescent="0.35">
      <c r="A110" s="29" t="s">
        <v>75</v>
      </c>
      <c r="B110" s="29" t="s">
        <v>2</v>
      </c>
      <c r="C110" s="30" t="s">
        <v>896</v>
      </c>
      <c r="D110" s="31">
        <v>46255.833333333299</v>
      </c>
      <c r="E110" s="31">
        <v>46256.25</v>
      </c>
      <c r="F110" s="30" t="s">
        <v>77</v>
      </c>
    </row>
    <row r="111" spans="1:6" s="5" customFormat="1" ht="46.5" x14ac:dyDescent="0.35">
      <c r="A111" s="29" t="s">
        <v>75</v>
      </c>
      <c r="B111" s="29" t="s">
        <v>2</v>
      </c>
      <c r="C111" s="30" t="s">
        <v>897</v>
      </c>
      <c r="D111" s="31">
        <v>46255.833333333299</v>
      </c>
      <c r="E111" s="31">
        <v>46256.25</v>
      </c>
      <c r="F111" s="30" t="s">
        <v>77</v>
      </c>
    </row>
    <row r="112" spans="1:6" ht="46.5" x14ac:dyDescent="0.35">
      <c r="A112" s="29" t="s">
        <v>75</v>
      </c>
      <c r="B112" s="29" t="s">
        <v>2</v>
      </c>
      <c r="C112" s="30" t="s">
        <v>898</v>
      </c>
      <c r="D112" s="31">
        <v>46255.833333333299</v>
      </c>
      <c r="E112" s="31">
        <v>46256.25</v>
      </c>
      <c r="F112" s="30" t="s">
        <v>77</v>
      </c>
    </row>
    <row r="113" spans="1:6" ht="46.5" x14ac:dyDescent="0.35">
      <c r="A113" s="29" t="s">
        <v>75</v>
      </c>
      <c r="B113" s="29" t="s">
        <v>6</v>
      </c>
      <c r="C113" s="30" t="s">
        <v>903</v>
      </c>
      <c r="D113" s="31">
        <v>46255.833333333299</v>
      </c>
      <c r="E113" s="31">
        <v>46256.25</v>
      </c>
      <c r="F113" s="30" t="s">
        <v>904</v>
      </c>
    </row>
    <row r="114" spans="1:6" ht="46.5" x14ac:dyDescent="0.35">
      <c r="A114" s="29" t="s">
        <v>75</v>
      </c>
      <c r="B114" s="29" t="s">
        <v>6</v>
      </c>
      <c r="C114" s="30" t="s">
        <v>840</v>
      </c>
      <c r="D114" s="31">
        <v>46255.833333333299</v>
      </c>
      <c r="E114" s="31">
        <v>46256.25</v>
      </c>
      <c r="F114" s="30" t="s">
        <v>841</v>
      </c>
    </row>
    <row r="115" spans="1:6" ht="46.5" x14ac:dyDescent="0.35">
      <c r="A115" s="29" t="s">
        <v>75</v>
      </c>
      <c r="B115" s="29" t="s">
        <v>2</v>
      </c>
      <c r="C115" s="30" t="s">
        <v>905</v>
      </c>
      <c r="D115" s="31">
        <v>46255.854166666701</v>
      </c>
      <c r="E115" s="31">
        <v>46256.25</v>
      </c>
      <c r="F115" s="30" t="s">
        <v>906</v>
      </c>
    </row>
    <row r="116" spans="1:6" ht="62" x14ac:dyDescent="0.35">
      <c r="A116" s="29" t="s">
        <v>75</v>
      </c>
      <c r="B116" s="29" t="s">
        <v>2</v>
      </c>
      <c r="C116" s="30" t="s">
        <v>907</v>
      </c>
      <c r="D116" s="31">
        <v>46255.854166666701</v>
      </c>
      <c r="E116" s="31">
        <v>46256.25</v>
      </c>
      <c r="F116" s="30" t="s">
        <v>906</v>
      </c>
    </row>
    <row r="117" spans="1:6" s="15" customFormat="1" ht="62" x14ac:dyDescent="0.35">
      <c r="A117" s="29" t="s">
        <v>75</v>
      </c>
      <c r="B117" s="29" t="s">
        <v>2</v>
      </c>
      <c r="C117" s="30" t="s">
        <v>908</v>
      </c>
      <c r="D117" s="31">
        <v>46255.854166666701</v>
      </c>
      <c r="E117" s="31">
        <v>46256.25</v>
      </c>
      <c r="F117" s="30" t="s">
        <v>906</v>
      </c>
    </row>
    <row r="118" spans="1:6" s="15" customFormat="1" ht="62" x14ac:dyDescent="0.35">
      <c r="A118" s="29" t="s">
        <v>75</v>
      </c>
      <c r="B118" s="29" t="s">
        <v>2</v>
      </c>
      <c r="C118" s="30" t="s">
        <v>909</v>
      </c>
      <c r="D118" s="31">
        <v>46255.854166666701</v>
      </c>
      <c r="E118" s="31">
        <v>46256.25</v>
      </c>
      <c r="F118" s="30" t="s">
        <v>906</v>
      </c>
    </row>
    <row r="119" spans="1:6" s="15" customFormat="1" ht="46.5" x14ac:dyDescent="0.35">
      <c r="A119" s="29" t="s">
        <v>75</v>
      </c>
      <c r="B119" s="29" t="s">
        <v>6</v>
      </c>
      <c r="C119" s="30" t="s">
        <v>912</v>
      </c>
      <c r="D119" s="31">
        <v>46255.875</v>
      </c>
      <c r="E119" s="31">
        <v>46256.25</v>
      </c>
      <c r="F119" s="30" t="s">
        <v>913</v>
      </c>
    </row>
    <row r="120" spans="1:6" s="15" customFormat="1" ht="46.5" x14ac:dyDescent="0.35">
      <c r="A120" s="29" t="s">
        <v>75</v>
      </c>
      <c r="B120" s="29" t="s">
        <v>6</v>
      </c>
      <c r="C120" s="30" t="s">
        <v>914</v>
      </c>
      <c r="D120" s="31">
        <v>46255.875</v>
      </c>
      <c r="E120" s="31">
        <v>46256.25</v>
      </c>
      <c r="F120" s="30" t="s">
        <v>913</v>
      </c>
    </row>
    <row r="121" spans="1:6" ht="46.5" x14ac:dyDescent="0.35">
      <c r="A121" s="29" t="s">
        <v>75</v>
      </c>
      <c r="B121" s="29" t="s">
        <v>6</v>
      </c>
      <c r="C121" s="30" t="s">
        <v>915</v>
      </c>
      <c r="D121" s="31">
        <v>46255.875</v>
      </c>
      <c r="E121" s="31">
        <v>46256.25</v>
      </c>
      <c r="F121" s="30" t="s">
        <v>913</v>
      </c>
    </row>
    <row r="122" spans="1:6" ht="46.5" x14ac:dyDescent="0.35">
      <c r="A122" s="29" t="s">
        <v>75</v>
      </c>
      <c r="B122" s="29" t="s">
        <v>6</v>
      </c>
      <c r="C122" s="30" t="s">
        <v>916</v>
      </c>
      <c r="D122" s="31">
        <v>46255.875</v>
      </c>
      <c r="E122" s="31">
        <v>46256.25</v>
      </c>
      <c r="F122" s="30" t="s">
        <v>917</v>
      </c>
    </row>
    <row r="123" spans="1:6" ht="46.5" x14ac:dyDescent="0.35">
      <c r="A123" s="29" t="s">
        <v>27</v>
      </c>
      <c r="B123" s="29" t="s">
        <v>2</v>
      </c>
      <c r="C123" s="30" t="s">
        <v>28</v>
      </c>
      <c r="D123" s="31">
        <v>46255.875</v>
      </c>
      <c r="E123" s="31">
        <v>46256.208333333299</v>
      </c>
      <c r="F123" s="30" t="s">
        <v>29</v>
      </c>
    </row>
    <row r="124" spans="1:6" ht="46.5" x14ac:dyDescent="0.35">
      <c r="A124" s="29" t="s">
        <v>119</v>
      </c>
      <c r="B124" s="29" t="s">
        <v>4</v>
      </c>
      <c r="C124" s="30" t="s">
        <v>120</v>
      </c>
      <c r="D124" s="31">
        <v>46255.833333333299</v>
      </c>
      <c r="E124" s="31">
        <v>46256.25</v>
      </c>
      <c r="F124" s="30" t="s">
        <v>121</v>
      </c>
    </row>
    <row r="125" spans="1:6" ht="46.5" x14ac:dyDescent="0.35">
      <c r="A125" s="29" t="s">
        <v>119</v>
      </c>
      <c r="B125" s="29" t="s">
        <v>4</v>
      </c>
      <c r="C125" s="30" t="s">
        <v>122</v>
      </c>
      <c r="D125" s="31">
        <v>46255.833333333299</v>
      </c>
      <c r="E125" s="31">
        <v>46256.25</v>
      </c>
      <c r="F125" s="30" t="s">
        <v>121</v>
      </c>
    </row>
    <row r="126" spans="1:6" ht="46.5" x14ac:dyDescent="0.35">
      <c r="A126" s="29" t="s">
        <v>119</v>
      </c>
      <c r="B126" s="29" t="s">
        <v>4</v>
      </c>
      <c r="C126" s="30" t="s">
        <v>123</v>
      </c>
      <c r="D126" s="31">
        <v>46255.833333333299</v>
      </c>
      <c r="E126" s="31">
        <v>46256.25</v>
      </c>
      <c r="F126" s="30" t="s">
        <v>121</v>
      </c>
    </row>
    <row r="127" spans="1:6" ht="46.5" x14ac:dyDescent="0.35">
      <c r="A127" s="29" t="s">
        <v>316</v>
      </c>
      <c r="B127" s="29" t="s">
        <v>7</v>
      </c>
      <c r="C127" s="30" t="s">
        <v>1003</v>
      </c>
      <c r="D127" s="31">
        <v>46255.958333333299</v>
      </c>
      <c r="E127" s="31">
        <v>46256.25</v>
      </c>
      <c r="F127" s="30" t="s">
        <v>1004</v>
      </c>
    </row>
    <row r="128" spans="1:6" ht="46.5" x14ac:dyDescent="0.35">
      <c r="A128" s="29" t="s">
        <v>316</v>
      </c>
      <c r="B128" s="29" t="s">
        <v>7</v>
      </c>
      <c r="C128" s="30" t="s">
        <v>1005</v>
      </c>
      <c r="D128" s="31">
        <v>46255.958333333299</v>
      </c>
      <c r="E128" s="31">
        <v>46256.229166666701</v>
      </c>
      <c r="F128" s="30" t="s">
        <v>1006</v>
      </c>
    </row>
    <row r="129" spans="1:6" ht="46.5" x14ac:dyDescent="0.35">
      <c r="A129" s="29" t="s">
        <v>316</v>
      </c>
      <c r="B129" s="29" t="s">
        <v>7</v>
      </c>
      <c r="C129" s="30" t="s">
        <v>1007</v>
      </c>
      <c r="D129" s="31">
        <v>46255.958333333299</v>
      </c>
      <c r="E129" s="31">
        <v>46256.229166666701</v>
      </c>
      <c r="F129" s="30" t="s">
        <v>1006</v>
      </c>
    </row>
    <row r="130" spans="1:6" ht="46.5" x14ac:dyDescent="0.35">
      <c r="A130" s="29" t="s">
        <v>316</v>
      </c>
      <c r="B130" s="29" t="s">
        <v>7</v>
      </c>
      <c r="C130" s="30" t="s">
        <v>1008</v>
      </c>
      <c r="D130" s="31">
        <v>46255.958333333299</v>
      </c>
      <c r="E130" s="31">
        <v>46256.229166666701</v>
      </c>
      <c r="F130" s="30" t="s">
        <v>1006</v>
      </c>
    </row>
    <row r="131" spans="1:6" ht="46.5" x14ac:dyDescent="0.35">
      <c r="A131" s="29" t="s">
        <v>316</v>
      </c>
      <c r="B131" s="29" t="s">
        <v>7</v>
      </c>
      <c r="C131" s="30" t="s">
        <v>1012</v>
      </c>
      <c r="D131" s="31">
        <v>46255.916666666701</v>
      </c>
      <c r="E131" s="31">
        <v>46256.229166666701</v>
      </c>
      <c r="F131" s="30" t="s">
        <v>1011</v>
      </c>
    </row>
    <row r="132" spans="1:6" ht="46.5" x14ac:dyDescent="0.35">
      <c r="A132" s="29" t="s">
        <v>316</v>
      </c>
      <c r="B132" s="29" t="s">
        <v>7</v>
      </c>
      <c r="C132" s="30" t="s">
        <v>1013</v>
      </c>
      <c r="D132" s="31">
        <v>46255.958333333299</v>
      </c>
      <c r="E132" s="31">
        <v>46256.25</v>
      </c>
      <c r="F132" s="30" t="s">
        <v>1014</v>
      </c>
    </row>
    <row r="133" spans="1:6" ht="46.5" x14ac:dyDescent="0.35">
      <c r="A133" s="29" t="s">
        <v>316</v>
      </c>
      <c r="B133" s="29" t="s">
        <v>7</v>
      </c>
      <c r="C133" s="30" t="s">
        <v>1016</v>
      </c>
      <c r="D133" s="31">
        <v>46255.958333333299</v>
      </c>
      <c r="E133" s="31">
        <v>46256.25</v>
      </c>
      <c r="F133" s="30" t="s">
        <v>1014</v>
      </c>
    </row>
    <row r="134" spans="1:6" ht="46.5" x14ac:dyDescent="0.35">
      <c r="A134" s="29" t="s">
        <v>316</v>
      </c>
      <c r="B134" s="29" t="s">
        <v>8</v>
      </c>
      <c r="C134" s="30" t="s">
        <v>324</v>
      </c>
      <c r="D134" s="31">
        <v>46255.958333333299</v>
      </c>
      <c r="E134" s="31">
        <v>46256.25</v>
      </c>
      <c r="F134" s="30" t="s">
        <v>323</v>
      </c>
    </row>
    <row r="135" spans="1:6" ht="46.5" x14ac:dyDescent="0.35">
      <c r="A135" s="29" t="s">
        <v>316</v>
      </c>
      <c r="B135" s="29" t="s">
        <v>8</v>
      </c>
      <c r="C135" s="30" t="s">
        <v>1027</v>
      </c>
      <c r="D135" s="31">
        <v>46255.958333333299</v>
      </c>
      <c r="E135" s="31">
        <v>46256.229166666701</v>
      </c>
      <c r="F135" s="30" t="s">
        <v>1028</v>
      </c>
    </row>
    <row r="136" spans="1:6" ht="46.5" x14ac:dyDescent="0.35">
      <c r="A136" s="29" t="s">
        <v>1009</v>
      </c>
      <c r="B136" s="29" t="s">
        <v>5</v>
      </c>
      <c r="C136" s="30" t="s">
        <v>1010</v>
      </c>
      <c r="D136" s="31">
        <v>46255.916666666701</v>
      </c>
      <c r="E136" s="31">
        <v>46256.229166666701</v>
      </c>
      <c r="F136" s="30" t="s">
        <v>1011</v>
      </c>
    </row>
    <row r="137" spans="1:6" ht="46.5" x14ac:dyDescent="0.35">
      <c r="A137" s="29" t="s">
        <v>277</v>
      </c>
      <c r="B137" s="29" t="s">
        <v>5</v>
      </c>
      <c r="C137" s="30" t="s">
        <v>980</v>
      </c>
      <c r="D137" s="31">
        <v>46255.875</v>
      </c>
      <c r="E137" s="31">
        <v>46256.25</v>
      </c>
      <c r="F137" s="30" t="s">
        <v>981</v>
      </c>
    </row>
    <row r="138" spans="1:6" ht="46.5" x14ac:dyDescent="0.35">
      <c r="A138" s="29" t="s">
        <v>277</v>
      </c>
      <c r="B138" s="29" t="s">
        <v>5</v>
      </c>
      <c r="C138" s="30" t="s">
        <v>982</v>
      </c>
      <c r="D138" s="31">
        <v>46255.875</v>
      </c>
      <c r="E138" s="31">
        <v>46256.25</v>
      </c>
      <c r="F138" s="30" t="s">
        <v>981</v>
      </c>
    </row>
    <row r="139" spans="1:6" ht="46.5" x14ac:dyDescent="0.35">
      <c r="A139" s="29" t="s">
        <v>277</v>
      </c>
      <c r="B139" s="29" t="s">
        <v>2</v>
      </c>
      <c r="C139" s="30" t="s">
        <v>983</v>
      </c>
      <c r="D139" s="31">
        <v>46255.875</v>
      </c>
      <c r="E139" s="31">
        <v>46256.25</v>
      </c>
      <c r="F139" s="30" t="s">
        <v>981</v>
      </c>
    </row>
    <row r="140" spans="1:6" ht="46.5" x14ac:dyDescent="0.35">
      <c r="A140" s="29" t="s">
        <v>277</v>
      </c>
      <c r="B140" s="29" t="s">
        <v>5</v>
      </c>
      <c r="C140" s="30" t="s">
        <v>984</v>
      </c>
      <c r="D140" s="31">
        <v>46255.875</v>
      </c>
      <c r="E140" s="31">
        <v>46256.25</v>
      </c>
      <c r="F140" s="30" t="s">
        <v>985</v>
      </c>
    </row>
    <row r="141" spans="1:6" ht="46.5" x14ac:dyDescent="0.35">
      <c r="A141" s="29" t="s">
        <v>277</v>
      </c>
      <c r="B141" s="29" t="s">
        <v>4</v>
      </c>
      <c r="C141" s="30" t="s">
        <v>990</v>
      </c>
      <c r="D141" s="31">
        <v>46255.875</v>
      </c>
      <c r="E141" s="31">
        <v>46256.208333333299</v>
      </c>
      <c r="F141" s="30" t="s">
        <v>991</v>
      </c>
    </row>
    <row r="142" spans="1:6" ht="46.5" x14ac:dyDescent="0.35">
      <c r="A142" s="29" t="s">
        <v>268</v>
      </c>
      <c r="B142" s="29" t="s">
        <v>2</v>
      </c>
      <c r="C142" s="30" t="s">
        <v>269</v>
      </c>
      <c r="D142" s="31">
        <v>46237.25</v>
      </c>
      <c r="E142" s="31">
        <v>46692.25</v>
      </c>
      <c r="F142" s="30" t="s">
        <v>270</v>
      </c>
    </row>
    <row r="143" spans="1:6" ht="46.5" x14ac:dyDescent="0.35">
      <c r="A143" s="29" t="s">
        <v>268</v>
      </c>
      <c r="B143" s="29" t="s">
        <v>44</v>
      </c>
      <c r="C143" s="30" t="s">
        <v>809</v>
      </c>
      <c r="D143" s="31">
        <v>46255.875</v>
      </c>
      <c r="E143" s="31">
        <v>46258.25</v>
      </c>
      <c r="F143" s="30" t="s">
        <v>808</v>
      </c>
    </row>
    <row r="144" spans="1:6" ht="46.5" x14ac:dyDescent="0.35">
      <c r="A144" s="29" t="s">
        <v>268</v>
      </c>
      <c r="B144" s="29" t="s">
        <v>6</v>
      </c>
      <c r="C144" s="30" t="s">
        <v>986</v>
      </c>
      <c r="D144" s="31">
        <v>46255.875</v>
      </c>
      <c r="E144" s="31">
        <v>46256.25</v>
      </c>
      <c r="F144" s="30" t="s">
        <v>987</v>
      </c>
    </row>
    <row r="145" spans="1:6" ht="46.5" x14ac:dyDescent="0.35">
      <c r="A145" s="29" t="s">
        <v>268</v>
      </c>
      <c r="B145" s="29" t="s">
        <v>4</v>
      </c>
      <c r="C145" s="30" t="s">
        <v>322</v>
      </c>
      <c r="D145" s="31">
        <v>46255.958333333299</v>
      </c>
      <c r="E145" s="31">
        <v>46256.25</v>
      </c>
      <c r="F145" s="30" t="s">
        <v>323</v>
      </c>
    </row>
    <row r="146" spans="1:6" ht="46.5" x14ac:dyDescent="0.35">
      <c r="A146" s="29" t="s">
        <v>280</v>
      </c>
      <c r="B146" s="29" t="s">
        <v>5</v>
      </c>
      <c r="C146" s="30" t="s">
        <v>988</v>
      </c>
      <c r="D146" s="31">
        <v>46255.875</v>
      </c>
      <c r="E146" s="31">
        <v>46256.25</v>
      </c>
      <c r="F146" s="30" t="s">
        <v>989</v>
      </c>
    </row>
    <row r="147" spans="1:6" ht="46.5" x14ac:dyDescent="0.35">
      <c r="A147" s="29" t="s">
        <v>61</v>
      </c>
      <c r="B147" s="29" t="s">
        <v>6</v>
      </c>
      <c r="C147" s="30" t="s">
        <v>888</v>
      </c>
      <c r="D147" s="31">
        <v>46255.927083333299</v>
      </c>
      <c r="E147" s="31">
        <v>46256.25</v>
      </c>
      <c r="F147" s="30" t="s">
        <v>889</v>
      </c>
    </row>
    <row r="148" spans="1:6" ht="46.5" x14ac:dyDescent="0.35">
      <c r="A148" s="29" t="s">
        <v>61</v>
      </c>
      <c r="B148" s="29" t="s">
        <v>6</v>
      </c>
      <c r="C148" s="30" t="s">
        <v>890</v>
      </c>
      <c r="D148" s="31">
        <v>46255.927083333299</v>
      </c>
      <c r="E148" s="31">
        <v>46256.25</v>
      </c>
      <c r="F148" s="30" t="s">
        <v>889</v>
      </c>
    </row>
    <row r="149" spans="1:6" ht="46.5" x14ac:dyDescent="0.35">
      <c r="A149" s="29" t="s">
        <v>61</v>
      </c>
      <c r="B149" s="29" t="s">
        <v>6</v>
      </c>
      <c r="C149" s="30" t="s">
        <v>891</v>
      </c>
      <c r="D149" s="31">
        <v>46255.927083333299</v>
      </c>
      <c r="E149" s="31">
        <v>46256.25</v>
      </c>
      <c r="F149" s="30" t="s">
        <v>889</v>
      </c>
    </row>
    <row r="150" spans="1:6" ht="46.5" x14ac:dyDescent="0.35">
      <c r="A150" s="29" t="s">
        <v>61</v>
      </c>
      <c r="B150" s="29" t="s">
        <v>2</v>
      </c>
      <c r="C150" s="30" t="s">
        <v>62</v>
      </c>
      <c r="D150" s="31">
        <v>46255.927083333299</v>
      </c>
      <c r="E150" s="31">
        <v>46256.25</v>
      </c>
      <c r="F150" s="30" t="s">
        <v>63</v>
      </c>
    </row>
    <row r="151" spans="1:6" ht="46.5" x14ac:dyDescent="0.35">
      <c r="A151" s="29" t="s">
        <v>61</v>
      </c>
      <c r="B151" s="29" t="s">
        <v>2</v>
      </c>
      <c r="C151" s="30" t="s">
        <v>64</v>
      </c>
      <c r="D151" s="31">
        <v>46255.927083333299</v>
      </c>
      <c r="E151" s="31">
        <v>46256.25</v>
      </c>
      <c r="F151" s="30" t="s">
        <v>63</v>
      </c>
    </row>
    <row r="152" spans="1:6" ht="46.5" x14ac:dyDescent="0.35">
      <c r="A152" s="29" t="s">
        <v>61</v>
      </c>
      <c r="B152" s="29" t="s">
        <v>2</v>
      </c>
      <c r="C152" s="30" t="s">
        <v>65</v>
      </c>
      <c r="D152" s="31">
        <v>46255.927083333299</v>
      </c>
      <c r="E152" s="31">
        <v>46256.25</v>
      </c>
      <c r="F152" s="30" t="s">
        <v>63</v>
      </c>
    </row>
    <row r="153" spans="1:6" ht="46.5" x14ac:dyDescent="0.35">
      <c r="A153" s="29" t="s">
        <v>61</v>
      </c>
      <c r="B153" s="29" t="s">
        <v>2</v>
      </c>
      <c r="C153" s="30" t="s">
        <v>66</v>
      </c>
      <c r="D153" s="31">
        <v>46255.927083333299</v>
      </c>
      <c r="E153" s="31">
        <v>46256.25</v>
      </c>
      <c r="F153" s="30" t="s">
        <v>63</v>
      </c>
    </row>
    <row r="154" spans="1:6" ht="46.5" x14ac:dyDescent="0.35">
      <c r="A154" s="29" t="s">
        <v>61</v>
      </c>
      <c r="B154" s="29" t="s">
        <v>2</v>
      </c>
      <c r="C154" s="30" t="s">
        <v>67</v>
      </c>
      <c r="D154" s="31">
        <v>46255.927083333299</v>
      </c>
      <c r="E154" s="31">
        <v>46256.25</v>
      </c>
      <c r="F154" s="30" t="s">
        <v>63</v>
      </c>
    </row>
    <row r="155" spans="1:6" ht="46.5" x14ac:dyDescent="0.35">
      <c r="A155" s="29" t="s">
        <v>61</v>
      </c>
      <c r="B155" s="29" t="s">
        <v>2</v>
      </c>
      <c r="C155" s="30" t="s">
        <v>68</v>
      </c>
      <c r="D155" s="31">
        <v>46255.927083333299</v>
      </c>
      <c r="E155" s="31">
        <v>46256.25</v>
      </c>
      <c r="F155" s="30" t="s">
        <v>63</v>
      </c>
    </row>
    <row r="156" spans="1:6" ht="46.5" x14ac:dyDescent="0.35">
      <c r="A156" s="29" t="s">
        <v>61</v>
      </c>
      <c r="B156" s="29" t="s">
        <v>6</v>
      </c>
      <c r="C156" s="30" t="s">
        <v>892</v>
      </c>
      <c r="D156" s="31">
        <v>46255.927083333299</v>
      </c>
      <c r="E156" s="31">
        <v>46256.25</v>
      </c>
      <c r="F156" s="30" t="s">
        <v>893</v>
      </c>
    </row>
    <row r="157" spans="1:6" ht="46.5" x14ac:dyDescent="0.35">
      <c r="A157" s="29" t="s">
        <v>61</v>
      </c>
      <c r="B157" s="29" t="s">
        <v>6</v>
      </c>
      <c r="C157" s="30" t="s">
        <v>894</v>
      </c>
      <c r="D157" s="31">
        <v>46255.927083333299</v>
      </c>
      <c r="E157" s="31">
        <v>46256.25</v>
      </c>
      <c r="F157" s="30" t="s">
        <v>893</v>
      </c>
    </row>
    <row r="158" spans="1:6" ht="46.5" x14ac:dyDescent="0.35">
      <c r="A158" s="29" t="s">
        <v>61</v>
      </c>
      <c r="B158" s="29" t="s">
        <v>2</v>
      </c>
      <c r="C158" s="30" t="s">
        <v>69</v>
      </c>
      <c r="D158" s="31">
        <v>46255.927083333299</v>
      </c>
      <c r="E158" s="31">
        <v>46256.25</v>
      </c>
      <c r="F158" s="30" t="s">
        <v>70</v>
      </c>
    </row>
    <row r="159" spans="1:6" ht="46.5" x14ac:dyDescent="0.35">
      <c r="A159" s="29" t="s">
        <v>61</v>
      </c>
      <c r="B159" s="29" t="s">
        <v>5</v>
      </c>
      <c r="C159" s="30" t="s">
        <v>1025</v>
      </c>
      <c r="D159" s="31">
        <v>46255.916666666701</v>
      </c>
      <c r="E159" s="31">
        <v>46256.229166666701</v>
      </c>
      <c r="F159" s="30" t="s">
        <v>1026</v>
      </c>
    </row>
    <row r="160" spans="1:6" ht="46.5" x14ac:dyDescent="0.35">
      <c r="A160" s="29" t="s">
        <v>507</v>
      </c>
      <c r="B160" s="29" t="s">
        <v>2</v>
      </c>
      <c r="C160" s="30" t="s">
        <v>832</v>
      </c>
      <c r="D160" s="31">
        <v>46255.875</v>
      </c>
      <c r="E160" s="31">
        <v>46258.25</v>
      </c>
      <c r="F160" s="30" t="s">
        <v>829</v>
      </c>
    </row>
    <row r="161" spans="1:6" ht="46.5" x14ac:dyDescent="0.35">
      <c r="A161" s="29" t="s">
        <v>360</v>
      </c>
      <c r="B161" s="29" t="s">
        <v>2</v>
      </c>
      <c r="C161" s="30" t="s">
        <v>497</v>
      </c>
      <c r="D161" s="31">
        <v>46255.833333333299</v>
      </c>
      <c r="E161" s="31">
        <v>46256.208333333299</v>
      </c>
      <c r="F161" s="30" t="s">
        <v>498</v>
      </c>
    </row>
    <row r="162" spans="1:6" ht="46.5" x14ac:dyDescent="0.35">
      <c r="A162" s="29" t="s">
        <v>360</v>
      </c>
      <c r="B162" s="29" t="s">
        <v>2</v>
      </c>
      <c r="C162" s="30" t="s">
        <v>1033</v>
      </c>
      <c r="D162" s="31">
        <v>46255.916666666701</v>
      </c>
      <c r="E162" s="31">
        <v>46256.25</v>
      </c>
      <c r="F162" s="30" t="s">
        <v>1034</v>
      </c>
    </row>
    <row r="163" spans="1:6" ht="62" x14ac:dyDescent="0.35">
      <c r="A163" s="29" t="s">
        <v>360</v>
      </c>
      <c r="B163" s="29" t="s">
        <v>2</v>
      </c>
      <c r="C163" s="30" t="s">
        <v>617</v>
      </c>
      <c r="D163" s="31">
        <v>46255.875</v>
      </c>
      <c r="E163" s="31">
        <v>46256.25</v>
      </c>
      <c r="F163" s="30" t="s">
        <v>618</v>
      </c>
    </row>
    <row r="164" spans="1:6" ht="46.5" x14ac:dyDescent="0.35">
      <c r="A164" s="29" t="s">
        <v>360</v>
      </c>
      <c r="B164" s="29" t="s">
        <v>6</v>
      </c>
      <c r="C164" s="30" t="s">
        <v>1035</v>
      </c>
      <c r="D164" s="31">
        <v>46255.895833333299</v>
      </c>
      <c r="E164" s="31">
        <v>46256.25</v>
      </c>
      <c r="F164" s="30" t="s">
        <v>1036</v>
      </c>
    </row>
    <row r="165" spans="1:6" ht="62" x14ac:dyDescent="0.35">
      <c r="A165" s="29" t="s">
        <v>360</v>
      </c>
      <c r="B165" s="29" t="s">
        <v>2</v>
      </c>
      <c r="C165" s="30" t="s">
        <v>505</v>
      </c>
      <c r="D165" s="31">
        <v>46255.875</v>
      </c>
      <c r="E165" s="31">
        <v>46256.25</v>
      </c>
      <c r="F165" s="30" t="s">
        <v>506</v>
      </c>
    </row>
    <row r="166" spans="1:6" ht="46.5" x14ac:dyDescent="0.35">
      <c r="A166" s="29" t="s">
        <v>619</v>
      </c>
      <c r="B166" s="29" t="s">
        <v>4</v>
      </c>
      <c r="C166" s="30" t="s">
        <v>1037</v>
      </c>
      <c r="D166" s="31">
        <v>46255.875</v>
      </c>
      <c r="E166" s="31">
        <v>46256.25</v>
      </c>
      <c r="F166" s="30" t="s">
        <v>1038</v>
      </c>
    </row>
    <row r="167" spans="1:6" ht="46.5" x14ac:dyDescent="0.35">
      <c r="A167" s="29" t="s">
        <v>195</v>
      </c>
      <c r="B167" s="29" t="s">
        <v>6</v>
      </c>
      <c r="C167" s="30" t="s">
        <v>196</v>
      </c>
      <c r="D167" s="31">
        <v>46255.833333333299</v>
      </c>
      <c r="E167" s="31">
        <v>46256.25</v>
      </c>
      <c r="F167" s="30" t="s">
        <v>197</v>
      </c>
    </row>
    <row r="168" spans="1:6" ht="46.5" x14ac:dyDescent="0.35">
      <c r="A168" s="29" t="s">
        <v>195</v>
      </c>
      <c r="B168" s="29" t="s">
        <v>6</v>
      </c>
      <c r="C168" s="30" t="s">
        <v>198</v>
      </c>
      <c r="D168" s="31">
        <v>46255.833333333299</v>
      </c>
      <c r="E168" s="31">
        <v>46256.25</v>
      </c>
      <c r="F168" s="30" t="s">
        <v>197</v>
      </c>
    </row>
    <row r="169" spans="1:6" ht="31" x14ac:dyDescent="0.35">
      <c r="A169" s="29" t="s">
        <v>195</v>
      </c>
      <c r="B169" s="29" t="s">
        <v>6</v>
      </c>
      <c r="C169" s="30" t="s">
        <v>199</v>
      </c>
      <c r="D169" s="31">
        <v>46255.833333333299</v>
      </c>
      <c r="E169" s="31">
        <v>46256.25</v>
      </c>
      <c r="F169" s="30" t="s">
        <v>197</v>
      </c>
    </row>
    <row r="170" spans="1:6" ht="31" x14ac:dyDescent="0.35">
      <c r="A170" s="29" t="s">
        <v>195</v>
      </c>
      <c r="B170" s="29" t="s">
        <v>6</v>
      </c>
      <c r="C170" s="30" t="s">
        <v>200</v>
      </c>
      <c r="D170" s="31">
        <v>46255.833333333299</v>
      </c>
      <c r="E170" s="31">
        <v>46256.25</v>
      </c>
      <c r="F170" s="30" t="s">
        <v>197</v>
      </c>
    </row>
    <row r="171" spans="1:6" ht="46.5" x14ac:dyDescent="0.35">
      <c r="A171" s="29" t="s">
        <v>195</v>
      </c>
      <c r="B171" s="29" t="s">
        <v>6</v>
      </c>
      <c r="C171" s="30" t="s">
        <v>201</v>
      </c>
      <c r="D171" s="31">
        <v>46255.833333333299</v>
      </c>
      <c r="E171" s="31">
        <v>46256.25</v>
      </c>
      <c r="F171" s="30" t="s">
        <v>197</v>
      </c>
    </row>
    <row r="172" spans="1:6" ht="46.5" x14ac:dyDescent="0.35">
      <c r="A172" s="29" t="s">
        <v>195</v>
      </c>
      <c r="B172" s="29" t="s">
        <v>6</v>
      </c>
      <c r="C172" s="30" t="s">
        <v>202</v>
      </c>
      <c r="D172" s="31">
        <v>46255.833333333299</v>
      </c>
      <c r="E172" s="31">
        <v>46256.25</v>
      </c>
      <c r="F172" s="30" t="s">
        <v>197</v>
      </c>
    </row>
    <row r="173" spans="1:6" ht="31" x14ac:dyDescent="0.35">
      <c r="A173" s="29" t="s">
        <v>195</v>
      </c>
      <c r="B173" s="29" t="s">
        <v>6</v>
      </c>
      <c r="C173" s="30" t="s">
        <v>203</v>
      </c>
      <c r="D173" s="31">
        <v>46255.833333333299</v>
      </c>
      <c r="E173" s="31">
        <v>46256.25</v>
      </c>
      <c r="F173" s="30" t="s">
        <v>197</v>
      </c>
    </row>
    <row r="174" spans="1:6" ht="31" x14ac:dyDescent="0.35">
      <c r="A174" s="29" t="s">
        <v>195</v>
      </c>
      <c r="B174" s="29" t="s">
        <v>2</v>
      </c>
      <c r="C174" s="30" t="s">
        <v>666</v>
      </c>
      <c r="D174" s="31">
        <v>46255.833333333299</v>
      </c>
      <c r="E174" s="31">
        <v>46256.25</v>
      </c>
      <c r="F174" s="30" t="s">
        <v>667</v>
      </c>
    </row>
    <row r="175" spans="1:6" ht="31" x14ac:dyDescent="0.35">
      <c r="A175" s="29" t="s">
        <v>195</v>
      </c>
      <c r="B175" s="29" t="s">
        <v>2</v>
      </c>
      <c r="C175" s="30" t="s">
        <v>668</v>
      </c>
      <c r="D175" s="31">
        <v>46255.833333333299</v>
      </c>
      <c r="E175" s="31">
        <v>46256.25</v>
      </c>
      <c r="F175" s="30" t="s">
        <v>667</v>
      </c>
    </row>
    <row r="176" spans="1:6" ht="31" x14ac:dyDescent="0.35">
      <c r="A176" s="29" t="s">
        <v>195</v>
      </c>
      <c r="B176" s="29" t="s">
        <v>2</v>
      </c>
      <c r="C176" s="30" t="s">
        <v>669</v>
      </c>
      <c r="D176" s="31">
        <v>46255.833333333299</v>
      </c>
      <c r="E176" s="31">
        <v>46256.25</v>
      </c>
      <c r="F176" s="30" t="s">
        <v>667</v>
      </c>
    </row>
    <row r="177" spans="1:6" ht="31" x14ac:dyDescent="0.35">
      <c r="A177" s="29" t="s">
        <v>973</v>
      </c>
      <c r="B177" s="29" t="s">
        <v>4</v>
      </c>
      <c r="C177" s="30" t="s">
        <v>974</v>
      </c>
      <c r="D177" s="31">
        <v>46255.833333333299</v>
      </c>
      <c r="E177" s="31">
        <v>46256.208333333299</v>
      </c>
      <c r="F177" s="30" t="s">
        <v>975</v>
      </c>
    </row>
    <row r="178" spans="1:6" ht="31" x14ac:dyDescent="0.35">
      <c r="A178" s="29" t="s">
        <v>973</v>
      </c>
      <c r="B178" s="29" t="s">
        <v>4</v>
      </c>
      <c r="C178" s="30" t="s">
        <v>976</v>
      </c>
      <c r="D178" s="31">
        <v>46255.833333333299</v>
      </c>
      <c r="E178" s="31">
        <v>46256.208333333299</v>
      </c>
      <c r="F178" s="30" t="s">
        <v>975</v>
      </c>
    </row>
    <row r="179" spans="1:6" ht="46.5" x14ac:dyDescent="0.35">
      <c r="A179" s="29" t="s">
        <v>221</v>
      </c>
      <c r="B179" s="29" t="s">
        <v>5</v>
      </c>
      <c r="C179" s="30" t="s">
        <v>935</v>
      </c>
      <c r="D179" s="31">
        <v>46255.875</v>
      </c>
      <c r="E179" s="31">
        <v>46256.25</v>
      </c>
      <c r="F179" s="30" t="s">
        <v>936</v>
      </c>
    </row>
    <row r="180" spans="1:6" ht="31" x14ac:dyDescent="0.35">
      <c r="A180" s="29" t="s">
        <v>221</v>
      </c>
      <c r="B180" s="29" t="s">
        <v>5</v>
      </c>
      <c r="C180" s="30" t="s">
        <v>937</v>
      </c>
      <c r="D180" s="31">
        <v>46255.875</v>
      </c>
      <c r="E180" s="31">
        <v>46256.25</v>
      </c>
      <c r="F180" s="30" t="s">
        <v>936</v>
      </c>
    </row>
    <row r="181" spans="1:6" ht="46.5" x14ac:dyDescent="0.35">
      <c r="A181" s="29" t="s">
        <v>221</v>
      </c>
      <c r="B181" s="29" t="s">
        <v>5</v>
      </c>
      <c r="C181" s="30" t="s">
        <v>670</v>
      </c>
      <c r="D181" s="31">
        <v>46255.875</v>
      </c>
      <c r="E181" s="31">
        <v>46256.25</v>
      </c>
      <c r="F181" s="30" t="s">
        <v>463</v>
      </c>
    </row>
    <row r="182" spans="1:6" ht="46.5" x14ac:dyDescent="0.35">
      <c r="A182" s="29" t="s">
        <v>221</v>
      </c>
      <c r="B182" s="29" t="s">
        <v>5</v>
      </c>
      <c r="C182" s="30" t="s">
        <v>945</v>
      </c>
      <c r="D182" s="31">
        <v>46255.875</v>
      </c>
      <c r="E182" s="31">
        <v>46256.208333333299</v>
      </c>
      <c r="F182" s="30" t="s">
        <v>946</v>
      </c>
    </row>
    <row r="183" spans="1:6" ht="46.5" x14ac:dyDescent="0.35">
      <c r="A183" s="29" t="s">
        <v>221</v>
      </c>
      <c r="B183" s="29" t="s">
        <v>5</v>
      </c>
      <c r="C183" s="30" t="s">
        <v>947</v>
      </c>
      <c r="D183" s="31">
        <v>46255.875</v>
      </c>
      <c r="E183" s="31">
        <v>46256.208333333299</v>
      </c>
      <c r="F183" s="30" t="s">
        <v>946</v>
      </c>
    </row>
    <row r="184" spans="1:6" ht="31" x14ac:dyDescent="0.35">
      <c r="A184" s="29" t="s">
        <v>192</v>
      </c>
      <c r="B184" s="29" t="s">
        <v>6</v>
      </c>
      <c r="C184" s="30" t="s">
        <v>193</v>
      </c>
      <c r="D184" s="31">
        <v>45804.208333333299</v>
      </c>
      <c r="E184" s="31">
        <v>46418.208333333299</v>
      </c>
      <c r="F184" s="30" t="s">
        <v>194</v>
      </c>
    </row>
    <row r="185" spans="1:6" ht="31" x14ac:dyDescent="0.35">
      <c r="A185" s="29" t="s">
        <v>192</v>
      </c>
      <c r="B185" s="29" t="s">
        <v>2</v>
      </c>
      <c r="C185" s="30" t="s">
        <v>957</v>
      </c>
      <c r="D185" s="31">
        <v>46255.875</v>
      </c>
      <c r="E185" s="31">
        <v>46256.25</v>
      </c>
      <c r="F185" s="30" t="s">
        <v>958</v>
      </c>
    </row>
    <row r="186" spans="1:6" ht="46.5" x14ac:dyDescent="0.35">
      <c r="A186" s="29" t="s">
        <v>226</v>
      </c>
      <c r="B186" s="29" t="s">
        <v>5</v>
      </c>
      <c r="C186" s="30" t="s">
        <v>227</v>
      </c>
      <c r="D186" s="31">
        <v>46255.875</v>
      </c>
      <c r="E186" s="31">
        <v>46256.208333333299</v>
      </c>
      <c r="F186" s="30" t="s">
        <v>228</v>
      </c>
    </row>
    <row r="187" spans="1:6" ht="46.5" x14ac:dyDescent="0.35">
      <c r="A187" s="29" t="s">
        <v>226</v>
      </c>
      <c r="B187" s="29" t="s">
        <v>5</v>
      </c>
      <c r="C187" s="30" t="s">
        <v>229</v>
      </c>
      <c r="D187" s="31">
        <v>46255.875</v>
      </c>
      <c r="E187" s="31">
        <v>46256.208333333299</v>
      </c>
      <c r="F187" s="30" t="s">
        <v>228</v>
      </c>
    </row>
    <row r="188" spans="1:6" ht="46.5" x14ac:dyDescent="0.35">
      <c r="A188" s="29" t="s">
        <v>211</v>
      </c>
      <c r="B188" s="29" t="s">
        <v>6</v>
      </c>
      <c r="C188" s="30" t="s">
        <v>430</v>
      </c>
      <c r="D188" s="31">
        <v>46255.833333333299</v>
      </c>
      <c r="E188" s="31">
        <v>46256.25</v>
      </c>
      <c r="F188" s="30" t="s">
        <v>431</v>
      </c>
    </row>
    <row r="189" spans="1:6" ht="93" x14ac:dyDescent="0.35">
      <c r="A189" s="29" t="s">
        <v>211</v>
      </c>
      <c r="B189" s="29" t="s">
        <v>6</v>
      </c>
      <c r="C189" s="30" t="s">
        <v>944</v>
      </c>
      <c r="D189" s="31">
        <v>46255.875</v>
      </c>
      <c r="E189" s="31">
        <v>46256.25</v>
      </c>
      <c r="F189" s="30" t="s">
        <v>213</v>
      </c>
    </row>
    <row r="190" spans="1:6" ht="93" x14ac:dyDescent="0.35">
      <c r="A190" s="29" t="s">
        <v>211</v>
      </c>
      <c r="B190" s="29" t="s">
        <v>2</v>
      </c>
      <c r="C190" s="30" t="s">
        <v>963</v>
      </c>
      <c r="D190" s="31">
        <v>46255.958333333299</v>
      </c>
      <c r="E190" s="31">
        <v>46256.25</v>
      </c>
      <c r="F190" s="30" t="s">
        <v>964</v>
      </c>
    </row>
    <row r="191" spans="1:6" ht="77.5" x14ac:dyDescent="0.35">
      <c r="A191" s="29" t="s">
        <v>211</v>
      </c>
      <c r="B191" s="29" t="s">
        <v>2</v>
      </c>
      <c r="C191" s="30" t="s">
        <v>965</v>
      </c>
      <c r="D191" s="31">
        <v>46255.958333333299</v>
      </c>
      <c r="E191" s="31">
        <v>46256.25</v>
      </c>
      <c r="F191" s="30" t="s">
        <v>964</v>
      </c>
    </row>
    <row r="192" spans="1:6" ht="77.5" x14ac:dyDescent="0.35">
      <c r="A192" s="29" t="s">
        <v>211</v>
      </c>
      <c r="B192" s="29" t="s">
        <v>2</v>
      </c>
      <c r="C192" s="30" t="s">
        <v>966</v>
      </c>
      <c r="D192" s="31">
        <v>46255.958333333299</v>
      </c>
      <c r="E192" s="31">
        <v>46256.25</v>
      </c>
      <c r="F192" s="30" t="s">
        <v>964</v>
      </c>
    </row>
    <row r="193" spans="1:6" ht="77.5" x14ac:dyDescent="0.35">
      <c r="A193" s="29" t="s">
        <v>211</v>
      </c>
      <c r="B193" s="29" t="s">
        <v>2</v>
      </c>
      <c r="C193" s="30" t="s">
        <v>967</v>
      </c>
      <c r="D193" s="31">
        <v>46255.958333333299</v>
      </c>
      <c r="E193" s="31">
        <v>46256.25</v>
      </c>
      <c r="F193" s="30" t="s">
        <v>964</v>
      </c>
    </row>
    <row r="194" spans="1:6" ht="93" x14ac:dyDescent="0.35">
      <c r="A194" s="29" t="s">
        <v>211</v>
      </c>
      <c r="B194" s="29" t="s">
        <v>6</v>
      </c>
      <c r="C194" s="30" t="s">
        <v>977</v>
      </c>
      <c r="D194" s="31">
        <v>46255.833333333299</v>
      </c>
      <c r="E194" s="31">
        <v>46256.25</v>
      </c>
      <c r="F194" s="30" t="s">
        <v>978</v>
      </c>
    </row>
    <row r="195" spans="1:6" ht="93" x14ac:dyDescent="0.35">
      <c r="A195" s="29" t="s">
        <v>211</v>
      </c>
      <c r="B195" s="29" t="s">
        <v>2</v>
      </c>
      <c r="C195" s="30" t="s">
        <v>828</v>
      </c>
      <c r="D195" s="31">
        <v>46255.875</v>
      </c>
      <c r="E195" s="31">
        <v>46258.25</v>
      </c>
      <c r="F195" s="30" t="s">
        <v>829</v>
      </c>
    </row>
    <row r="196" spans="1:6" ht="93" x14ac:dyDescent="0.35">
      <c r="A196" s="29" t="s">
        <v>211</v>
      </c>
      <c r="B196" s="29" t="s">
        <v>6</v>
      </c>
      <c r="C196" s="30" t="s">
        <v>830</v>
      </c>
      <c r="D196" s="31">
        <v>46255.875</v>
      </c>
      <c r="E196" s="31">
        <v>46258.25</v>
      </c>
      <c r="F196" s="30" t="s">
        <v>829</v>
      </c>
    </row>
    <row r="197" spans="1:6" ht="93" x14ac:dyDescent="0.35">
      <c r="A197" s="29" t="s">
        <v>211</v>
      </c>
      <c r="B197" s="29" t="s">
        <v>2</v>
      </c>
      <c r="C197" s="30" t="s">
        <v>831</v>
      </c>
      <c r="D197" s="31">
        <v>46255.875</v>
      </c>
      <c r="E197" s="31">
        <v>46258.25</v>
      </c>
      <c r="F197" s="30" t="s">
        <v>829</v>
      </c>
    </row>
    <row r="198" spans="1:6" ht="93" x14ac:dyDescent="0.35">
      <c r="A198" s="29" t="s">
        <v>235</v>
      </c>
      <c r="B198" s="29" t="s">
        <v>7</v>
      </c>
      <c r="C198" s="30" t="s">
        <v>236</v>
      </c>
      <c r="D198" s="31">
        <v>46255.833333333299</v>
      </c>
      <c r="E198" s="31">
        <v>46256.25</v>
      </c>
      <c r="F198" s="30" t="s">
        <v>237</v>
      </c>
    </row>
    <row r="199" spans="1:6" ht="77.5" x14ac:dyDescent="0.35">
      <c r="A199" s="29" t="s">
        <v>235</v>
      </c>
      <c r="B199" s="29" t="s">
        <v>7</v>
      </c>
      <c r="C199" s="30" t="s">
        <v>238</v>
      </c>
      <c r="D199" s="31">
        <v>46255.833333333299</v>
      </c>
      <c r="E199" s="31">
        <v>46256.25</v>
      </c>
      <c r="F199" s="30" t="s">
        <v>237</v>
      </c>
    </row>
    <row r="200" spans="1:6" ht="77.5" x14ac:dyDescent="0.35">
      <c r="A200" s="29" t="s">
        <v>235</v>
      </c>
      <c r="B200" s="29" t="s">
        <v>8</v>
      </c>
      <c r="C200" s="30" t="s">
        <v>239</v>
      </c>
      <c r="D200" s="31">
        <v>46255.833333333299</v>
      </c>
      <c r="E200" s="31">
        <v>46256.25</v>
      </c>
      <c r="F200" s="30" t="s">
        <v>237</v>
      </c>
    </row>
    <row r="201" spans="1:6" ht="77.5" x14ac:dyDescent="0.35">
      <c r="A201" s="29" t="s">
        <v>235</v>
      </c>
      <c r="B201" s="29" t="s">
        <v>8</v>
      </c>
      <c r="C201" s="30" t="s">
        <v>240</v>
      </c>
      <c r="D201" s="31">
        <v>46255.833333333299</v>
      </c>
      <c r="E201" s="31">
        <v>46256.25</v>
      </c>
      <c r="F201" s="30" t="s">
        <v>237</v>
      </c>
    </row>
    <row r="202" spans="1:6" ht="77.5" x14ac:dyDescent="0.35">
      <c r="A202" s="29" t="s">
        <v>235</v>
      </c>
      <c r="B202" s="29" t="s">
        <v>8</v>
      </c>
      <c r="C202" s="30" t="s">
        <v>953</v>
      </c>
      <c r="D202" s="31">
        <v>46255.875</v>
      </c>
      <c r="E202" s="31">
        <v>46256.25</v>
      </c>
      <c r="F202" s="30" t="s">
        <v>954</v>
      </c>
    </row>
    <row r="203" spans="1:6" ht="62" x14ac:dyDescent="0.35">
      <c r="A203" s="29" t="s">
        <v>235</v>
      </c>
      <c r="B203" s="29" t="s">
        <v>8</v>
      </c>
      <c r="C203" s="30" t="s">
        <v>955</v>
      </c>
      <c r="D203" s="31">
        <v>46255.875</v>
      </c>
      <c r="E203" s="31">
        <v>46256.25</v>
      </c>
      <c r="F203" s="30" t="s">
        <v>954</v>
      </c>
    </row>
    <row r="204" spans="1:6" ht="108.5" x14ac:dyDescent="0.35">
      <c r="A204" s="29" t="s">
        <v>235</v>
      </c>
      <c r="B204" s="29" t="s">
        <v>8</v>
      </c>
      <c r="C204" s="30" t="s">
        <v>956</v>
      </c>
      <c r="D204" s="31">
        <v>46255.875</v>
      </c>
      <c r="E204" s="31">
        <v>46256.25</v>
      </c>
      <c r="F204" s="30" t="s">
        <v>954</v>
      </c>
    </row>
    <row r="205" spans="1:6" ht="62" x14ac:dyDescent="0.35">
      <c r="A205" s="29" t="s">
        <v>140</v>
      </c>
      <c r="B205" s="29" t="s">
        <v>6</v>
      </c>
      <c r="C205" s="30" t="s">
        <v>141</v>
      </c>
      <c r="D205" s="31">
        <v>46255.833333333299</v>
      </c>
      <c r="E205" s="31">
        <v>46256.25</v>
      </c>
      <c r="F205" s="30" t="s">
        <v>142</v>
      </c>
    </row>
    <row r="206" spans="1:6" ht="62" x14ac:dyDescent="0.35">
      <c r="A206" s="29" t="s">
        <v>140</v>
      </c>
      <c r="B206" s="29" t="s">
        <v>6</v>
      </c>
      <c r="C206" s="30" t="s">
        <v>143</v>
      </c>
      <c r="D206" s="31">
        <v>46255.833333333299</v>
      </c>
      <c r="E206" s="31">
        <v>46256.25</v>
      </c>
      <c r="F206" s="30" t="s">
        <v>142</v>
      </c>
    </row>
    <row r="207" spans="1:6" ht="93" x14ac:dyDescent="0.35">
      <c r="A207" s="29" t="s">
        <v>140</v>
      </c>
      <c r="B207" s="29" t="s">
        <v>6</v>
      </c>
      <c r="C207" s="30" t="s">
        <v>144</v>
      </c>
      <c r="D207" s="31">
        <v>46255.833333333299</v>
      </c>
      <c r="E207" s="31">
        <v>46256.25</v>
      </c>
      <c r="F207" s="30" t="s">
        <v>142</v>
      </c>
    </row>
    <row r="208" spans="1:6" ht="93" x14ac:dyDescent="0.35">
      <c r="A208" s="29" t="s">
        <v>140</v>
      </c>
      <c r="B208" s="29" t="s">
        <v>6</v>
      </c>
      <c r="C208" s="30" t="s">
        <v>145</v>
      </c>
      <c r="D208" s="31">
        <v>46255.833333333299</v>
      </c>
      <c r="E208" s="31">
        <v>46256.25</v>
      </c>
      <c r="F208" s="30" t="s">
        <v>142</v>
      </c>
    </row>
    <row r="209" spans="1:6" ht="124" x14ac:dyDescent="0.35">
      <c r="A209" s="29" t="s">
        <v>140</v>
      </c>
      <c r="B209" s="29" t="s">
        <v>6</v>
      </c>
      <c r="C209" s="30" t="s">
        <v>146</v>
      </c>
      <c r="D209" s="31">
        <v>46255.833333333299</v>
      </c>
      <c r="E209" s="31">
        <v>46256.25</v>
      </c>
      <c r="F209" s="30" t="s">
        <v>142</v>
      </c>
    </row>
    <row r="210" spans="1:6" ht="46.5" x14ac:dyDescent="0.35">
      <c r="A210" s="29" t="s">
        <v>140</v>
      </c>
      <c r="B210" s="29" t="s">
        <v>6</v>
      </c>
      <c r="C210" s="30" t="s">
        <v>147</v>
      </c>
      <c r="D210" s="31">
        <v>46255.833333333299</v>
      </c>
      <c r="E210" s="31">
        <v>46256.25</v>
      </c>
      <c r="F210" s="30" t="s">
        <v>142</v>
      </c>
    </row>
    <row r="211" spans="1:6" ht="62" x14ac:dyDescent="0.35">
      <c r="A211" s="29" t="s">
        <v>204</v>
      </c>
      <c r="B211" s="29" t="s">
        <v>2</v>
      </c>
      <c r="C211" s="30" t="s">
        <v>574</v>
      </c>
      <c r="D211" s="31">
        <v>46255.875</v>
      </c>
      <c r="E211" s="31">
        <v>46256.25</v>
      </c>
      <c r="F211" s="30" t="s">
        <v>206</v>
      </c>
    </row>
    <row r="212" spans="1:6" ht="139.5" x14ac:dyDescent="0.35">
      <c r="A212" s="29" t="s">
        <v>204</v>
      </c>
      <c r="B212" s="29" t="s">
        <v>2</v>
      </c>
      <c r="C212" s="30" t="s">
        <v>575</v>
      </c>
      <c r="D212" s="31">
        <v>46255.875</v>
      </c>
      <c r="E212" s="31">
        <v>46256.25</v>
      </c>
      <c r="F212" s="30" t="s">
        <v>206</v>
      </c>
    </row>
    <row r="213" spans="1:6" ht="93" x14ac:dyDescent="0.35">
      <c r="A213" s="29" t="s">
        <v>204</v>
      </c>
      <c r="B213" s="29" t="s">
        <v>2</v>
      </c>
      <c r="C213" s="30" t="s">
        <v>576</v>
      </c>
      <c r="D213" s="31">
        <v>46255.875</v>
      </c>
      <c r="E213" s="31">
        <v>46256.25</v>
      </c>
      <c r="F213" s="30" t="s">
        <v>206</v>
      </c>
    </row>
    <row r="214" spans="1:6" ht="62" x14ac:dyDescent="0.35">
      <c r="A214" s="29" t="s">
        <v>204</v>
      </c>
      <c r="B214" s="29" t="s">
        <v>2</v>
      </c>
      <c r="C214" s="30" t="s">
        <v>948</v>
      </c>
      <c r="D214" s="31">
        <v>46255.916666666701</v>
      </c>
      <c r="E214" s="31">
        <v>46256.25</v>
      </c>
      <c r="F214" s="30" t="s">
        <v>949</v>
      </c>
    </row>
    <row r="215" spans="1:6" ht="77.5" x14ac:dyDescent="0.35">
      <c r="A215" s="29" t="s">
        <v>204</v>
      </c>
      <c r="B215" s="29" t="s">
        <v>2</v>
      </c>
      <c r="C215" s="30" t="s">
        <v>950</v>
      </c>
      <c r="D215" s="31">
        <v>46255.916666666701</v>
      </c>
      <c r="E215" s="31">
        <v>46256.25</v>
      </c>
      <c r="F215" s="30" t="s">
        <v>949</v>
      </c>
    </row>
    <row r="216" spans="1:6" ht="46.5" x14ac:dyDescent="0.35">
      <c r="A216" s="29" t="s">
        <v>204</v>
      </c>
      <c r="B216" s="29" t="s">
        <v>6</v>
      </c>
      <c r="C216" s="30" t="s">
        <v>951</v>
      </c>
      <c r="D216" s="31">
        <v>46255.916666666701</v>
      </c>
      <c r="E216" s="31">
        <v>46256.25</v>
      </c>
      <c r="F216" s="30" t="s">
        <v>952</v>
      </c>
    </row>
    <row r="217" spans="1:6" ht="108.5" x14ac:dyDescent="0.35">
      <c r="A217" s="29" t="s">
        <v>109</v>
      </c>
      <c r="B217" s="29" t="s">
        <v>5</v>
      </c>
      <c r="C217" s="30" t="s">
        <v>130</v>
      </c>
      <c r="D217" s="31">
        <v>46255.833333333299</v>
      </c>
      <c r="E217" s="31">
        <v>46256.25</v>
      </c>
      <c r="F217" s="30" t="s">
        <v>131</v>
      </c>
    </row>
    <row r="218" spans="1:6" ht="77.5" x14ac:dyDescent="0.35">
      <c r="A218" s="29" t="s">
        <v>109</v>
      </c>
      <c r="B218" s="29" t="s">
        <v>4</v>
      </c>
      <c r="C218" s="30" t="s">
        <v>449</v>
      </c>
      <c r="D218" s="31">
        <v>46255.833333333299</v>
      </c>
      <c r="E218" s="31">
        <v>46256.25</v>
      </c>
      <c r="F218" s="30" t="s">
        <v>153</v>
      </c>
    </row>
    <row r="219" spans="1:6" ht="77.5" x14ac:dyDescent="0.35">
      <c r="A219" s="29" t="s">
        <v>109</v>
      </c>
      <c r="B219" s="29" t="s">
        <v>4</v>
      </c>
      <c r="C219" s="30" t="s">
        <v>918</v>
      </c>
      <c r="D219" s="31">
        <v>46255.833333333299</v>
      </c>
      <c r="E219" s="31">
        <v>46256.25</v>
      </c>
      <c r="F219" s="30" t="s">
        <v>919</v>
      </c>
    </row>
    <row r="220" spans="1:6" ht="77.5" x14ac:dyDescent="0.35">
      <c r="A220" s="29" t="s">
        <v>109</v>
      </c>
      <c r="B220" s="29" t="s">
        <v>5</v>
      </c>
      <c r="C220" s="30" t="s">
        <v>1045</v>
      </c>
      <c r="D220" s="31">
        <v>46255.875</v>
      </c>
      <c r="E220" s="31">
        <v>46256.208333333299</v>
      </c>
      <c r="F220" s="30" t="s">
        <v>1046</v>
      </c>
    </row>
    <row r="221" spans="1:6" ht="77.5" x14ac:dyDescent="0.35">
      <c r="A221" s="29" t="s">
        <v>447</v>
      </c>
      <c r="B221" s="29" t="s">
        <v>7</v>
      </c>
      <c r="C221" s="30" t="s">
        <v>448</v>
      </c>
      <c r="D221" s="31">
        <v>46255.833333333299</v>
      </c>
      <c r="E221" s="31">
        <v>46256.25</v>
      </c>
      <c r="F221" s="30" t="s">
        <v>153</v>
      </c>
    </row>
    <row r="222" spans="1:6" ht="62" x14ac:dyDescent="0.35">
      <c r="A222" s="29" t="s">
        <v>207</v>
      </c>
      <c r="B222" s="29" t="s">
        <v>5</v>
      </c>
      <c r="C222" s="30" t="s">
        <v>208</v>
      </c>
      <c r="D222" s="31">
        <v>46255.875</v>
      </c>
      <c r="E222" s="31">
        <v>46256.25</v>
      </c>
      <c r="F222" s="30" t="s">
        <v>209</v>
      </c>
    </row>
    <row r="223" spans="1:6" ht="77.5" x14ac:dyDescent="0.35">
      <c r="A223" s="29" t="s">
        <v>207</v>
      </c>
      <c r="B223" s="29" t="s">
        <v>5</v>
      </c>
      <c r="C223" s="30" t="s">
        <v>210</v>
      </c>
      <c r="D223" s="31">
        <v>46255.875</v>
      </c>
      <c r="E223" s="31">
        <v>46256.25</v>
      </c>
      <c r="F223" s="30" t="s">
        <v>209</v>
      </c>
    </row>
    <row r="224" spans="1:6" ht="77.5" x14ac:dyDescent="0.35">
      <c r="A224" s="29" t="s">
        <v>968</v>
      </c>
      <c r="B224" s="29" t="s">
        <v>6</v>
      </c>
      <c r="C224" s="30" t="s">
        <v>969</v>
      </c>
      <c r="D224" s="31">
        <v>46255.875</v>
      </c>
      <c r="E224" s="31">
        <v>46256.25</v>
      </c>
      <c r="F224" s="30" t="s">
        <v>248</v>
      </c>
    </row>
    <row r="225" spans="1:6" ht="62" x14ac:dyDescent="0.35">
      <c r="A225" s="29" t="s">
        <v>968</v>
      </c>
      <c r="B225" s="29" t="s">
        <v>6</v>
      </c>
      <c r="C225" s="30" t="s">
        <v>970</v>
      </c>
      <c r="D225" s="31">
        <v>46255.875</v>
      </c>
      <c r="E225" s="31">
        <v>46256.25</v>
      </c>
      <c r="F225" s="30" t="s">
        <v>248</v>
      </c>
    </row>
    <row r="226" spans="1:6" ht="93" x14ac:dyDescent="0.35">
      <c r="A226" s="29" t="s">
        <v>968</v>
      </c>
      <c r="B226" s="29" t="s">
        <v>6</v>
      </c>
      <c r="C226" s="30" t="s">
        <v>971</v>
      </c>
      <c r="D226" s="31">
        <v>46255.875</v>
      </c>
      <c r="E226" s="31">
        <v>46256.25</v>
      </c>
      <c r="F226" s="30" t="s">
        <v>248</v>
      </c>
    </row>
    <row r="227" spans="1:6" ht="77.5" x14ac:dyDescent="0.35">
      <c r="A227" s="29" t="s">
        <v>968</v>
      </c>
      <c r="B227" s="29" t="s">
        <v>6</v>
      </c>
      <c r="C227" s="30" t="s">
        <v>972</v>
      </c>
      <c r="D227" s="31">
        <v>46255.875</v>
      </c>
      <c r="E227" s="31">
        <v>46256.25</v>
      </c>
      <c r="F227" s="30" t="s">
        <v>248</v>
      </c>
    </row>
    <row r="228" spans="1:6" ht="77.5" x14ac:dyDescent="0.35">
      <c r="A228" s="29" t="s">
        <v>938</v>
      </c>
      <c r="B228" s="29" t="s">
        <v>4</v>
      </c>
      <c r="C228" s="30" t="s">
        <v>939</v>
      </c>
      <c r="D228" s="31">
        <v>46255.833333333299</v>
      </c>
      <c r="E228" s="31">
        <v>46256.25</v>
      </c>
      <c r="F228" s="30" t="s">
        <v>940</v>
      </c>
    </row>
    <row r="229" spans="1:6" ht="93" x14ac:dyDescent="0.35">
      <c r="A229" s="29" t="s">
        <v>938</v>
      </c>
      <c r="B229" s="29" t="s">
        <v>4</v>
      </c>
      <c r="C229" s="30" t="s">
        <v>941</v>
      </c>
      <c r="D229" s="31">
        <v>46255.833333333299</v>
      </c>
      <c r="E229" s="31">
        <v>46256.25</v>
      </c>
      <c r="F229" s="30" t="s">
        <v>940</v>
      </c>
    </row>
    <row r="230" spans="1:6" ht="46.5" x14ac:dyDescent="0.35">
      <c r="A230" s="29" t="s">
        <v>938</v>
      </c>
      <c r="B230" s="29" t="s">
        <v>5</v>
      </c>
      <c r="C230" s="30" t="s">
        <v>942</v>
      </c>
      <c r="D230" s="31">
        <v>46255.833333333299</v>
      </c>
      <c r="E230" s="31">
        <v>46256.25</v>
      </c>
      <c r="F230" s="30" t="s">
        <v>940</v>
      </c>
    </row>
    <row r="231" spans="1:6" ht="46.5" x14ac:dyDescent="0.35">
      <c r="A231" s="32" t="s">
        <v>938</v>
      </c>
      <c r="B231" s="32" t="s">
        <v>5</v>
      </c>
      <c r="C231" s="33" t="s">
        <v>943</v>
      </c>
      <c r="D231" s="34">
        <v>46255.833333333299</v>
      </c>
      <c r="E231" s="34">
        <v>46256.25</v>
      </c>
      <c r="F231" s="33" t="s">
        <v>940</v>
      </c>
    </row>
    <row r="232" spans="1:6" x14ac:dyDescent="0.35">
      <c r="A232" s="29"/>
      <c r="B232" s="29"/>
      <c r="C232" s="30"/>
      <c r="D232" s="31"/>
      <c r="E232" s="31"/>
      <c r="F232" s="30"/>
    </row>
    <row r="233" spans="1:6" x14ac:dyDescent="0.35">
      <c r="A233" s="32"/>
      <c r="B233" s="32"/>
      <c r="C233" s="33"/>
      <c r="D233" s="34"/>
      <c r="E233" s="34"/>
      <c r="F233" s="33"/>
    </row>
  </sheetData>
  <autoFilter ref="A2:F168" xr:uid="{AA130394-1D05-441B-B98F-42298AADC7B0}">
    <sortState xmlns:xlrd2="http://schemas.microsoft.com/office/spreadsheetml/2017/richdata2" ref="A3:F231">
      <sortCondition ref="A2:A168"/>
    </sortState>
  </autoFilter>
  <mergeCells count="1">
    <mergeCell ref="A1:F1"/>
  </mergeCells>
  <conditionalFormatting sqref="A232:F233">
    <cfRule type="expression" dxfId="10" priority="2">
      <formula>$J232="Over 12 hours"</formula>
    </cfRule>
  </conditionalFormatting>
  <conditionalFormatting sqref="A3:F231">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191"/>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5" t="str">
        <f>"Daily closure report: "&amp;'Front page'!A5</f>
        <v>Daily closure report: Saturday, 22 August</v>
      </c>
      <c r="B1" s="35"/>
      <c r="C1" s="35"/>
      <c r="D1" s="35"/>
      <c r="E1" s="35"/>
      <c r="F1" s="35"/>
    </row>
    <row r="2" spans="1:6" s="5" customFormat="1" ht="28" x14ac:dyDescent="0.35">
      <c r="A2" s="12" t="s">
        <v>9</v>
      </c>
      <c r="B2" s="12" t="s">
        <v>1</v>
      </c>
      <c r="C2" s="12" t="s">
        <v>0</v>
      </c>
      <c r="D2" s="11" t="s">
        <v>11</v>
      </c>
      <c r="E2" s="11" t="s">
        <v>12</v>
      </c>
      <c r="F2" s="12" t="s">
        <v>10</v>
      </c>
    </row>
    <row r="3" spans="1:6" s="4" customFormat="1" ht="62" x14ac:dyDescent="0.35">
      <c r="A3" s="26" t="s">
        <v>24</v>
      </c>
      <c r="B3" s="26" t="s">
        <v>6</v>
      </c>
      <c r="C3" s="26" t="s">
        <v>732</v>
      </c>
      <c r="D3" s="28">
        <v>46255.875</v>
      </c>
      <c r="E3" s="28">
        <v>46258.208333333299</v>
      </c>
      <c r="F3" s="26" t="s">
        <v>733</v>
      </c>
    </row>
    <row r="4" spans="1:6" s="4" customFormat="1" ht="62" x14ac:dyDescent="0.35">
      <c r="A4" s="26" t="s">
        <v>24</v>
      </c>
      <c r="B4" s="26" t="s">
        <v>6</v>
      </c>
      <c r="C4" s="26" t="s">
        <v>734</v>
      </c>
      <c r="D4" s="28">
        <v>46255.875</v>
      </c>
      <c r="E4" s="28">
        <v>46258.208333333299</v>
      </c>
      <c r="F4" s="26" t="s">
        <v>733</v>
      </c>
    </row>
    <row r="5" spans="1:6" s="4" customFormat="1" ht="62" x14ac:dyDescent="0.35">
      <c r="A5" s="26" t="s">
        <v>24</v>
      </c>
      <c r="B5" s="26" t="s">
        <v>2</v>
      </c>
      <c r="C5" s="26" t="s">
        <v>735</v>
      </c>
      <c r="D5" s="28">
        <v>46255.875</v>
      </c>
      <c r="E5" s="28">
        <v>46258.208333333299</v>
      </c>
      <c r="F5" s="26" t="s">
        <v>733</v>
      </c>
    </row>
    <row r="6" spans="1:6" s="4" customFormat="1" ht="62" x14ac:dyDescent="0.35">
      <c r="A6" s="26" t="s">
        <v>24</v>
      </c>
      <c r="B6" s="26" t="s">
        <v>44</v>
      </c>
      <c r="C6" s="26" t="s">
        <v>45</v>
      </c>
      <c r="D6" s="28">
        <v>45847.208333333299</v>
      </c>
      <c r="E6" s="28">
        <v>46507.999305555597</v>
      </c>
      <c r="F6" s="26" t="s">
        <v>46</v>
      </c>
    </row>
    <row r="7" spans="1:6" s="4" customFormat="1" ht="46.5" x14ac:dyDescent="0.35">
      <c r="A7" s="26" t="s">
        <v>24</v>
      </c>
      <c r="B7" s="26" t="s">
        <v>2</v>
      </c>
      <c r="C7" s="26" t="s">
        <v>844</v>
      </c>
      <c r="D7" s="28">
        <v>46256.833333333299</v>
      </c>
      <c r="E7" s="28">
        <v>46257.208333333299</v>
      </c>
      <c r="F7" s="26" t="s">
        <v>845</v>
      </c>
    </row>
    <row r="8" spans="1:6" s="4" customFormat="1" ht="77.5" x14ac:dyDescent="0.35">
      <c r="A8" s="26" t="s">
        <v>47</v>
      </c>
      <c r="B8" s="26" t="s">
        <v>6</v>
      </c>
      <c r="C8" s="26" t="s">
        <v>846</v>
      </c>
      <c r="D8" s="28">
        <v>46256.875</v>
      </c>
      <c r="E8" s="28">
        <v>46257.25</v>
      </c>
      <c r="F8" s="26" t="s">
        <v>847</v>
      </c>
    </row>
    <row r="9" spans="1:6" s="4" customFormat="1" ht="77.5" x14ac:dyDescent="0.35">
      <c r="A9" s="26" t="s">
        <v>47</v>
      </c>
      <c r="B9" s="26" t="s">
        <v>6</v>
      </c>
      <c r="C9" s="26" t="s">
        <v>761</v>
      </c>
      <c r="D9" s="28">
        <v>46256.833333333299</v>
      </c>
      <c r="E9" s="28">
        <v>46257.25</v>
      </c>
      <c r="F9" s="26" t="s">
        <v>762</v>
      </c>
    </row>
    <row r="10" spans="1:6" s="4" customFormat="1" ht="77.5" x14ac:dyDescent="0.35">
      <c r="A10" s="26" t="s">
        <v>47</v>
      </c>
      <c r="B10" s="26" t="s">
        <v>6</v>
      </c>
      <c r="C10" s="26" t="s">
        <v>763</v>
      </c>
      <c r="D10" s="28">
        <v>46256.833333333299</v>
      </c>
      <c r="E10" s="28">
        <v>46257.25</v>
      </c>
      <c r="F10" s="26" t="s">
        <v>762</v>
      </c>
    </row>
    <row r="11" spans="1:6" s="4" customFormat="1" ht="77.5" x14ac:dyDescent="0.35">
      <c r="A11" s="26" t="s">
        <v>529</v>
      </c>
      <c r="B11" s="26" t="s">
        <v>4</v>
      </c>
      <c r="C11" s="26" t="s">
        <v>725</v>
      </c>
      <c r="D11" s="28">
        <v>46256.833333333299</v>
      </c>
      <c r="E11" s="28">
        <v>46257.25</v>
      </c>
      <c r="F11" s="26" t="s">
        <v>726</v>
      </c>
    </row>
    <row r="12" spans="1:6" s="3" customFormat="1" ht="46.5" x14ac:dyDescent="0.35">
      <c r="A12" s="26" t="s">
        <v>529</v>
      </c>
      <c r="B12" s="26" t="s">
        <v>5</v>
      </c>
      <c r="C12" s="26" t="s">
        <v>727</v>
      </c>
      <c r="D12" s="28">
        <v>46256.833333333299</v>
      </c>
      <c r="E12" s="28">
        <v>46257.25</v>
      </c>
      <c r="F12" s="26" t="s">
        <v>726</v>
      </c>
    </row>
    <row r="13" spans="1:6" s="3" customFormat="1" ht="46.5" x14ac:dyDescent="0.35">
      <c r="A13" s="26" t="s">
        <v>529</v>
      </c>
      <c r="B13" s="26" t="s">
        <v>44</v>
      </c>
      <c r="C13" s="26" t="s">
        <v>728</v>
      </c>
      <c r="D13" s="28">
        <v>46256.833333333299</v>
      </c>
      <c r="E13" s="28">
        <v>46257.25</v>
      </c>
      <c r="F13" s="26" t="s">
        <v>726</v>
      </c>
    </row>
    <row r="14" spans="1:6" s="3" customFormat="1" ht="62" x14ac:dyDescent="0.35">
      <c r="A14" s="26" t="s">
        <v>529</v>
      </c>
      <c r="B14" s="26" t="s">
        <v>4</v>
      </c>
      <c r="C14" s="26" t="s">
        <v>729</v>
      </c>
      <c r="D14" s="28">
        <v>46256.833333333299</v>
      </c>
      <c r="E14" s="28">
        <v>46257.25</v>
      </c>
      <c r="F14" s="26" t="s">
        <v>726</v>
      </c>
    </row>
    <row r="15" spans="1:6" s="3" customFormat="1" ht="62" x14ac:dyDescent="0.35">
      <c r="A15" s="26" t="s">
        <v>38</v>
      </c>
      <c r="B15" s="26" t="s">
        <v>4</v>
      </c>
      <c r="C15" s="26" t="s">
        <v>730</v>
      </c>
      <c r="D15" s="28">
        <v>46255.875</v>
      </c>
      <c r="E15" s="28">
        <v>46258.208333333299</v>
      </c>
      <c r="F15" s="26" t="s">
        <v>731</v>
      </c>
    </row>
    <row r="16" spans="1:6" s="3" customFormat="1" ht="62" x14ac:dyDescent="0.35">
      <c r="A16" s="26" t="s">
        <v>750</v>
      </c>
      <c r="B16" s="26" t="s">
        <v>4</v>
      </c>
      <c r="C16" s="26" t="s">
        <v>751</v>
      </c>
      <c r="D16" s="28">
        <v>46256.833333333299</v>
      </c>
      <c r="E16" s="28">
        <v>46257.25</v>
      </c>
      <c r="F16" s="26" t="s">
        <v>752</v>
      </c>
    </row>
    <row r="17" spans="1:6" s="3" customFormat="1" ht="62" x14ac:dyDescent="0.35">
      <c r="A17" s="26" t="s">
        <v>750</v>
      </c>
      <c r="B17" s="26" t="s">
        <v>44</v>
      </c>
      <c r="C17" s="26" t="s">
        <v>753</v>
      </c>
      <c r="D17" s="28">
        <v>46256.833333333299</v>
      </c>
      <c r="E17" s="28">
        <v>46257.25</v>
      </c>
      <c r="F17" s="26" t="s">
        <v>752</v>
      </c>
    </row>
    <row r="18" spans="1:6" s="3" customFormat="1" ht="62" x14ac:dyDescent="0.35">
      <c r="A18" s="26" t="s">
        <v>750</v>
      </c>
      <c r="B18" s="26" t="s">
        <v>4</v>
      </c>
      <c r="C18" s="26" t="s">
        <v>754</v>
      </c>
      <c r="D18" s="28">
        <v>46256.833333333299</v>
      </c>
      <c r="E18" s="28">
        <v>46257.25</v>
      </c>
      <c r="F18" s="26" t="s">
        <v>752</v>
      </c>
    </row>
    <row r="19" spans="1:6" s="4" customFormat="1" ht="62" x14ac:dyDescent="0.35">
      <c r="A19" s="26" t="s">
        <v>297</v>
      </c>
      <c r="B19" s="26" t="s">
        <v>5</v>
      </c>
      <c r="C19" s="26" t="s">
        <v>814</v>
      </c>
      <c r="D19" s="28">
        <v>46256.833333333299</v>
      </c>
      <c r="E19" s="28">
        <v>46257.25</v>
      </c>
      <c r="F19" s="26" t="s">
        <v>815</v>
      </c>
    </row>
    <row r="20" spans="1:6" s="4" customFormat="1" ht="77.5" x14ac:dyDescent="0.35">
      <c r="A20" s="26" t="s">
        <v>294</v>
      </c>
      <c r="B20" s="26" t="s">
        <v>44</v>
      </c>
      <c r="C20" s="26" t="s">
        <v>295</v>
      </c>
      <c r="D20" s="28">
        <v>46256.833333333299</v>
      </c>
      <c r="E20" s="28">
        <v>46257.25</v>
      </c>
      <c r="F20" s="26" t="s">
        <v>296</v>
      </c>
    </row>
    <row r="21" spans="1:6" s="4" customFormat="1" ht="62" x14ac:dyDescent="0.35">
      <c r="A21" s="26" t="s">
        <v>313</v>
      </c>
      <c r="B21" s="26" t="s">
        <v>2</v>
      </c>
      <c r="C21" s="26" t="s">
        <v>866</v>
      </c>
      <c r="D21" s="28">
        <v>46256.833333333299</v>
      </c>
      <c r="E21" s="28">
        <v>46257.25</v>
      </c>
      <c r="F21" s="26" t="s">
        <v>867</v>
      </c>
    </row>
    <row r="22" spans="1:6" s="4" customFormat="1" ht="77.5" x14ac:dyDescent="0.35">
      <c r="A22" s="26" t="s">
        <v>307</v>
      </c>
      <c r="B22" s="26" t="s">
        <v>4</v>
      </c>
      <c r="C22" s="26" t="s">
        <v>864</v>
      </c>
      <c r="D22" s="28">
        <v>46256.875</v>
      </c>
      <c r="E22" s="28">
        <v>46257.25</v>
      </c>
      <c r="F22" s="26" t="s">
        <v>865</v>
      </c>
    </row>
    <row r="23" spans="1:6" s="4" customFormat="1" ht="93" x14ac:dyDescent="0.35">
      <c r="A23" s="26" t="s">
        <v>319</v>
      </c>
      <c r="B23" s="26" t="s">
        <v>2</v>
      </c>
      <c r="C23" s="26" t="s">
        <v>320</v>
      </c>
      <c r="D23" s="28">
        <v>46256.9375</v>
      </c>
      <c r="E23" s="28">
        <v>46257.229166666701</v>
      </c>
      <c r="F23" s="26" t="s">
        <v>321</v>
      </c>
    </row>
    <row r="24" spans="1:6" s="4" customFormat="1" ht="93" x14ac:dyDescent="0.35">
      <c r="A24" s="26" t="s">
        <v>271</v>
      </c>
      <c r="B24" s="26" t="s">
        <v>2</v>
      </c>
      <c r="C24" s="26" t="s">
        <v>594</v>
      </c>
      <c r="D24" s="28">
        <v>46255.875</v>
      </c>
      <c r="E24" s="28">
        <v>46258.25</v>
      </c>
      <c r="F24" s="26" t="s">
        <v>595</v>
      </c>
    </row>
    <row r="25" spans="1:6" s="4" customFormat="1" ht="93" x14ac:dyDescent="0.35">
      <c r="A25" s="26" t="s">
        <v>271</v>
      </c>
      <c r="B25" s="26" t="s">
        <v>2</v>
      </c>
      <c r="C25" s="26" t="s">
        <v>335</v>
      </c>
      <c r="D25" s="28">
        <v>46256.916666666701</v>
      </c>
      <c r="E25" s="28">
        <v>46257.25</v>
      </c>
      <c r="F25" s="26" t="s">
        <v>336</v>
      </c>
    </row>
    <row r="26" spans="1:6" s="4" customFormat="1" ht="77.5" x14ac:dyDescent="0.35">
      <c r="A26" s="26" t="s">
        <v>283</v>
      </c>
      <c r="B26" s="26" t="s">
        <v>5</v>
      </c>
      <c r="C26" s="26" t="s">
        <v>870</v>
      </c>
      <c r="D26" s="28">
        <v>46256.833333333299</v>
      </c>
      <c r="E26" s="28">
        <v>46257.25</v>
      </c>
      <c r="F26" s="26" t="s">
        <v>871</v>
      </c>
    </row>
    <row r="27" spans="1:6" s="4" customFormat="1" ht="62" x14ac:dyDescent="0.35">
      <c r="A27" s="26" t="s">
        <v>274</v>
      </c>
      <c r="B27" s="26" t="s">
        <v>2</v>
      </c>
      <c r="C27" s="26" t="s">
        <v>807</v>
      </c>
      <c r="D27" s="28">
        <v>46255.875</v>
      </c>
      <c r="E27" s="28">
        <v>46258.25</v>
      </c>
      <c r="F27" s="26" t="s">
        <v>808</v>
      </c>
    </row>
    <row r="28" spans="1:6" s="4" customFormat="1" ht="62" x14ac:dyDescent="0.35">
      <c r="A28" s="26" t="s">
        <v>274</v>
      </c>
      <c r="B28" s="26" t="s">
        <v>6</v>
      </c>
      <c r="C28" s="26" t="s">
        <v>810</v>
      </c>
      <c r="D28" s="28">
        <v>46255.875</v>
      </c>
      <c r="E28" s="28">
        <v>46258.25</v>
      </c>
      <c r="F28" s="26" t="s">
        <v>808</v>
      </c>
    </row>
    <row r="29" spans="1:6" s="4" customFormat="1" ht="62" x14ac:dyDescent="0.35">
      <c r="A29" s="26" t="s">
        <v>87</v>
      </c>
      <c r="B29" s="26" t="s">
        <v>6</v>
      </c>
      <c r="C29" s="26" t="s">
        <v>380</v>
      </c>
      <c r="D29" s="28">
        <v>46202.875</v>
      </c>
      <c r="E29" s="28">
        <v>46508.208333333299</v>
      </c>
      <c r="F29" s="26" t="s">
        <v>381</v>
      </c>
    </row>
    <row r="30" spans="1:6" s="4" customFormat="1" ht="62" x14ac:dyDescent="0.35">
      <c r="A30" s="26" t="s">
        <v>821</v>
      </c>
      <c r="B30" s="26" t="s">
        <v>6</v>
      </c>
      <c r="C30" s="26" t="s">
        <v>822</v>
      </c>
      <c r="D30" s="28">
        <v>46256.916666666701</v>
      </c>
      <c r="E30" s="28">
        <v>46257.25</v>
      </c>
      <c r="F30" s="26" t="s">
        <v>823</v>
      </c>
    </row>
    <row r="31" spans="1:6" s="4" customFormat="1" ht="77.5" x14ac:dyDescent="0.35">
      <c r="A31" s="26" t="s">
        <v>736</v>
      </c>
      <c r="B31" s="26" t="s">
        <v>5</v>
      </c>
      <c r="C31" s="26" t="s">
        <v>737</v>
      </c>
      <c r="D31" s="28">
        <v>46255.875</v>
      </c>
      <c r="E31" s="28">
        <v>46258.208333333299</v>
      </c>
      <c r="F31" s="26" t="s">
        <v>733</v>
      </c>
    </row>
    <row r="32" spans="1:6" s="4" customFormat="1" ht="77.5" x14ac:dyDescent="0.35">
      <c r="A32" s="26" t="s">
        <v>71</v>
      </c>
      <c r="B32" s="26" t="s">
        <v>4</v>
      </c>
      <c r="C32" s="26" t="s">
        <v>835</v>
      </c>
      <c r="D32" s="28">
        <v>46237.375</v>
      </c>
      <c r="E32" s="28">
        <v>46258.416666666701</v>
      </c>
      <c r="F32" s="26" t="s">
        <v>836</v>
      </c>
    </row>
    <row r="33" spans="1:6" s="4" customFormat="1" ht="77.5" x14ac:dyDescent="0.35">
      <c r="A33" s="26" t="s">
        <v>71</v>
      </c>
      <c r="B33" s="26" t="s">
        <v>7</v>
      </c>
      <c r="C33" s="26" t="s">
        <v>395</v>
      </c>
      <c r="D33" s="28">
        <v>46217.625</v>
      </c>
      <c r="E33" s="28">
        <v>46387.875</v>
      </c>
      <c r="F33" s="26" t="s">
        <v>396</v>
      </c>
    </row>
    <row r="34" spans="1:6" s="4" customFormat="1" ht="62" x14ac:dyDescent="0.35">
      <c r="A34" s="26" t="s">
        <v>71</v>
      </c>
      <c r="B34" s="26" t="s">
        <v>5</v>
      </c>
      <c r="C34" s="26" t="s">
        <v>874</v>
      </c>
      <c r="D34" s="28">
        <v>46256.875</v>
      </c>
      <c r="E34" s="28">
        <v>46257.25</v>
      </c>
      <c r="F34" s="26" t="s">
        <v>875</v>
      </c>
    </row>
    <row r="35" spans="1:6" s="4" customFormat="1" ht="62" x14ac:dyDescent="0.35">
      <c r="A35" s="26" t="s">
        <v>390</v>
      </c>
      <c r="B35" s="26" t="s">
        <v>44</v>
      </c>
      <c r="C35" s="26" t="s">
        <v>391</v>
      </c>
      <c r="D35" s="28">
        <v>46230.833333333299</v>
      </c>
      <c r="E35" s="28">
        <v>46403.25</v>
      </c>
      <c r="F35" s="26" t="s">
        <v>392</v>
      </c>
    </row>
    <row r="36" spans="1:6" s="4" customFormat="1" ht="46.5" x14ac:dyDescent="0.35">
      <c r="A36" s="26" t="s">
        <v>215</v>
      </c>
      <c r="B36" s="26" t="s">
        <v>6</v>
      </c>
      <c r="C36" s="26" t="s">
        <v>216</v>
      </c>
      <c r="D36" s="28">
        <v>46230.208333333299</v>
      </c>
      <c r="E36" s="28">
        <v>46266.208333333299</v>
      </c>
      <c r="F36" s="26" t="s">
        <v>217</v>
      </c>
    </row>
    <row r="37" spans="1:6" s="4" customFormat="1" ht="46.5" x14ac:dyDescent="0.35">
      <c r="A37" s="26" t="s">
        <v>151</v>
      </c>
      <c r="B37" s="26" t="s">
        <v>6</v>
      </c>
      <c r="C37" s="26" t="s">
        <v>152</v>
      </c>
      <c r="D37" s="28">
        <v>46237.833333333299</v>
      </c>
      <c r="E37" s="28">
        <v>46326.25</v>
      </c>
      <c r="F37" s="26" t="s">
        <v>153</v>
      </c>
    </row>
    <row r="38" spans="1:6" s="4" customFormat="1" ht="31" x14ac:dyDescent="0.35">
      <c r="A38" s="26" t="s">
        <v>151</v>
      </c>
      <c r="B38" s="26" t="s">
        <v>2</v>
      </c>
      <c r="C38" s="26" t="s">
        <v>154</v>
      </c>
      <c r="D38" s="28">
        <v>46237.833333333299</v>
      </c>
      <c r="E38" s="28">
        <v>46326.25</v>
      </c>
      <c r="F38" s="26" t="s">
        <v>153</v>
      </c>
    </row>
    <row r="39" spans="1:6" s="4" customFormat="1" ht="31" x14ac:dyDescent="0.35">
      <c r="A39" s="26" t="s">
        <v>170</v>
      </c>
      <c r="B39" s="26" t="s">
        <v>44</v>
      </c>
      <c r="C39" s="26" t="s">
        <v>804</v>
      </c>
      <c r="D39" s="28">
        <v>46255.791666666701</v>
      </c>
      <c r="E39" s="28">
        <v>46258.25</v>
      </c>
      <c r="F39" s="26" t="s">
        <v>805</v>
      </c>
    </row>
    <row r="40" spans="1:6" s="4" customFormat="1" ht="31" x14ac:dyDescent="0.35">
      <c r="A40" s="26" t="s">
        <v>75</v>
      </c>
      <c r="B40" s="26" t="s">
        <v>6</v>
      </c>
      <c r="C40" s="26" t="s">
        <v>838</v>
      </c>
      <c r="D40" s="28">
        <v>46256.916666666701</v>
      </c>
      <c r="E40" s="28">
        <v>46257.208333333299</v>
      </c>
      <c r="F40" s="26" t="s">
        <v>839</v>
      </c>
    </row>
    <row r="41" spans="1:6" s="4" customFormat="1" ht="31" x14ac:dyDescent="0.35">
      <c r="A41" s="26" t="s">
        <v>75</v>
      </c>
      <c r="B41" s="26" t="s">
        <v>6</v>
      </c>
      <c r="C41" s="26" t="s">
        <v>840</v>
      </c>
      <c r="D41" s="28">
        <v>46256.833333333299</v>
      </c>
      <c r="E41" s="28">
        <v>46257.25</v>
      </c>
      <c r="F41" s="26" t="s">
        <v>841</v>
      </c>
    </row>
    <row r="42" spans="1:6" s="4" customFormat="1" ht="31" x14ac:dyDescent="0.35">
      <c r="A42" s="26" t="s">
        <v>75</v>
      </c>
      <c r="B42" s="26" t="s">
        <v>6</v>
      </c>
      <c r="C42" s="26" t="s">
        <v>842</v>
      </c>
      <c r="D42" s="28">
        <v>46256.875</v>
      </c>
      <c r="E42" s="28">
        <v>46257.25</v>
      </c>
      <c r="F42" s="26" t="s">
        <v>843</v>
      </c>
    </row>
    <row r="43" spans="1:6" s="4" customFormat="1" ht="31" x14ac:dyDescent="0.35">
      <c r="A43" s="26" t="s">
        <v>75</v>
      </c>
      <c r="B43" s="26" t="s">
        <v>6</v>
      </c>
      <c r="C43" s="26" t="s">
        <v>1053</v>
      </c>
      <c r="D43" s="28">
        <v>46256.875</v>
      </c>
      <c r="E43" s="28">
        <v>46257.25</v>
      </c>
      <c r="F43" s="26" t="s">
        <v>1054</v>
      </c>
    </row>
    <row r="44" spans="1:6" s="4" customFormat="1" ht="31" x14ac:dyDescent="0.35">
      <c r="A44" s="26" t="s">
        <v>75</v>
      </c>
      <c r="B44" s="26" t="s">
        <v>2</v>
      </c>
      <c r="C44" s="26" t="s">
        <v>848</v>
      </c>
      <c r="D44" s="28">
        <v>46256.854166666701</v>
      </c>
      <c r="E44" s="28">
        <v>46257.25</v>
      </c>
      <c r="F44" s="26" t="s">
        <v>849</v>
      </c>
    </row>
    <row r="45" spans="1:6" s="4" customFormat="1" ht="31" x14ac:dyDescent="0.35">
      <c r="A45" s="26" t="s">
        <v>75</v>
      </c>
      <c r="B45" s="26" t="s">
        <v>2</v>
      </c>
      <c r="C45" s="26" t="s">
        <v>850</v>
      </c>
      <c r="D45" s="28">
        <v>46256.854166666701</v>
      </c>
      <c r="E45" s="28">
        <v>46257.25</v>
      </c>
      <c r="F45" s="26" t="s">
        <v>849</v>
      </c>
    </row>
    <row r="46" spans="1:6" s="4" customFormat="1" ht="31" x14ac:dyDescent="0.35">
      <c r="A46" s="26" t="s">
        <v>75</v>
      </c>
      <c r="B46" s="26" t="s">
        <v>2</v>
      </c>
      <c r="C46" s="26" t="s">
        <v>851</v>
      </c>
      <c r="D46" s="28">
        <v>46256.854166666701</v>
      </c>
      <c r="E46" s="28">
        <v>46257.25</v>
      </c>
      <c r="F46" s="26" t="s">
        <v>849</v>
      </c>
    </row>
    <row r="47" spans="1:6" s="4" customFormat="1" ht="46.5" x14ac:dyDescent="0.35">
      <c r="A47" s="26" t="s">
        <v>316</v>
      </c>
      <c r="B47" s="26" t="s">
        <v>8</v>
      </c>
      <c r="C47" s="26" t="s">
        <v>868</v>
      </c>
      <c r="D47" s="28">
        <v>46256.916666666701</v>
      </c>
      <c r="E47" s="28">
        <v>46257.229166666701</v>
      </c>
      <c r="F47" s="26" t="s">
        <v>869</v>
      </c>
    </row>
    <row r="48" spans="1:6" s="4" customFormat="1" ht="46.5" x14ac:dyDescent="0.35">
      <c r="A48" s="26" t="s">
        <v>316</v>
      </c>
      <c r="B48" s="26" t="s">
        <v>7</v>
      </c>
      <c r="C48" s="26" t="s">
        <v>818</v>
      </c>
      <c r="D48" s="28">
        <v>46256.916666666701</v>
      </c>
      <c r="E48" s="28">
        <v>46257.229166666701</v>
      </c>
      <c r="F48" s="26" t="s">
        <v>819</v>
      </c>
    </row>
    <row r="49" spans="1:6" s="4" customFormat="1" ht="46.5" x14ac:dyDescent="0.35">
      <c r="A49" s="26" t="s">
        <v>316</v>
      </c>
      <c r="B49" s="26" t="s">
        <v>8</v>
      </c>
      <c r="C49" s="26" t="s">
        <v>820</v>
      </c>
      <c r="D49" s="28">
        <v>46256.916666666701</v>
      </c>
      <c r="E49" s="28">
        <v>46257.229166666701</v>
      </c>
      <c r="F49" s="26" t="s">
        <v>819</v>
      </c>
    </row>
    <row r="50" spans="1:6" s="4" customFormat="1" ht="46.5" x14ac:dyDescent="0.35">
      <c r="A50" s="26" t="s">
        <v>277</v>
      </c>
      <c r="B50" s="26" t="s">
        <v>5</v>
      </c>
      <c r="C50" s="26" t="s">
        <v>278</v>
      </c>
      <c r="D50" s="28">
        <v>46256.875</v>
      </c>
      <c r="E50" s="28">
        <v>46257.25</v>
      </c>
      <c r="F50" s="26" t="s">
        <v>279</v>
      </c>
    </row>
    <row r="51" spans="1:6" s="4" customFormat="1" ht="46.5" x14ac:dyDescent="0.35">
      <c r="A51" s="26" t="s">
        <v>268</v>
      </c>
      <c r="B51" s="26" t="s">
        <v>2</v>
      </c>
      <c r="C51" s="26" t="s">
        <v>269</v>
      </c>
      <c r="D51" s="28">
        <v>46237.25</v>
      </c>
      <c r="E51" s="28">
        <v>46692.25</v>
      </c>
      <c r="F51" s="26" t="s">
        <v>270</v>
      </c>
    </row>
    <row r="52" spans="1:6" s="4" customFormat="1" ht="46.5" x14ac:dyDescent="0.35">
      <c r="A52" s="26" t="s">
        <v>268</v>
      </c>
      <c r="B52" s="26" t="s">
        <v>44</v>
      </c>
      <c r="C52" s="26" t="s">
        <v>809</v>
      </c>
      <c r="D52" s="28">
        <v>46255.875</v>
      </c>
      <c r="E52" s="28">
        <v>46258.25</v>
      </c>
      <c r="F52" s="26" t="s">
        <v>808</v>
      </c>
    </row>
    <row r="53" spans="1:6" s="4" customFormat="1" ht="46.5" x14ac:dyDescent="0.35">
      <c r="A53" s="26" t="s">
        <v>61</v>
      </c>
      <c r="B53" s="26" t="s">
        <v>2</v>
      </c>
      <c r="C53" s="26" t="s">
        <v>62</v>
      </c>
      <c r="D53" s="28">
        <v>46256.927083333299</v>
      </c>
      <c r="E53" s="28">
        <v>46257.25</v>
      </c>
      <c r="F53" s="26" t="s">
        <v>63</v>
      </c>
    </row>
    <row r="54" spans="1:6" s="4" customFormat="1" ht="46.5" x14ac:dyDescent="0.35">
      <c r="A54" s="26" t="s">
        <v>61</v>
      </c>
      <c r="B54" s="26" t="s">
        <v>2</v>
      </c>
      <c r="C54" s="26" t="s">
        <v>64</v>
      </c>
      <c r="D54" s="28">
        <v>46256.927083333299</v>
      </c>
      <c r="E54" s="28">
        <v>46257.25</v>
      </c>
      <c r="F54" s="26" t="s">
        <v>63</v>
      </c>
    </row>
    <row r="55" spans="1:6" s="4" customFormat="1" ht="46.5" x14ac:dyDescent="0.35">
      <c r="A55" s="26" t="s">
        <v>61</v>
      </c>
      <c r="B55" s="26" t="s">
        <v>2</v>
      </c>
      <c r="C55" s="26" t="s">
        <v>65</v>
      </c>
      <c r="D55" s="28">
        <v>46256.927083333299</v>
      </c>
      <c r="E55" s="28">
        <v>46257.25</v>
      </c>
      <c r="F55" s="26" t="s">
        <v>63</v>
      </c>
    </row>
    <row r="56" spans="1:6" s="4" customFormat="1" ht="62" x14ac:dyDescent="0.35">
      <c r="A56" s="26" t="s">
        <v>61</v>
      </c>
      <c r="B56" s="26" t="s">
        <v>2</v>
      </c>
      <c r="C56" s="26" t="s">
        <v>66</v>
      </c>
      <c r="D56" s="28">
        <v>46256.927083333299</v>
      </c>
      <c r="E56" s="28">
        <v>46257.25</v>
      </c>
      <c r="F56" s="26" t="s">
        <v>63</v>
      </c>
    </row>
    <row r="57" spans="1:6" s="4" customFormat="1" ht="62" x14ac:dyDescent="0.35">
      <c r="A57" s="26" t="s">
        <v>61</v>
      </c>
      <c r="B57" s="26" t="s">
        <v>2</v>
      </c>
      <c r="C57" s="26" t="s">
        <v>67</v>
      </c>
      <c r="D57" s="28">
        <v>46256.927083333299</v>
      </c>
      <c r="E57" s="28">
        <v>46257.25</v>
      </c>
      <c r="F57" s="26" t="s">
        <v>63</v>
      </c>
    </row>
    <row r="58" spans="1:6" s="4" customFormat="1" ht="46.5" x14ac:dyDescent="0.35">
      <c r="A58" s="26" t="s">
        <v>61</v>
      </c>
      <c r="B58" s="26" t="s">
        <v>2</v>
      </c>
      <c r="C58" s="26" t="s">
        <v>68</v>
      </c>
      <c r="D58" s="28">
        <v>46256.927083333299</v>
      </c>
      <c r="E58" s="28">
        <v>46257.25</v>
      </c>
      <c r="F58" s="26" t="s">
        <v>63</v>
      </c>
    </row>
    <row r="59" spans="1:6" s="4" customFormat="1" ht="62" x14ac:dyDescent="0.35">
      <c r="A59" s="26" t="s">
        <v>507</v>
      </c>
      <c r="B59" s="26" t="s">
        <v>2</v>
      </c>
      <c r="C59" s="26" t="s">
        <v>832</v>
      </c>
      <c r="D59" s="28">
        <v>46255.875</v>
      </c>
      <c r="E59" s="28">
        <v>46258.25</v>
      </c>
      <c r="F59" s="26" t="s">
        <v>829</v>
      </c>
    </row>
    <row r="60" spans="1:6" s="4" customFormat="1" ht="62" x14ac:dyDescent="0.35">
      <c r="A60" s="26" t="s">
        <v>507</v>
      </c>
      <c r="B60" s="26" t="s">
        <v>6</v>
      </c>
      <c r="C60" s="26" t="s">
        <v>833</v>
      </c>
      <c r="D60" s="28">
        <v>46256.875</v>
      </c>
      <c r="E60" s="28">
        <v>46257.166666666701</v>
      </c>
      <c r="F60" s="26" t="s">
        <v>834</v>
      </c>
    </row>
    <row r="61" spans="1:6" s="4" customFormat="1" ht="31" x14ac:dyDescent="0.35">
      <c r="A61" s="26" t="s">
        <v>360</v>
      </c>
      <c r="B61" s="26" t="s">
        <v>2</v>
      </c>
      <c r="C61" s="26" t="s">
        <v>617</v>
      </c>
      <c r="D61" s="28">
        <v>46256.875</v>
      </c>
      <c r="E61" s="28">
        <v>46257.25</v>
      </c>
      <c r="F61" s="26" t="s">
        <v>618</v>
      </c>
    </row>
    <row r="62" spans="1:6" s="4" customFormat="1" ht="46.5" x14ac:dyDescent="0.35">
      <c r="A62" s="26" t="s">
        <v>360</v>
      </c>
      <c r="B62" s="26" t="s">
        <v>6</v>
      </c>
      <c r="C62" s="26" t="s">
        <v>872</v>
      </c>
      <c r="D62" s="28">
        <v>46256.875</v>
      </c>
      <c r="E62" s="28">
        <v>46257.25</v>
      </c>
      <c r="F62" s="26" t="s">
        <v>873</v>
      </c>
    </row>
    <row r="63" spans="1:6" s="4" customFormat="1" ht="46.5" x14ac:dyDescent="0.35">
      <c r="A63" s="26" t="s">
        <v>221</v>
      </c>
      <c r="B63" s="26" t="s">
        <v>5</v>
      </c>
      <c r="C63" s="26" t="s">
        <v>852</v>
      </c>
      <c r="D63" s="28">
        <v>46256.875</v>
      </c>
      <c r="E63" s="28">
        <v>46257.208333333299</v>
      </c>
      <c r="F63" s="26" t="s">
        <v>853</v>
      </c>
    </row>
    <row r="64" spans="1:6" s="4" customFormat="1" ht="46.5" x14ac:dyDescent="0.35">
      <c r="A64" s="26" t="s">
        <v>192</v>
      </c>
      <c r="B64" s="26" t="s">
        <v>6</v>
      </c>
      <c r="C64" s="26" t="s">
        <v>193</v>
      </c>
      <c r="D64" s="28">
        <v>45804.208333333299</v>
      </c>
      <c r="E64" s="28">
        <v>46418.208333333299</v>
      </c>
      <c r="F64" s="26" t="s">
        <v>194</v>
      </c>
    </row>
    <row r="65" spans="1:6" s="4" customFormat="1" ht="46.5" x14ac:dyDescent="0.35">
      <c r="A65" s="26" t="s">
        <v>226</v>
      </c>
      <c r="B65" s="26" t="s">
        <v>5</v>
      </c>
      <c r="C65" s="26" t="s">
        <v>227</v>
      </c>
      <c r="D65" s="28">
        <v>46256.875</v>
      </c>
      <c r="E65" s="28">
        <v>46257.208333333299</v>
      </c>
      <c r="F65" s="26" t="s">
        <v>228</v>
      </c>
    </row>
    <row r="66" spans="1:6" s="4" customFormat="1" ht="62" x14ac:dyDescent="0.35">
      <c r="A66" s="26" t="s">
        <v>226</v>
      </c>
      <c r="B66" s="26" t="s">
        <v>5</v>
      </c>
      <c r="C66" s="26" t="s">
        <v>229</v>
      </c>
      <c r="D66" s="28">
        <v>46256.875</v>
      </c>
      <c r="E66" s="28">
        <v>46257.208333333299</v>
      </c>
      <c r="F66" s="26" t="s">
        <v>228</v>
      </c>
    </row>
    <row r="67" spans="1:6" s="4" customFormat="1" ht="46.5" x14ac:dyDescent="0.35">
      <c r="A67" s="26" t="s">
        <v>211</v>
      </c>
      <c r="B67" s="26" t="s">
        <v>2</v>
      </c>
      <c r="C67" s="26" t="s">
        <v>857</v>
      </c>
      <c r="D67" s="28">
        <v>46256.958333333299</v>
      </c>
      <c r="E67" s="28">
        <v>46257.25</v>
      </c>
      <c r="F67" s="26" t="s">
        <v>858</v>
      </c>
    </row>
    <row r="68" spans="1:6" s="4" customFormat="1" ht="93" x14ac:dyDescent="0.35">
      <c r="A68" s="26" t="s">
        <v>211</v>
      </c>
      <c r="B68" s="26" t="s">
        <v>2</v>
      </c>
      <c r="C68" s="26" t="s">
        <v>781</v>
      </c>
      <c r="D68" s="28">
        <v>46256.916666666701</v>
      </c>
      <c r="E68" s="28">
        <v>46257.208333333299</v>
      </c>
      <c r="F68" s="26" t="s">
        <v>782</v>
      </c>
    </row>
    <row r="69" spans="1:6" s="4" customFormat="1" ht="93" x14ac:dyDescent="0.35">
      <c r="A69" s="26" t="s">
        <v>211</v>
      </c>
      <c r="B69" s="26" t="s">
        <v>2</v>
      </c>
      <c r="C69" s="26" t="s">
        <v>783</v>
      </c>
      <c r="D69" s="28">
        <v>46256.916666666701</v>
      </c>
      <c r="E69" s="28">
        <v>46257.208333333299</v>
      </c>
      <c r="F69" s="26" t="s">
        <v>782</v>
      </c>
    </row>
    <row r="70" spans="1:6" s="4" customFormat="1" ht="77.5" x14ac:dyDescent="0.35">
      <c r="A70" s="26" t="s">
        <v>211</v>
      </c>
      <c r="B70" s="26" t="s">
        <v>2</v>
      </c>
      <c r="C70" s="26" t="s">
        <v>784</v>
      </c>
      <c r="D70" s="28">
        <v>46256.916666666701</v>
      </c>
      <c r="E70" s="28">
        <v>46257.208333333299</v>
      </c>
      <c r="F70" s="26" t="s">
        <v>782</v>
      </c>
    </row>
    <row r="71" spans="1:6" s="4" customFormat="1" ht="77.5" x14ac:dyDescent="0.35">
      <c r="A71" s="26" t="s">
        <v>211</v>
      </c>
      <c r="B71" s="26" t="s">
        <v>2</v>
      </c>
      <c r="C71" s="26" t="s">
        <v>862</v>
      </c>
      <c r="D71" s="28">
        <v>46256.916666666701</v>
      </c>
      <c r="E71" s="28">
        <v>46257.25</v>
      </c>
      <c r="F71" s="26" t="s">
        <v>802</v>
      </c>
    </row>
    <row r="72" spans="1:6" s="4" customFormat="1" ht="62" x14ac:dyDescent="0.35">
      <c r="A72" s="26" t="s">
        <v>211</v>
      </c>
      <c r="B72" s="26" t="s">
        <v>2</v>
      </c>
      <c r="C72" s="26" t="s">
        <v>863</v>
      </c>
      <c r="D72" s="28">
        <v>46256.916666666701</v>
      </c>
      <c r="E72" s="28">
        <v>46257.25</v>
      </c>
      <c r="F72" s="26" t="s">
        <v>802</v>
      </c>
    </row>
    <row r="73" spans="1:6" s="4" customFormat="1" ht="77.5" x14ac:dyDescent="0.35">
      <c r="A73" s="26" t="s">
        <v>211</v>
      </c>
      <c r="B73" s="26" t="s">
        <v>2</v>
      </c>
      <c r="C73" s="26" t="s">
        <v>828</v>
      </c>
      <c r="D73" s="28">
        <v>46255.875</v>
      </c>
      <c r="E73" s="28">
        <v>46258.25</v>
      </c>
      <c r="F73" s="26" t="s">
        <v>829</v>
      </c>
    </row>
    <row r="74" spans="1:6" s="4" customFormat="1" ht="108.5" x14ac:dyDescent="0.35">
      <c r="A74" s="26" t="s">
        <v>211</v>
      </c>
      <c r="B74" s="26" t="s">
        <v>6</v>
      </c>
      <c r="C74" s="26" t="s">
        <v>830</v>
      </c>
      <c r="D74" s="28">
        <v>46255.875</v>
      </c>
      <c r="E74" s="28">
        <v>46258.25</v>
      </c>
      <c r="F74" s="26" t="s">
        <v>829</v>
      </c>
    </row>
    <row r="75" spans="1:6" s="4" customFormat="1" ht="62" x14ac:dyDescent="0.35">
      <c r="A75" s="26" t="s">
        <v>211</v>
      </c>
      <c r="B75" s="26" t="s">
        <v>2</v>
      </c>
      <c r="C75" s="26" t="s">
        <v>831</v>
      </c>
      <c r="D75" s="28">
        <v>46255.875</v>
      </c>
      <c r="E75" s="28">
        <v>46258.25</v>
      </c>
      <c r="F75" s="26" t="s">
        <v>829</v>
      </c>
    </row>
    <row r="76" spans="1:6" s="4" customFormat="1" ht="62" x14ac:dyDescent="0.35">
      <c r="A76" s="26" t="s">
        <v>235</v>
      </c>
      <c r="B76" s="26" t="s">
        <v>7</v>
      </c>
      <c r="C76" s="26" t="s">
        <v>772</v>
      </c>
      <c r="D76" s="28">
        <v>46256.9375</v>
      </c>
      <c r="E76" s="28">
        <v>46257.25</v>
      </c>
      <c r="F76" s="26" t="s">
        <v>773</v>
      </c>
    </row>
    <row r="77" spans="1:6" s="4" customFormat="1" ht="108.5" x14ac:dyDescent="0.35">
      <c r="A77" s="26" t="s">
        <v>235</v>
      </c>
      <c r="B77" s="26" t="s">
        <v>7</v>
      </c>
      <c r="C77" s="26" t="s">
        <v>774</v>
      </c>
      <c r="D77" s="28">
        <v>46256.9375</v>
      </c>
      <c r="E77" s="28">
        <v>46257.25</v>
      </c>
      <c r="F77" s="26" t="s">
        <v>773</v>
      </c>
    </row>
    <row r="78" spans="1:6" s="4" customFormat="1" ht="77.5" x14ac:dyDescent="0.35">
      <c r="A78" s="26" t="s">
        <v>235</v>
      </c>
      <c r="B78" s="26" t="s">
        <v>7</v>
      </c>
      <c r="C78" s="26" t="s">
        <v>775</v>
      </c>
      <c r="D78" s="28">
        <v>46256.9375</v>
      </c>
      <c r="E78" s="28">
        <v>46257.25</v>
      </c>
      <c r="F78" s="26" t="s">
        <v>773</v>
      </c>
    </row>
    <row r="79" spans="1:6" s="4" customFormat="1" ht="77.5" x14ac:dyDescent="0.35">
      <c r="A79" s="26" t="s">
        <v>235</v>
      </c>
      <c r="B79" s="26" t="s">
        <v>7</v>
      </c>
      <c r="C79" s="26" t="s">
        <v>776</v>
      </c>
      <c r="D79" s="28">
        <v>46256.9375</v>
      </c>
      <c r="E79" s="28">
        <v>46257.25</v>
      </c>
      <c r="F79" s="26" t="s">
        <v>773</v>
      </c>
    </row>
    <row r="80" spans="1:6" s="4" customFormat="1" ht="77.5" x14ac:dyDescent="0.35">
      <c r="A80" s="26" t="s">
        <v>235</v>
      </c>
      <c r="B80" s="26" t="s">
        <v>7</v>
      </c>
      <c r="C80" s="26" t="s">
        <v>777</v>
      </c>
      <c r="D80" s="28">
        <v>46256.9375</v>
      </c>
      <c r="E80" s="28">
        <v>46257.25</v>
      </c>
      <c r="F80" s="26" t="s">
        <v>773</v>
      </c>
    </row>
    <row r="81" spans="1:6" s="4" customFormat="1" ht="77.5" x14ac:dyDescent="0.35">
      <c r="A81" s="26" t="s">
        <v>235</v>
      </c>
      <c r="B81" s="26" t="s">
        <v>7</v>
      </c>
      <c r="C81" s="26" t="s">
        <v>778</v>
      </c>
      <c r="D81" s="28">
        <v>46256.9375</v>
      </c>
      <c r="E81" s="28">
        <v>46257.25</v>
      </c>
      <c r="F81" s="26" t="s">
        <v>773</v>
      </c>
    </row>
    <row r="82" spans="1:6" s="4" customFormat="1" ht="62" x14ac:dyDescent="0.35">
      <c r="A82" s="26" t="s">
        <v>235</v>
      </c>
      <c r="B82" s="26" t="s">
        <v>8</v>
      </c>
      <c r="C82" s="26" t="s">
        <v>859</v>
      </c>
      <c r="D82" s="28">
        <v>46256.875</v>
      </c>
      <c r="E82" s="28">
        <v>46257.25</v>
      </c>
      <c r="F82" s="26" t="s">
        <v>248</v>
      </c>
    </row>
    <row r="83" spans="1:6" s="4" customFormat="1" ht="77.5" x14ac:dyDescent="0.35">
      <c r="A83" s="26" t="s">
        <v>235</v>
      </c>
      <c r="B83" s="26" t="s">
        <v>8</v>
      </c>
      <c r="C83" s="26" t="s">
        <v>860</v>
      </c>
      <c r="D83" s="28">
        <v>46256.875</v>
      </c>
      <c r="E83" s="28">
        <v>46257.25</v>
      </c>
      <c r="F83" s="26" t="s">
        <v>248</v>
      </c>
    </row>
    <row r="84" spans="1:6" s="4" customFormat="1" ht="77.5" x14ac:dyDescent="0.35">
      <c r="A84" s="26" t="s">
        <v>235</v>
      </c>
      <c r="B84" s="26" t="s">
        <v>8</v>
      </c>
      <c r="C84" s="26" t="s">
        <v>861</v>
      </c>
      <c r="D84" s="28">
        <v>46256.875</v>
      </c>
      <c r="E84" s="28">
        <v>46257.25</v>
      </c>
      <c r="F84" s="26" t="s">
        <v>798</v>
      </c>
    </row>
    <row r="85" spans="1:6" s="4" customFormat="1" ht="93" x14ac:dyDescent="0.35">
      <c r="A85" s="26" t="s">
        <v>204</v>
      </c>
      <c r="B85" s="26" t="s">
        <v>6</v>
      </c>
      <c r="C85" s="26" t="s">
        <v>854</v>
      </c>
      <c r="D85" s="28">
        <v>46256.875</v>
      </c>
      <c r="E85" s="28">
        <v>46257.208333333299</v>
      </c>
      <c r="F85" s="26" t="s">
        <v>855</v>
      </c>
    </row>
    <row r="86" spans="1:6" s="4" customFormat="1" ht="62" x14ac:dyDescent="0.35">
      <c r="A86" s="26" t="s">
        <v>204</v>
      </c>
      <c r="B86" s="26" t="s">
        <v>2</v>
      </c>
      <c r="C86" s="26" t="s">
        <v>856</v>
      </c>
      <c r="D86" s="28">
        <v>46256.875</v>
      </c>
      <c r="E86" s="28">
        <v>46257.208333333299</v>
      </c>
      <c r="F86" s="26" t="s">
        <v>855</v>
      </c>
    </row>
    <row r="87" spans="1:6" s="4" customFormat="1" ht="93" x14ac:dyDescent="0.35">
      <c r="A87" s="26" t="s">
        <v>109</v>
      </c>
      <c r="B87" s="26" t="s">
        <v>5</v>
      </c>
      <c r="C87" s="26" t="s">
        <v>130</v>
      </c>
      <c r="D87" s="28">
        <v>46256.833333333299</v>
      </c>
      <c r="E87" s="28">
        <v>46257.25</v>
      </c>
      <c r="F87" s="26" t="s">
        <v>131</v>
      </c>
    </row>
    <row r="88" spans="1:6" s="4" customFormat="1" x14ac:dyDescent="0.35">
      <c r="A88" s="26"/>
      <c r="B88" s="26"/>
      <c r="C88" s="26"/>
      <c r="D88" s="28"/>
      <c r="E88" s="28"/>
      <c r="F88" s="26"/>
    </row>
    <row r="89" spans="1:6" s="4" customFormat="1" x14ac:dyDescent="0.35">
      <c r="A89" s="26"/>
      <c r="B89" s="26"/>
      <c r="C89" s="26"/>
      <c r="D89" s="28"/>
      <c r="E89" s="28"/>
      <c r="F89" s="26"/>
    </row>
    <row r="90" spans="1:6" s="4" customFormat="1" x14ac:dyDescent="0.35">
      <c r="A90" s="26"/>
      <c r="B90" s="26"/>
      <c r="C90" s="26"/>
      <c r="D90" s="28"/>
      <c r="E90" s="28"/>
      <c r="F90" s="26"/>
    </row>
    <row r="91" spans="1:6" s="4" customFormat="1" x14ac:dyDescent="0.35">
      <c r="A91" s="26"/>
      <c r="B91" s="26"/>
      <c r="C91" s="26"/>
      <c r="D91" s="28"/>
      <c r="E91" s="28"/>
      <c r="F91" s="26"/>
    </row>
    <row r="92" spans="1:6" s="4" customFormat="1" x14ac:dyDescent="0.35">
      <c r="A92" s="26"/>
      <c r="B92" s="26"/>
      <c r="C92" s="26"/>
      <c r="D92" s="28"/>
      <c r="E92" s="28"/>
      <c r="F92" s="26"/>
    </row>
    <row r="93" spans="1:6" s="4" customFormat="1" x14ac:dyDescent="0.35">
      <c r="A93" s="26"/>
      <c r="B93" s="26"/>
      <c r="C93" s="26"/>
      <c r="D93" s="28"/>
      <c r="E93" s="28"/>
      <c r="F93" s="26"/>
    </row>
    <row r="94" spans="1:6" s="4" customFormat="1" x14ac:dyDescent="0.35">
      <c r="A94" s="26"/>
      <c r="B94" s="26"/>
      <c r="C94" s="26"/>
      <c r="D94" s="28"/>
      <c r="E94" s="28"/>
      <c r="F94" s="26"/>
    </row>
    <row r="95" spans="1:6" s="4" customFormat="1" x14ac:dyDescent="0.35">
      <c r="A95" s="26"/>
      <c r="B95" s="26"/>
      <c r="C95" s="26"/>
      <c r="D95" s="28"/>
      <c r="E95" s="28"/>
      <c r="F95" s="26"/>
    </row>
    <row r="96" spans="1:6" s="4" customFormat="1" x14ac:dyDescent="0.35">
      <c r="A96" s="26"/>
      <c r="B96" s="26"/>
      <c r="C96" s="26"/>
      <c r="D96" s="28"/>
      <c r="E96" s="28"/>
      <c r="F96" s="26"/>
    </row>
    <row r="97" spans="1:6" s="4" customFormat="1" x14ac:dyDescent="0.35">
      <c r="A97" s="26"/>
      <c r="B97" s="26"/>
      <c r="C97" s="26"/>
      <c r="D97" s="28"/>
      <c r="E97" s="28"/>
      <c r="F97" s="26"/>
    </row>
    <row r="98" spans="1:6" s="4" customFormat="1" x14ac:dyDescent="0.35">
      <c r="A98" s="26"/>
      <c r="B98" s="26"/>
      <c r="C98" s="26"/>
      <c r="D98" s="28"/>
      <c r="E98" s="28"/>
      <c r="F98" s="26"/>
    </row>
    <row r="99" spans="1:6" s="4" customFormat="1" x14ac:dyDescent="0.35">
      <c r="A99" s="26"/>
      <c r="B99" s="26"/>
      <c r="C99" s="26"/>
      <c r="D99" s="28"/>
      <c r="E99" s="28"/>
      <c r="F99" s="26"/>
    </row>
    <row r="100" spans="1:6" s="5" customFormat="1" x14ac:dyDescent="0.35">
      <c r="A100" s="26"/>
      <c r="B100" s="26"/>
      <c r="C100" s="26"/>
      <c r="D100" s="28"/>
      <c r="E100" s="28"/>
      <c r="F100" s="26"/>
    </row>
    <row r="101" spans="1:6" s="5" customFormat="1" x14ac:dyDescent="0.35">
      <c r="A101" s="26"/>
      <c r="B101" s="26"/>
      <c r="C101" s="26"/>
      <c r="D101" s="28"/>
      <c r="E101" s="28"/>
      <c r="F101" s="26"/>
    </row>
    <row r="102" spans="1:6" s="5" customFormat="1" x14ac:dyDescent="0.35">
      <c r="A102" s="26"/>
      <c r="B102" s="26"/>
      <c r="C102" s="26"/>
      <c r="D102" s="28"/>
      <c r="E102" s="28"/>
      <c r="F102" s="26"/>
    </row>
    <row r="103" spans="1:6" s="5" customFormat="1" x14ac:dyDescent="0.35">
      <c r="A103" s="26"/>
      <c r="B103" s="26"/>
      <c r="C103" s="26"/>
      <c r="D103" s="28"/>
      <c r="E103" s="28"/>
      <c r="F103" s="26"/>
    </row>
    <row r="104" spans="1:6" s="5" customFormat="1" x14ac:dyDescent="0.35">
      <c r="A104" s="26"/>
      <c r="B104" s="26"/>
      <c r="C104" s="26"/>
      <c r="D104" s="28"/>
      <c r="E104" s="28"/>
      <c r="F104" s="26"/>
    </row>
    <row r="105" spans="1:6" s="5" customFormat="1" x14ac:dyDescent="0.35">
      <c r="A105" s="26"/>
      <c r="B105" s="26"/>
      <c r="C105" s="26"/>
      <c r="D105" s="28"/>
      <c r="E105" s="28"/>
      <c r="F105" s="26"/>
    </row>
    <row r="106" spans="1:6" s="5" customFormat="1" x14ac:dyDescent="0.35">
      <c r="A106" s="26"/>
      <c r="B106" s="26"/>
      <c r="C106" s="26"/>
      <c r="D106" s="28"/>
      <c r="E106" s="28"/>
      <c r="F106" s="26"/>
    </row>
    <row r="107" spans="1:6" s="5" customFormat="1" x14ac:dyDescent="0.35">
      <c r="A107" s="26"/>
      <c r="B107" s="26"/>
      <c r="C107" s="26"/>
      <c r="D107" s="28"/>
      <c r="E107" s="28"/>
      <c r="F107" s="26"/>
    </row>
    <row r="108" spans="1:6" s="5" customFormat="1" x14ac:dyDescent="0.35">
      <c r="A108" s="26"/>
      <c r="B108" s="26"/>
      <c r="C108" s="26"/>
      <c r="D108" s="28"/>
      <c r="E108" s="28"/>
      <c r="F108" s="26"/>
    </row>
    <row r="109" spans="1:6" s="5" customFormat="1" x14ac:dyDescent="0.35">
      <c r="A109" s="26"/>
      <c r="B109" s="26"/>
      <c r="C109" s="26"/>
      <c r="D109" s="28"/>
      <c r="E109" s="28"/>
      <c r="F109" s="26"/>
    </row>
    <row r="110" spans="1:6" s="5" customFormat="1" x14ac:dyDescent="0.35">
      <c r="A110" s="26"/>
      <c r="B110" s="26"/>
      <c r="C110" s="26"/>
      <c r="D110" s="28"/>
      <c r="E110" s="28"/>
      <c r="F110" s="26"/>
    </row>
    <row r="111" spans="1:6" s="5" customFormat="1" x14ac:dyDescent="0.35">
      <c r="A111" s="26"/>
      <c r="B111" s="26"/>
      <c r="C111" s="26"/>
      <c r="D111" s="28"/>
      <c r="E111" s="28"/>
      <c r="F111" s="26"/>
    </row>
    <row r="112" spans="1:6" s="5" customFormat="1" x14ac:dyDescent="0.35">
      <c r="A112" s="26"/>
      <c r="B112" s="26"/>
      <c r="C112" s="26"/>
      <c r="D112" s="28"/>
      <c r="E112" s="28"/>
      <c r="F112" s="26"/>
    </row>
    <row r="113" spans="1:6" s="5" customFormat="1" x14ac:dyDescent="0.35">
      <c r="A113" s="26"/>
      <c r="B113" s="26"/>
      <c r="C113" s="26"/>
      <c r="D113" s="28"/>
      <c r="E113" s="28"/>
      <c r="F113" s="26"/>
    </row>
    <row r="114" spans="1:6" s="5" customFormat="1" x14ac:dyDescent="0.35">
      <c r="A114" s="26"/>
      <c r="B114" s="26"/>
      <c r="C114" s="26"/>
      <c r="D114" s="28"/>
      <c r="E114" s="28"/>
      <c r="F114" s="26"/>
    </row>
    <row r="115" spans="1:6" s="5" customFormat="1" x14ac:dyDescent="0.35">
      <c r="A115" s="26"/>
      <c r="B115" s="26"/>
      <c r="C115" s="26"/>
      <c r="D115" s="28"/>
      <c r="E115" s="28"/>
      <c r="F115" s="26"/>
    </row>
    <row r="116" spans="1:6" s="5" customFormat="1" x14ac:dyDescent="0.35">
      <c r="A116" s="26"/>
      <c r="B116" s="26"/>
      <c r="C116" s="26"/>
      <c r="D116" s="28"/>
      <c r="E116" s="28"/>
      <c r="F116" s="26"/>
    </row>
    <row r="117" spans="1:6" s="5" customFormat="1" x14ac:dyDescent="0.35">
      <c r="A117" s="26"/>
      <c r="B117" s="26"/>
      <c r="C117" s="26"/>
      <c r="D117" s="28"/>
      <c r="E117" s="28"/>
      <c r="F117" s="26"/>
    </row>
    <row r="118" spans="1:6" s="5" customFormat="1" x14ac:dyDescent="0.35">
      <c r="A118" s="26"/>
      <c r="B118" s="26"/>
      <c r="C118" s="26"/>
      <c r="D118" s="28"/>
      <c r="E118" s="28"/>
      <c r="F118" s="26"/>
    </row>
    <row r="119" spans="1:6" s="5" customFormat="1" x14ac:dyDescent="0.35">
      <c r="A119" s="26"/>
      <c r="B119" s="26"/>
      <c r="C119" s="26"/>
      <c r="D119" s="28"/>
      <c r="E119" s="28"/>
      <c r="F119" s="26"/>
    </row>
    <row r="120" spans="1:6" s="5" customFormat="1" x14ac:dyDescent="0.35">
      <c r="A120" s="26"/>
      <c r="B120" s="26"/>
      <c r="C120" s="26"/>
      <c r="D120" s="28"/>
      <c r="E120" s="28"/>
      <c r="F120" s="26"/>
    </row>
    <row r="121" spans="1:6" s="5" customFormat="1" x14ac:dyDescent="0.35">
      <c r="A121" s="26"/>
      <c r="B121" s="26"/>
      <c r="C121" s="26"/>
      <c r="D121" s="28"/>
      <c r="E121" s="28"/>
      <c r="F121" s="26"/>
    </row>
    <row r="122" spans="1:6" s="5" customFormat="1" x14ac:dyDescent="0.35">
      <c r="A122" s="26"/>
      <c r="B122" s="26"/>
      <c r="C122" s="26"/>
      <c r="D122" s="28"/>
      <c r="E122" s="28"/>
      <c r="F122" s="26"/>
    </row>
    <row r="123" spans="1:6" s="5" customFormat="1" x14ac:dyDescent="0.35">
      <c r="A123" s="26"/>
      <c r="B123" s="26"/>
      <c r="C123" s="26"/>
      <c r="D123" s="28"/>
      <c r="E123" s="28"/>
      <c r="F123" s="26"/>
    </row>
    <row r="124" spans="1:6" s="5" customFormat="1" x14ac:dyDescent="0.35">
      <c r="A124" s="26"/>
      <c r="B124" s="26"/>
      <c r="C124" s="26"/>
      <c r="D124" s="28"/>
      <c r="E124" s="28"/>
      <c r="F124" s="26"/>
    </row>
    <row r="125" spans="1:6" s="5" customFormat="1" x14ac:dyDescent="0.35">
      <c r="A125" s="26"/>
      <c r="B125" s="26"/>
      <c r="C125" s="26"/>
      <c r="D125" s="28"/>
      <c r="E125" s="28"/>
      <c r="F125" s="26"/>
    </row>
    <row r="126" spans="1:6" s="5" customFormat="1" x14ac:dyDescent="0.35">
      <c r="A126" s="26"/>
      <c r="B126" s="26"/>
      <c r="C126" s="26"/>
      <c r="D126" s="28"/>
      <c r="E126" s="28"/>
      <c r="F126" s="26"/>
    </row>
    <row r="127" spans="1:6" s="5" customFormat="1" x14ac:dyDescent="0.35">
      <c r="A127" s="26"/>
      <c r="B127" s="26"/>
      <c r="C127" s="26"/>
      <c r="D127" s="28"/>
      <c r="E127" s="28"/>
      <c r="F127" s="26"/>
    </row>
    <row r="128" spans="1:6" s="5" customFormat="1" x14ac:dyDescent="0.35">
      <c r="A128" s="26"/>
      <c r="B128" s="26"/>
      <c r="C128" s="26"/>
      <c r="D128" s="28"/>
      <c r="E128" s="28"/>
      <c r="F128" s="26"/>
    </row>
    <row r="129" spans="1:6" s="5" customFormat="1" x14ac:dyDescent="0.35">
      <c r="A129" s="26"/>
      <c r="B129" s="26"/>
      <c r="C129" s="26"/>
      <c r="D129" s="28"/>
      <c r="E129" s="28"/>
      <c r="F129" s="26"/>
    </row>
    <row r="130" spans="1:6" s="5" customFormat="1" x14ac:dyDescent="0.35">
      <c r="A130" s="26"/>
      <c r="B130" s="26"/>
      <c r="C130" s="26"/>
      <c r="D130" s="28"/>
      <c r="E130" s="28"/>
      <c r="F130" s="26"/>
    </row>
    <row r="131" spans="1:6" s="5" customFormat="1" x14ac:dyDescent="0.35">
      <c r="A131" s="26"/>
      <c r="B131" s="26"/>
      <c r="C131" s="26"/>
      <c r="D131" s="28"/>
      <c r="E131" s="28"/>
      <c r="F131" s="26"/>
    </row>
    <row r="132" spans="1:6" s="5" customFormat="1" x14ac:dyDescent="0.35">
      <c r="A132" s="26"/>
      <c r="B132" s="26"/>
      <c r="C132" s="26"/>
      <c r="D132" s="28"/>
      <c r="E132" s="28"/>
      <c r="F132" s="26"/>
    </row>
    <row r="133" spans="1:6" x14ac:dyDescent="0.35">
      <c r="A133" s="26"/>
      <c r="B133" s="26"/>
      <c r="C133" s="26"/>
      <c r="D133" s="28"/>
      <c r="E133" s="28"/>
      <c r="F133" s="26"/>
    </row>
    <row r="134" spans="1:6" x14ac:dyDescent="0.35">
      <c r="A134" s="26"/>
      <c r="B134" s="26"/>
      <c r="C134" s="26"/>
      <c r="D134" s="28"/>
      <c r="E134" s="28"/>
      <c r="F134" s="26"/>
    </row>
    <row r="135" spans="1:6" x14ac:dyDescent="0.35">
      <c r="A135" s="26"/>
      <c r="B135" s="26"/>
      <c r="C135" s="26"/>
      <c r="D135" s="28"/>
      <c r="E135" s="28"/>
      <c r="F135" s="26"/>
    </row>
    <row r="136" spans="1:6" x14ac:dyDescent="0.35">
      <c r="A136" s="26"/>
      <c r="B136" s="26"/>
      <c r="C136" s="26"/>
      <c r="D136" s="28"/>
      <c r="E136" s="28"/>
      <c r="F136" s="26"/>
    </row>
    <row r="137" spans="1:6" x14ac:dyDescent="0.35">
      <c r="A137" s="26"/>
      <c r="B137" s="26"/>
      <c r="C137" s="26"/>
      <c r="D137" s="28"/>
      <c r="E137" s="28"/>
      <c r="F137" s="26"/>
    </row>
    <row r="138" spans="1:6" x14ac:dyDescent="0.35">
      <c r="A138" s="26"/>
      <c r="B138" s="26"/>
      <c r="C138" s="26"/>
      <c r="D138" s="28"/>
      <c r="E138" s="28"/>
      <c r="F138" s="26"/>
    </row>
    <row r="139" spans="1:6" x14ac:dyDescent="0.35">
      <c r="A139" s="26"/>
      <c r="B139" s="26"/>
      <c r="C139" s="26"/>
      <c r="D139" s="28"/>
      <c r="E139" s="28"/>
      <c r="F139" s="26"/>
    </row>
    <row r="140" spans="1:6" x14ac:dyDescent="0.35">
      <c r="A140" s="26"/>
      <c r="B140" s="26"/>
      <c r="C140" s="26"/>
      <c r="D140" s="28"/>
      <c r="E140" s="28"/>
      <c r="F140" s="26"/>
    </row>
    <row r="141" spans="1:6" x14ac:dyDescent="0.35">
      <c r="A141" s="26"/>
      <c r="B141" s="26"/>
      <c r="C141" s="26"/>
      <c r="D141" s="28"/>
      <c r="E141" s="28"/>
      <c r="F141" s="26"/>
    </row>
    <row r="142" spans="1:6" x14ac:dyDescent="0.35">
      <c r="A142" s="26"/>
      <c r="B142" s="26"/>
      <c r="C142" s="26"/>
      <c r="D142" s="28"/>
      <c r="E142" s="28"/>
      <c r="F142" s="26"/>
    </row>
    <row r="143" spans="1:6" x14ac:dyDescent="0.35">
      <c r="A143" s="26"/>
      <c r="B143" s="26"/>
      <c r="C143" s="26"/>
      <c r="D143" s="28"/>
      <c r="E143" s="28"/>
      <c r="F143" s="26"/>
    </row>
    <row r="144" spans="1:6" x14ac:dyDescent="0.35">
      <c r="A144" s="26"/>
      <c r="B144" s="26"/>
      <c r="C144" s="26"/>
      <c r="D144" s="28"/>
      <c r="E144" s="28"/>
      <c r="F144" s="26"/>
    </row>
    <row r="145" spans="1:6" x14ac:dyDescent="0.35">
      <c r="A145" s="26"/>
      <c r="B145" s="26"/>
      <c r="C145" s="26"/>
      <c r="D145" s="28"/>
      <c r="E145" s="28"/>
      <c r="F145" s="26"/>
    </row>
    <row r="146" spans="1:6" x14ac:dyDescent="0.35">
      <c r="A146" s="26"/>
      <c r="B146" s="26"/>
      <c r="C146" s="26"/>
      <c r="D146" s="28"/>
      <c r="E146" s="28"/>
      <c r="F146" s="26"/>
    </row>
    <row r="147" spans="1:6" x14ac:dyDescent="0.35">
      <c r="A147" s="26"/>
      <c r="B147" s="26"/>
      <c r="C147" s="26"/>
      <c r="D147" s="28"/>
      <c r="E147" s="28"/>
      <c r="F147" s="26"/>
    </row>
    <row r="148" spans="1:6" x14ac:dyDescent="0.35">
      <c r="A148" s="26"/>
      <c r="B148" s="26"/>
      <c r="C148" s="26"/>
      <c r="D148" s="28"/>
      <c r="E148" s="28"/>
      <c r="F148" s="26"/>
    </row>
    <row r="149" spans="1:6" x14ac:dyDescent="0.35">
      <c r="A149" s="26"/>
      <c r="B149" s="26"/>
      <c r="C149" s="26"/>
      <c r="D149" s="28"/>
      <c r="E149" s="28"/>
      <c r="F149" s="26"/>
    </row>
    <row r="150" spans="1:6" x14ac:dyDescent="0.35">
      <c r="A150" s="26"/>
      <c r="B150" s="26"/>
      <c r="C150" s="26"/>
      <c r="D150" s="28"/>
      <c r="E150" s="28"/>
      <c r="F150" s="26"/>
    </row>
    <row r="151" spans="1:6" x14ac:dyDescent="0.35">
      <c r="A151" s="26"/>
      <c r="B151" s="26"/>
      <c r="C151" s="26"/>
      <c r="D151" s="28"/>
      <c r="E151" s="28"/>
      <c r="F151" s="26"/>
    </row>
    <row r="152" spans="1:6" x14ac:dyDescent="0.35">
      <c r="A152" s="26"/>
      <c r="B152" s="26"/>
      <c r="C152" s="26"/>
      <c r="D152" s="28"/>
      <c r="E152" s="28"/>
      <c r="F152" s="26"/>
    </row>
    <row r="153" spans="1:6" x14ac:dyDescent="0.35">
      <c r="A153" s="26"/>
      <c r="B153" s="26"/>
      <c r="C153" s="26"/>
      <c r="D153" s="28"/>
      <c r="E153" s="28"/>
      <c r="F153" s="26"/>
    </row>
    <row r="154" spans="1:6" x14ac:dyDescent="0.35">
      <c r="A154" s="26"/>
      <c r="B154" s="26"/>
      <c r="C154" s="26"/>
      <c r="D154" s="28"/>
      <c r="E154" s="28"/>
      <c r="F154" s="26"/>
    </row>
    <row r="155" spans="1:6" x14ac:dyDescent="0.35">
      <c r="A155" s="26"/>
      <c r="B155" s="26"/>
      <c r="C155" s="26"/>
      <c r="D155" s="28"/>
      <c r="E155" s="28"/>
      <c r="F155" s="26"/>
    </row>
    <row r="156" spans="1:6" x14ac:dyDescent="0.35">
      <c r="A156" s="26"/>
      <c r="B156" s="26"/>
      <c r="C156" s="26"/>
      <c r="D156" s="28"/>
      <c r="E156" s="28"/>
      <c r="F156" s="26"/>
    </row>
    <row r="157" spans="1:6" x14ac:dyDescent="0.35">
      <c r="A157" s="26"/>
      <c r="B157" s="26"/>
      <c r="C157" s="26"/>
      <c r="D157" s="28"/>
      <c r="E157" s="28"/>
      <c r="F157" s="26"/>
    </row>
    <row r="158" spans="1:6" x14ac:dyDescent="0.35">
      <c r="A158" s="26"/>
      <c r="B158" s="26"/>
      <c r="C158" s="26"/>
      <c r="D158" s="28"/>
      <c r="E158" s="28"/>
      <c r="F158" s="26"/>
    </row>
    <row r="159" spans="1:6" x14ac:dyDescent="0.35">
      <c r="A159" s="26"/>
      <c r="B159" s="26"/>
      <c r="C159" s="26"/>
      <c r="D159" s="28"/>
      <c r="E159" s="28"/>
      <c r="F159" s="26"/>
    </row>
    <row r="160" spans="1:6" x14ac:dyDescent="0.35">
      <c r="A160" s="26"/>
      <c r="B160" s="26"/>
      <c r="C160" s="26"/>
      <c r="D160" s="28"/>
      <c r="E160" s="28"/>
      <c r="F160" s="26"/>
    </row>
    <row r="161" spans="1:6" x14ac:dyDescent="0.35">
      <c r="A161" s="26"/>
      <c r="B161" s="26"/>
      <c r="C161" s="26"/>
      <c r="D161" s="28"/>
      <c r="E161" s="28"/>
      <c r="F161" s="26"/>
    </row>
    <row r="162" spans="1:6" x14ac:dyDescent="0.35">
      <c r="A162" s="26"/>
      <c r="B162" s="26"/>
      <c r="C162" s="26"/>
      <c r="D162" s="28"/>
      <c r="E162" s="28"/>
      <c r="F162" s="26"/>
    </row>
    <row r="163" spans="1:6" x14ac:dyDescent="0.35">
      <c r="A163" s="26"/>
      <c r="B163" s="26"/>
      <c r="C163" s="26"/>
      <c r="D163" s="28"/>
      <c r="E163" s="28"/>
      <c r="F163" s="26"/>
    </row>
    <row r="164" spans="1:6" x14ac:dyDescent="0.35">
      <c r="A164" s="26"/>
      <c r="B164" s="26"/>
      <c r="C164" s="26"/>
      <c r="D164" s="28"/>
      <c r="E164" s="28"/>
      <c r="F164" s="26"/>
    </row>
    <row r="165" spans="1:6" x14ac:dyDescent="0.35">
      <c r="A165" s="26"/>
      <c r="B165" s="26"/>
      <c r="C165" s="26"/>
      <c r="D165" s="28"/>
      <c r="E165" s="28"/>
      <c r="F165" s="26"/>
    </row>
    <row r="166" spans="1:6" x14ac:dyDescent="0.35">
      <c r="A166" s="26"/>
      <c r="B166" s="26"/>
      <c r="C166" s="26"/>
      <c r="D166" s="28"/>
      <c r="E166" s="28"/>
      <c r="F166" s="26"/>
    </row>
    <row r="167" spans="1:6" x14ac:dyDescent="0.35">
      <c r="A167" s="26"/>
      <c r="B167" s="26"/>
      <c r="C167" s="26"/>
      <c r="D167" s="28"/>
      <c r="E167" s="28"/>
      <c r="F167" s="26"/>
    </row>
    <row r="168" spans="1:6" x14ac:dyDescent="0.35">
      <c r="A168" s="26"/>
      <c r="B168" s="26"/>
      <c r="C168" s="26"/>
      <c r="D168" s="28"/>
      <c r="E168" s="28"/>
      <c r="F168" s="26"/>
    </row>
    <row r="169" spans="1:6" x14ac:dyDescent="0.35">
      <c r="A169" s="26"/>
      <c r="B169" s="26"/>
      <c r="C169" s="26"/>
      <c r="D169" s="28"/>
      <c r="E169" s="28"/>
      <c r="F169" s="26"/>
    </row>
    <row r="170" spans="1:6" x14ac:dyDescent="0.35">
      <c r="A170" s="26"/>
      <c r="B170" s="26"/>
      <c r="C170" s="26"/>
      <c r="D170" s="28"/>
      <c r="E170" s="28"/>
      <c r="F170" s="26"/>
    </row>
    <row r="171" spans="1:6" x14ac:dyDescent="0.35">
      <c r="A171" s="26"/>
      <c r="B171" s="26"/>
      <c r="C171" s="26"/>
      <c r="D171" s="28"/>
      <c r="E171" s="28"/>
      <c r="F171" s="26"/>
    </row>
    <row r="172" spans="1:6" x14ac:dyDescent="0.35">
      <c r="A172" s="26"/>
      <c r="B172" s="26"/>
      <c r="C172" s="26"/>
      <c r="D172" s="28"/>
      <c r="E172" s="28"/>
      <c r="F172" s="26"/>
    </row>
    <row r="173" spans="1:6" x14ac:dyDescent="0.35">
      <c r="A173" s="26"/>
      <c r="B173" s="26"/>
      <c r="C173" s="26"/>
      <c r="D173" s="28"/>
      <c r="E173" s="28"/>
      <c r="F173" s="26"/>
    </row>
    <row r="174" spans="1:6" x14ac:dyDescent="0.35">
      <c r="A174" s="26"/>
      <c r="B174" s="26"/>
      <c r="C174" s="26"/>
      <c r="D174" s="28"/>
      <c r="E174" s="28"/>
      <c r="F174" s="26"/>
    </row>
    <row r="175" spans="1:6" x14ac:dyDescent="0.35">
      <c r="A175" s="26"/>
      <c r="B175" s="26"/>
      <c r="C175" s="26"/>
      <c r="D175" s="28"/>
      <c r="E175" s="28"/>
      <c r="F175" s="26"/>
    </row>
    <row r="176" spans="1:6" x14ac:dyDescent="0.35">
      <c r="A176" s="26"/>
      <c r="B176" s="26"/>
      <c r="C176" s="26"/>
      <c r="D176" s="28"/>
      <c r="E176" s="28"/>
      <c r="F176" s="26"/>
    </row>
    <row r="177" spans="1:6" x14ac:dyDescent="0.35">
      <c r="A177" s="26"/>
      <c r="B177" s="26"/>
      <c r="C177" s="26"/>
      <c r="D177" s="28"/>
      <c r="E177" s="28"/>
      <c r="F177" s="26"/>
    </row>
    <row r="178" spans="1:6" x14ac:dyDescent="0.35">
      <c r="A178" s="26"/>
      <c r="B178" s="26"/>
      <c r="C178" s="26"/>
      <c r="D178" s="28"/>
      <c r="E178" s="28"/>
      <c r="F178" s="26"/>
    </row>
    <row r="179" spans="1:6" x14ac:dyDescent="0.35">
      <c r="A179" s="26"/>
      <c r="B179" s="26"/>
      <c r="C179" s="26"/>
      <c r="D179" s="28"/>
      <c r="E179" s="28"/>
      <c r="F179" s="26"/>
    </row>
    <row r="180" spans="1:6" x14ac:dyDescent="0.35">
      <c r="A180" s="26"/>
      <c r="B180" s="26"/>
      <c r="C180" s="26"/>
      <c r="D180" s="28"/>
      <c r="E180" s="28"/>
      <c r="F180" s="26"/>
    </row>
    <row r="181" spans="1:6" x14ac:dyDescent="0.35">
      <c r="A181" s="26"/>
      <c r="B181" s="26"/>
      <c r="C181" s="26"/>
      <c r="D181" s="28"/>
      <c r="E181" s="28"/>
      <c r="F181" s="26"/>
    </row>
    <row r="182" spans="1:6" x14ac:dyDescent="0.35">
      <c r="A182" s="26"/>
      <c r="B182" s="26"/>
      <c r="C182" s="26"/>
      <c r="D182" s="28"/>
      <c r="E182" s="28"/>
      <c r="F182" s="26"/>
    </row>
    <row r="183" spans="1:6" x14ac:dyDescent="0.35">
      <c r="A183" s="19"/>
      <c r="B183" s="19"/>
      <c r="C183" s="19"/>
      <c r="D183" s="20"/>
      <c r="E183" s="20"/>
      <c r="F183" s="20"/>
    </row>
    <row r="184" spans="1:6" x14ac:dyDescent="0.35">
      <c r="A184" s="19"/>
      <c r="B184" s="19"/>
      <c r="C184" s="19"/>
      <c r="D184" s="20"/>
      <c r="E184" s="20"/>
      <c r="F184" s="20"/>
    </row>
    <row r="185" spans="1:6" x14ac:dyDescent="0.35">
      <c r="A185" s="19"/>
      <c r="B185" s="19"/>
      <c r="C185" s="19"/>
      <c r="D185" s="20"/>
      <c r="E185" s="20"/>
      <c r="F185" s="20"/>
    </row>
    <row r="186" spans="1:6" x14ac:dyDescent="0.35">
      <c r="A186" s="19"/>
      <c r="B186" s="19"/>
      <c r="C186" s="19"/>
      <c r="D186" s="20"/>
      <c r="E186" s="20"/>
      <c r="F186" s="20"/>
    </row>
    <row r="187" spans="1:6" x14ac:dyDescent="0.35">
      <c r="A187" s="19"/>
      <c r="B187" s="19"/>
      <c r="C187" s="19"/>
      <c r="D187" s="20"/>
      <c r="E187" s="20"/>
      <c r="F187" s="20"/>
    </row>
    <row r="188" spans="1:6" x14ac:dyDescent="0.35">
      <c r="A188" s="19"/>
      <c r="B188" s="19"/>
      <c r="C188" s="19"/>
      <c r="D188" s="20"/>
      <c r="E188" s="20"/>
      <c r="F188" s="20"/>
    </row>
    <row r="189" spans="1:6" x14ac:dyDescent="0.35">
      <c r="A189" s="19"/>
      <c r="B189" s="19"/>
      <c r="C189" s="19"/>
      <c r="D189" s="20"/>
      <c r="E189" s="20"/>
      <c r="F189" s="20"/>
    </row>
    <row r="190" spans="1:6" x14ac:dyDescent="0.35">
      <c r="A190" s="19"/>
      <c r="B190" s="19"/>
      <c r="C190" s="19"/>
      <c r="D190" s="20"/>
      <c r="E190" s="20"/>
      <c r="F190" s="20"/>
    </row>
    <row r="191" spans="1:6" x14ac:dyDescent="0.35">
      <c r="A191" s="19"/>
      <c r="B191" s="19"/>
      <c r="C191" s="19"/>
      <c r="D191" s="20"/>
      <c r="E191" s="20"/>
      <c r="F191" s="20"/>
    </row>
  </sheetData>
  <autoFilter ref="A2:F191" xr:uid="{60B4E0E0-EA23-4FF3-861F-7623BAD270F1}">
    <sortState xmlns:xlrd2="http://schemas.microsoft.com/office/spreadsheetml/2017/richdata2" ref="A3:F191">
      <sortCondition ref="A2:A191"/>
    </sortState>
  </autoFilter>
  <mergeCells count="1">
    <mergeCell ref="A1:F1"/>
  </mergeCells>
  <conditionalFormatting sqref="A88:F182">
    <cfRule type="expression" dxfId="9" priority="2">
      <formula>$J88="Over 12 hours"</formula>
    </cfRule>
  </conditionalFormatting>
  <conditionalFormatting sqref="A3:F87">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180"/>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5" t="str">
        <f>"Daily closure report: "&amp;'Front page'!A6</f>
        <v>Daily closure report: Sunday, 23 August</v>
      </c>
      <c r="B1" s="35"/>
      <c r="C1" s="35"/>
      <c r="D1" s="35"/>
      <c r="E1" s="35"/>
      <c r="F1" s="35"/>
    </row>
    <row r="2" spans="1:6" s="5" customFormat="1" ht="28" x14ac:dyDescent="0.35">
      <c r="A2" s="12" t="s">
        <v>9</v>
      </c>
      <c r="B2" s="12" t="s">
        <v>1</v>
      </c>
      <c r="C2" s="12" t="s">
        <v>0</v>
      </c>
      <c r="D2" s="11" t="s">
        <v>11</v>
      </c>
      <c r="E2" s="11" t="s">
        <v>12</v>
      </c>
      <c r="F2" s="12" t="s">
        <v>10</v>
      </c>
    </row>
    <row r="3" spans="1:6" s="3" customFormat="1" ht="62" x14ac:dyDescent="0.35">
      <c r="A3" s="25" t="s">
        <v>24</v>
      </c>
      <c r="B3" s="25" t="s">
        <v>6</v>
      </c>
      <c r="C3" s="26" t="s">
        <v>732</v>
      </c>
      <c r="D3" s="27">
        <v>46255.875</v>
      </c>
      <c r="E3" s="27">
        <v>46258.208333333299</v>
      </c>
      <c r="F3" s="26" t="s">
        <v>733</v>
      </c>
    </row>
    <row r="4" spans="1:6" s="3" customFormat="1" ht="62" x14ac:dyDescent="0.35">
      <c r="A4" s="25" t="s">
        <v>24</v>
      </c>
      <c r="B4" s="25" t="s">
        <v>6</v>
      </c>
      <c r="C4" s="26" t="s">
        <v>734</v>
      </c>
      <c r="D4" s="27">
        <v>46255.875</v>
      </c>
      <c r="E4" s="27">
        <v>46258.208333333299</v>
      </c>
      <c r="F4" s="26" t="s">
        <v>733</v>
      </c>
    </row>
    <row r="5" spans="1:6" s="3" customFormat="1" ht="62" x14ac:dyDescent="0.35">
      <c r="A5" s="25" t="s">
        <v>24</v>
      </c>
      <c r="B5" s="25" t="s">
        <v>2</v>
      </c>
      <c r="C5" s="26" t="s">
        <v>735</v>
      </c>
      <c r="D5" s="27">
        <v>46255.875</v>
      </c>
      <c r="E5" s="27">
        <v>46258.208333333299</v>
      </c>
      <c r="F5" s="26" t="s">
        <v>733</v>
      </c>
    </row>
    <row r="6" spans="1:6" s="3" customFormat="1" ht="62" x14ac:dyDescent="0.35">
      <c r="A6" s="25" t="s">
        <v>24</v>
      </c>
      <c r="B6" s="25" t="s">
        <v>44</v>
      </c>
      <c r="C6" s="26" t="s">
        <v>45</v>
      </c>
      <c r="D6" s="27">
        <v>45847.208333333299</v>
      </c>
      <c r="E6" s="27">
        <v>46507.999305555597</v>
      </c>
      <c r="F6" s="26" t="s">
        <v>46</v>
      </c>
    </row>
    <row r="7" spans="1:6" s="3" customFormat="1" ht="46.5" x14ac:dyDescent="0.35">
      <c r="A7" s="25" t="s">
        <v>47</v>
      </c>
      <c r="B7" s="25" t="s">
        <v>6</v>
      </c>
      <c r="C7" s="26" t="s">
        <v>761</v>
      </c>
      <c r="D7" s="27">
        <v>46257.833333333299</v>
      </c>
      <c r="E7" s="27">
        <v>46258.25</v>
      </c>
      <c r="F7" s="26" t="s">
        <v>762</v>
      </c>
    </row>
    <row r="8" spans="1:6" s="3" customFormat="1" ht="77.5" x14ac:dyDescent="0.35">
      <c r="A8" s="25" t="s">
        <v>47</v>
      </c>
      <c r="B8" s="25" t="s">
        <v>6</v>
      </c>
      <c r="C8" s="26" t="s">
        <v>763</v>
      </c>
      <c r="D8" s="27">
        <v>46257.833333333299</v>
      </c>
      <c r="E8" s="27">
        <v>46258.25</v>
      </c>
      <c r="F8" s="26" t="s">
        <v>762</v>
      </c>
    </row>
    <row r="9" spans="1:6" s="3" customFormat="1" ht="77.5" x14ac:dyDescent="0.35">
      <c r="A9" s="25" t="s">
        <v>529</v>
      </c>
      <c r="B9" s="25" t="s">
        <v>4</v>
      </c>
      <c r="C9" s="26" t="s">
        <v>725</v>
      </c>
      <c r="D9" s="27">
        <v>46257.833333333299</v>
      </c>
      <c r="E9" s="27">
        <v>46258.25</v>
      </c>
      <c r="F9" s="26" t="s">
        <v>726</v>
      </c>
    </row>
    <row r="10" spans="1:6" s="3" customFormat="1" ht="77.5" x14ac:dyDescent="0.35">
      <c r="A10" s="25" t="s">
        <v>529</v>
      </c>
      <c r="B10" s="25" t="s">
        <v>5</v>
      </c>
      <c r="C10" s="26" t="s">
        <v>727</v>
      </c>
      <c r="D10" s="27">
        <v>46257.833333333299</v>
      </c>
      <c r="E10" s="27">
        <v>46258.25</v>
      </c>
      <c r="F10" s="26" t="s">
        <v>726</v>
      </c>
    </row>
    <row r="11" spans="1:6" s="3" customFormat="1" ht="77.5" x14ac:dyDescent="0.35">
      <c r="A11" s="25" t="s">
        <v>529</v>
      </c>
      <c r="B11" s="25" t="s">
        <v>44</v>
      </c>
      <c r="C11" s="26" t="s">
        <v>728</v>
      </c>
      <c r="D11" s="27">
        <v>46257.833333333299</v>
      </c>
      <c r="E11" s="27">
        <v>46258.25</v>
      </c>
      <c r="F11" s="26" t="s">
        <v>726</v>
      </c>
    </row>
    <row r="12" spans="1:6" s="3" customFormat="1" ht="46.5" x14ac:dyDescent="0.35">
      <c r="A12" s="25" t="s">
        <v>529</v>
      </c>
      <c r="B12" s="25" t="s">
        <v>4</v>
      </c>
      <c r="C12" s="26" t="s">
        <v>729</v>
      </c>
      <c r="D12" s="27">
        <v>46257.833333333299</v>
      </c>
      <c r="E12" s="27">
        <v>46258.25</v>
      </c>
      <c r="F12" s="26" t="s">
        <v>726</v>
      </c>
    </row>
    <row r="13" spans="1:6" s="3" customFormat="1" ht="62" x14ac:dyDescent="0.35">
      <c r="A13" s="25" t="s">
        <v>38</v>
      </c>
      <c r="B13" s="25" t="s">
        <v>4</v>
      </c>
      <c r="C13" s="26" t="s">
        <v>730</v>
      </c>
      <c r="D13" s="27">
        <v>46255.875</v>
      </c>
      <c r="E13" s="27">
        <v>46258.208333333299</v>
      </c>
      <c r="F13" s="26" t="s">
        <v>731</v>
      </c>
    </row>
    <row r="14" spans="1:6" s="3" customFormat="1" ht="62" x14ac:dyDescent="0.35">
      <c r="A14" s="25" t="s">
        <v>750</v>
      </c>
      <c r="B14" s="25" t="s">
        <v>4</v>
      </c>
      <c r="C14" s="26" t="s">
        <v>751</v>
      </c>
      <c r="D14" s="27">
        <v>46257.833333333299</v>
      </c>
      <c r="E14" s="27">
        <v>46258.25</v>
      </c>
      <c r="F14" s="26" t="s">
        <v>752</v>
      </c>
    </row>
    <row r="15" spans="1:6" s="3" customFormat="1" ht="62" x14ac:dyDescent="0.35">
      <c r="A15" s="25" t="s">
        <v>750</v>
      </c>
      <c r="B15" s="25" t="s">
        <v>44</v>
      </c>
      <c r="C15" s="26" t="s">
        <v>753</v>
      </c>
      <c r="D15" s="27">
        <v>46257.833333333299</v>
      </c>
      <c r="E15" s="27">
        <v>46258.25</v>
      </c>
      <c r="F15" s="26" t="s">
        <v>752</v>
      </c>
    </row>
    <row r="16" spans="1:6" s="3" customFormat="1" ht="62" x14ac:dyDescent="0.35">
      <c r="A16" s="25" t="s">
        <v>750</v>
      </c>
      <c r="B16" s="25" t="s">
        <v>4</v>
      </c>
      <c r="C16" s="26" t="s">
        <v>754</v>
      </c>
      <c r="D16" s="27">
        <v>46257.833333333299</v>
      </c>
      <c r="E16" s="27">
        <v>46258.25</v>
      </c>
      <c r="F16" s="26" t="s">
        <v>752</v>
      </c>
    </row>
    <row r="17" spans="1:6" s="3" customFormat="1" ht="62" x14ac:dyDescent="0.35">
      <c r="A17" s="25" t="s">
        <v>297</v>
      </c>
      <c r="B17" s="25" t="s">
        <v>5</v>
      </c>
      <c r="C17" s="26" t="s">
        <v>814</v>
      </c>
      <c r="D17" s="27">
        <v>46257.833333333299</v>
      </c>
      <c r="E17" s="27">
        <v>46258.25</v>
      </c>
      <c r="F17" s="26" t="s">
        <v>815</v>
      </c>
    </row>
    <row r="18" spans="1:6" s="3" customFormat="1" ht="62" x14ac:dyDescent="0.35">
      <c r="A18" s="25" t="s">
        <v>294</v>
      </c>
      <c r="B18" s="25" t="s">
        <v>44</v>
      </c>
      <c r="C18" s="26" t="s">
        <v>295</v>
      </c>
      <c r="D18" s="27">
        <v>46257.833333333299</v>
      </c>
      <c r="E18" s="27">
        <v>46258.25</v>
      </c>
      <c r="F18" s="26" t="s">
        <v>296</v>
      </c>
    </row>
    <row r="19" spans="1:6" s="3" customFormat="1" ht="62" x14ac:dyDescent="0.35">
      <c r="A19" s="25" t="s">
        <v>319</v>
      </c>
      <c r="B19" s="25" t="s">
        <v>2</v>
      </c>
      <c r="C19" s="26" t="s">
        <v>824</v>
      </c>
      <c r="D19" s="27">
        <v>46257.9375</v>
      </c>
      <c r="E19" s="27">
        <v>46258.229166666701</v>
      </c>
      <c r="F19" s="26" t="s">
        <v>825</v>
      </c>
    </row>
    <row r="20" spans="1:6" s="3" customFormat="1" ht="77.5" x14ac:dyDescent="0.35">
      <c r="A20" s="25" t="s">
        <v>271</v>
      </c>
      <c r="B20" s="25" t="s">
        <v>2</v>
      </c>
      <c r="C20" s="26" t="s">
        <v>594</v>
      </c>
      <c r="D20" s="27">
        <v>46255.875</v>
      </c>
      <c r="E20" s="27">
        <v>46258.25</v>
      </c>
      <c r="F20" s="26" t="s">
        <v>595</v>
      </c>
    </row>
    <row r="21" spans="1:6" s="3" customFormat="1" ht="93" x14ac:dyDescent="0.35">
      <c r="A21" s="25" t="s">
        <v>271</v>
      </c>
      <c r="B21" s="25" t="s">
        <v>2</v>
      </c>
      <c r="C21" s="26" t="s">
        <v>335</v>
      </c>
      <c r="D21" s="27">
        <v>46257.9375</v>
      </c>
      <c r="E21" s="27">
        <v>46258.229166666701</v>
      </c>
      <c r="F21" s="26" t="s">
        <v>336</v>
      </c>
    </row>
    <row r="22" spans="1:6" s="3" customFormat="1" ht="93" x14ac:dyDescent="0.35">
      <c r="A22" s="25" t="s">
        <v>348</v>
      </c>
      <c r="B22" s="25" t="s">
        <v>5</v>
      </c>
      <c r="C22" s="26" t="s">
        <v>349</v>
      </c>
      <c r="D22" s="27">
        <v>46257.833333333299</v>
      </c>
      <c r="E22" s="27">
        <v>46258.25</v>
      </c>
      <c r="F22" s="26" t="s">
        <v>350</v>
      </c>
    </row>
    <row r="23" spans="1:6" s="3" customFormat="1" ht="46.5" x14ac:dyDescent="0.35">
      <c r="A23" s="25" t="s">
        <v>348</v>
      </c>
      <c r="B23" s="25" t="s">
        <v>5</v>
      </c>
      <c r="C23" s="26" t="s">
        <v>351</v>
      </c>
      <c r="D23" s="27">
        <v>46257.833333333299</v>
      </c>
      <c r="E23" s="27">
        <v>46258.25</v>
      </c>
      <c r="F23" s="26" t="s">
        <v>350</v>
      </c>
    </row>
    <row r="24" spans="1:6" s="3" customFormat="1" ht="14.25" customHeight="1" x14ac:dyDescent="0.35">
      <c r="A24" s="25" t="s">
        <v>283</v>
      </c>
      <c r="B24" s="25" t="s">
        <v>5</v>
      </c>
      <c r="C24" s="26" t="s">
        <v>811</v>
      </c>
      <c r="D24" s="27">
        <v>46257.875</v>
      </c>
      <c r="E24" s="27">
        <v>46258.25</v>
      </c>
      <c r="F24" s="26" t="s">
        <v>812</v>
      </c>
    </row>
    <row r="25" spans="1:6" s="3" customFormat="1" ht="77.5" x14ac:dyDescent="0.35">
      <c r="A25" s="25" t="s">
        <v>283</v>
      </c>
      <c r="B25" s="25" t="s">
        <v>5</v>
      </c>
      <c r="C25" s="26" t="s">
        <v>813</v>
      </c>
      <c r="D25" s="27">
        <v>46257.875</v>
      </c>
      <c r="E25" s="27">
        <v>46258.25</v>
      </c>
      <c r="F25" s="26" t="s">
        <v>812</v>
      </c>
    </row>
    <row r="26" spans="1:6" s="3" customFormat="1" ht="77.5" x14ac:dyDescent="0.35">
      <c r="A26" s="25" t="s">
        <v>283</v>
      </c>
      <c r="B26" s="25" t="s">
        <v>44</v>
      </c>
      <c r="C26" s="26" t="s">
        <v>358</v>
      </c>
      <c r="D26" s="27">
        <v>46257.875</v>
      </c>
      <c r="E26" s="27">
        <v>46258.25</v>
      </c>
      <c r="F26" s="26" t="s">
        <v>359</v>
      </c>
    </row>
    <row r="27" spans="1:6" s="3" customFormat="1" ht="77.5" x14ac:dyDescent="0.35">
      <c r="A27" s="25" t="s">
        <v>274</v>
      </c>
      <c r="B27" s="25" t="s">
        <v>2</v>
      </c>
      <c r="C27" s="26" t="s">
        <v>807</v>
      </c>
      <c r="D27" s="27">
        <v>46255.875</v>
      </c>
      <c r="E27" s="27">
        <v>46258.25</v>
      </c>
      <c r="F27" s="26" t="s">
        <v>808</v>
      </c>
    </row>
    <row r="28" spans="1:6" s="3" customFormat="1" ht="77.5" x14ac:dyDescent="0.35">
      <c r="A28" s="25" t="s">
        <v>274</v>
      </c>
      <c r="B28" s="25" t="s">
        <v>6</v>
      </c>
      <c r="C28" s="26" t="s">
        <v>810</v>
      </c>
      <c r="D28" s="27">
        <v>46255.875</v>
      </c>
      <c r="E28" s="27">
        <v>46258.25</v>
      </c>
      <c r="F28" s="26" t="s">
        <v>808</v>
      </c>
    </row>
    <row r="29" spans="1:6" s="3" customFormat="1" ht="62" x14ac:dyDescent="0.35">
      <c r="A29" s="25" t="s">
        <v>372</v>
      </c>
      <c r="B29" s="25" t="s">
        <v>44</v>
      </c>
      <c r="C29" s="26" t="s">
        <v>826</v>
      </c>
      <c r="D29" s="27">
        <v>46257.875</v>
      </c>
      <c r="E29" s="27">
        <v>46257.9375</v>
      </c>
      <c r="F29" s="26" t="s">
        <v>827</v>
      </c>
    </row>
    <row r="30" spans="1:6" s="3" customFormat="1" ht="62" x14ac:dyDescent="0.35">
      <c r="A30" s="25" t="s">
        <v>87</v>
      </c>
      <c r="B30" s="25" t="s">
        <v>6</v>
      </c>
      <c r="C30" s="26" t="s">
        <v>380</v>
      </c>
      <c r="D30" s="27">
        <v>46202.875</v>
      </c>
      <c r="E30" s="27">
        <v>46508.208333333299</v>
      </c>
      <c r="F30" s="26" t="s">
        <v>381</v>
      </c>
    </row>
    <row r="31" spans="1:6" s="3" customFormat="1" ht="62" x14ac:dyDescent="0.35">
      <c r="A31" s="25" t="s">
        <v>87</v>
      </c>
      <c r="B31" s="25" t="s">
        <v>6</v>
      </c>
      <c r="C31" s="26" t="s">
        <v>388</v>
      </c>
      <c r="D31" s="27">
        <v>46257.875</v>
      </c>
      <c r="E31" s="27">
        <v>46258.25</v>
      </c>
      <c r="F31" s="26" t="s">
        <v>389</v>
      </c>
    </row>
    <row r="32" spans="1:6" s="3" customFormat="1" ht="62" x14ac:dyDescent="0.35">
      <c r="A32" s="25" t="s">
        <v>821</v>
      </c>
      <c r="B32" s="25" t="s">
        <v>6</v>
      </c>
      <c r="C32" s="26" t="s">
        <v>822</v>
      </c>
      <c r="D32" s="27">
        <v>46257.9375</v>
      </c>
      <c r="E32" s="27">
        <v>46258.229166666701</v>
      </c>
      <c r="F32" s="26" t="s">
        <v>823</v>
      </c>
    </row>
    <row r="33" spans="1:6" s="3" customFormat="1" ht="77.5" x14ac:dyDescent="0.35">
      <c r="A33" s="25" t="s">
        <v>736</v>
      </c>
      <c r="B33" s="25" t="s">
        <v>5</v>
      </c>
      <c r="C33" s="26" t="s">
        <v>737</v>
      </c>
      <c r="D33" s="27">
        <v>46255.875</v>
      </c>
      <c r="E33" s="27">
        <v>46258.208333333299</v>
      </c>
      <c r="F33" s="26" t="s">
        <v>733</v>
      </c>
    </row>
    <row r="34" spans="1:6" s="3" customFormat="1" ht="77.5" x14ac:dyDescent="0.35">
      <c r="A34" s="25" t="s">
        <v>738</v>
      </c>
      <c r="B34" s="25" t="s">
        <v>6</v>
      </c>
      <c r="C34" s="26" t="s">
        <v>739</v>
      </c>
      <c r="D34" s="27">
        <v>46257.833333333299</v>
      </c>
      <c r="E34" s="27">
        <v>46258.000694444403</v>
      </c>
      <c r="F34" s="26" t="s">
        <v>740</v>
      </c>
    </row>
    <row r="35" spans="1:6" s="3" customFormat="1" ht="77.5" x14ac:dyDescent="0.35">
      <c r="A35" s="25" t="s">
        <v>71</v>
      </c>
      <c r="B35" s="25" t="s">
        <v>4</v>
      </c>
      <c r="C35" s="26" t="s">
        <v>835</v>
      </c>
      <c r="D35" s="27">
        <v>46237.375</v>
      </c>
      <c r="E35" s="27">
        <v>46258.416666666701</v>
      </c>
      <c r="F35" s="26" t="s">
        <v>836</v>
      </c>
    </row>
    <row r="36" spans="1:6" s="3" customFormat="1" ht="62" x14ac:dyDescent="0.35">
      <c r="A36" s="25" t="s">
        <v>71</v>
      </c>
      <c r="B36" s="25" t="s">
        <v>7</v>
      </c>
      <c r="C36" s="26" t="s">
        <v>395</v>
      </c>
      <c r="D36" s="27">
        <v>46217.625</v>
      </c>
      <c r="E36" s="27">
        <v>46387.875</v>
      </c>
      <c r="F36" s="26" t="s">
        <v>396</v>
      </c>
    </row>
    <row r="37" spans="1:6" s="3" customFormat="1" ht="62" x14ac:dyDescent="0.35">
      <c r="A37" s="25" t="s">
        <v>390</v>
      </c>
      <c r="B37" s="25" t="s">
        <v>44</v>
      </c>
      <c r="C37" s="26" t="s">
        <v>391</v>
      </c>
      <c r="D37" s="27">
        <v>46230.833333333299</v>
      </c>
      <c r="E37" s="27">
        <v>46403.25</v>
      </c>
      <c r="F37" s="26" t="s">
        <v>392</v>
      </c>
    </row>
    <row r="38" spans="1:6" s="3" customFormat="1" ht="46.5" x14ac:dyDescent="0.35">
      <c r="A38" s="25" t="s">
        <v>215</v>
      </c>
      <c r="B38" s="25" t="s">
        <v>6</v>
      </c>
      <c r="C38" s="26" t="s">
        <v>216</v>
      </c>
      <c r="D38" s="27">
        <v>46230.208333333299</v>
      </c>
      <c r="E38" s="27">
        <v>46266.208333333299</v>
      </c>
      <c r="F38" s="26" t="s">
        <v>217</v>
      </c>
    </row>
    <row r="39" spans="1:6" s="3" customFormat="1" ht="46.5" x14ac:dyDescent="0.35">
      <c r="A39" s="25" t="s">
        <v>151</v>
      </c>
      <c r="B39" s="25" t="s">
        <v>6</v>
      </c>
      <c r="C39" s="26" t="s">
        <v>152</v>
      </c>
      <c r="D39" s="27">
        <v>46237.833333333299</v>
      </c>
      <c r="E39" s="27">
        <v>46326.25</v>
      </c>
      <c r="F39" s="26" t="s">
        <v>153</v>
      </c>
    </row>
    <row r="40" spans="1:6" s="3" customFormat="1" ht="46.5" x14ac:dyDescent="0.35">
      <c r="A40" s="25" t="s">
        <v>151</v>
      </c>
      <c r="B40" s="25" t="s">
        <v>2</v>
      </c>
      <c r="C40" s="26" t="s">
        <v>154</v>
      </c>
      <c r="D40" s="27">
        <v>46237.833333333299</v>
      </c>
      <c r="E40" s="27">
        <v>46326.25</v>
      </c>
      <c r="F40" s="26" t="s">
        <v>153</v>
      </c>
    </row>
    <row r="41" spans="1:6" s="3" customFormat="1" ht="46.5" x14ac:dyDescent="0.35">
      <c r="A41" s="25" t="s">
        <v>551</v>
      </c>
      <c r="B41" s="25" t="s">
        <v>44</v>
      </c>
      <c r="C41" s="26" t="s">
        <v>552</v>
      </c>
      <c r="D41" s="27">
        <v>46258.000694444403</v>
      </c>
      <c r="E41" s="27">
        <v>46260.25</v>
      </c>
      <c r="F41" s="26" t="s">
        <v>553</v>
      </c>
    </row>
    <row r="42" spans="1:6" s="3" customFormat="1" ht="31" x14ac:dyDescent="0.35">
      <c r="A42" s="25" t="s">
        <v>170</v>
      </c>
      <c r="B42" s="25" t="s">
        <v>44</v>
      </c>
      <c r="C42" s="26" t="s">
        <v>804</v>
      </c>
      <c r="D42" s="27">
        <v>46255.791666666701</v>
      </c>
      <c r="E42" s="27">
        <v>46258.25</v>
      </c>
      <c r="F42" s="26" t="s">
        <v>805</v>
      </c>
    </row>
    <row r="43" spans="1:6" s="3" customFormat="1" ht="31" x14ac:dyDescent="0.35">
      <c r="A43" s="25" t="s">
        <v>75</v>
      </c>
      <c r="B43" s="25" t="s">
        <v>2</v>
      </c>
      <c r="C43" s="26" t="s">
        <v>741</v>
      </c>
      <c r="D43" s="27">
        <v>46257.833333333299</v>
      </c>
      <c r="E43" s="27">
        <v>46258.208333333299</v>
      </c>
      <c r="F43" s="26" t="s">
        <v>742</v>
      </c>
    </row>
    <row r="44" spans="1:6" s="3" customFormat="1" ht="31" x14ac:dyDescent="0.35">
      <c r="A44" s="25" t="s">
        <v>75</v>
      </c>
      <c r="B44" s="25" t="s">
        <v>6</v>
      </c>
      <c r="C44" s="26" t="s">
        <v>757</v>
      </c>
      <c r="D44" s="27">
        <v>46257.854166666701</v>
      </c>
      <c r="E44" s="27">
        <v>46258.25</v>
      </c>
      <c r="F44" s="26" t="s">
        <v>758</v>
      </c>
    </row>
    <row r="45" spans="1:6" s="3" customFormat="1" ht="31" x14ac:dyDescent="0.35">
      <c r="A45" s="25" t="s">
        <v>75</v>
      </c>
      <c r="B45" s="25" t="s">
        <v>6</v>
      </c>
      <c r="C45" s="26" t="s">
        <v>759</v>
      </c>
      <c r="D45" s="27">
        <v>46257.854166666701</v>
      </c>
      <c r="E45" s="27">
        <v>46258.25</v>
      </c>
      <c r="F45" s="26" t="s">
        <v>758</v>
      </c>
    </row>
    <row r="46" spans="1:6" s="3" customFormat="1" ht="46.5" x14ac:dyDescent="0.35">
      <c r="A46" s="25" t="s">
        <v>75</v>
      </c>
      <c r="B46" s="25" t="s">
        <v>6</v>
      </c>
      <c r="C46" s="26" t="s">
        <v>760</v>
      </c>
      <c r="D46" s="27">
        <v>46257.854166666701</v>
      </c>
      <c r="E46" s="27">
        <v>46258.25</v>
      </c>
      <c r="F46" s="26" t="s">
        <v>758</v>
      </c>
    </row>
    <row r="47" spans="1:6" s="3" customFormat="1" ht="46.5" x14ac:dyDescent="0.35">
      <c r="A47" s="25" t="s">
        <v>133</v>
      </c>
      <c r="B47" s="25" t="s">
        <v>6</v>
      </c>
      <c r="C47" s="26" t="s">
        <v>748</v>
      </c>
      <c r="D47" s="27">
        <v>46257.833333333299</v>
      </c>
      <c r="E47" s="27">
        <v>46258.25</v>
      </c>
      <c r="F47" s="26" t="s">
        <v>746</v>
      </c>
    </row>
    <row r="48" spans="1:6" s="3" customFormat="1" ht="46.5" x14ac:dyDescent="0.35">
      <c r="A48" s="25" t="s">
        <v>133</v>
      </c>
      <c r="B48" s="25" t="s">
        <v>6</v>
      </c>
      <c r="C48" s="26" t="s">
        <v>749</v>
      </c>
      <c r="D48" s="27">
        <v>46257.833333333299</v>
      </c>
      <c r="E48" s="27">
        <v>46258.25</v>
      </c>
      <c r="F48" s="26" t="s">
        <v>746</v>
      </c>
    </row>
    <row r="49" spans="1:6" s="3" customFormat="1" ht="31" x14ac:dyDescent="0.35">
      <c r="A49" s="25" t="s">
        <v>304</v>
      </c>
      <c r="B49" s="25" t="s">
        <v>5</v>
      </c>
      <c r="C49" s="26" t="s">
        <v>816</v>
      </c>
      <c r="D49" s="27">
        <v>46257.833333333299</v>
      </c>
      <c r="E49" s="27">
        <v>46258.25</v>
      </c>
      <c r="F49" s="26" t="s">
        <v>817</v>
      </c>
    </row>
    <row r="50" spans="1:6" s="3" customFormat="1" ht="31" x14ac:dyDescent="0.35">
      <c r="A50" s="25" t="s">
        <v>316</v>
      </c>
      <c r="B50" s="25" t="s">
        <v>7</v>
      </c>
      <c r="C50" s="26" t="s">
        <v>818</v>
      </c>
      <c r="D50" s="27">
        <v>46257.9375</v>
      </c>
      <c r="E50" s="27">
        <v>46258.229166666701</v>
      </c>
      <c r="F50" s="26" t="s">
        <v>819</v>
      </c>
    </row>
    <row r="51" spans="1:6" s="3" customFormat="1" ht="31" x14ac:dyDescent="0.35">
      <c r="A51" s="25" t="s">
        <v>316</v>
      </c>
      <c r="B51" s="25" t="s">
        <v>8</v>
      </c>
      <c r="C51" s="26" t="s">
        <v>820</v>
      </c>
      <c r="D51" s="27">
        <v>46257.9375</v>
      </c>
      <c r="E51" s="27">
        <v>46258.229166666701</v>
      </c>
      <c r="F51" s="26" t="s">
        <v>819</v>
      </c>
    </row>
    <row r="52" spans="1:6" s="3" customFormat="1" ht="31" x14ac:dyDescent="0.35">
      <c r="A52" s="25" t="s">
        <v>268</v>
      </c>
      <c r="B52" s="25" t="s">
        <v>2</v>
      </c>
      <c r="C52" s="26" t="s">
        <v>269</v>
      </c>
      <c r="D52" s="27">
        <v>46237.25</v>
      </c>
      <c r="E52" s="27">
        <v>46692.25</v>
      </c>
      <c r="F52" s="26" t="s">
        <v>270</v>
      </c>
    </row>
    <row r="53" spans="1:6" s="3" customFormat="1" ht="31" x14ac:dyDescent="0.35">
      <c r="A53" s="25" t="s">
        <v>268</v>
      </c>
      <c r="B53" s="25" t="s">
        <v>44</v>
      </c>
      <c r="C53" s="26" t="s">
        <v>809</v>
      </c>
      <c r="D53" s="27">
        <v>46255.875</v>
      </c>
      <c r="E53" s="27">
        <v>46258.25</v>
      </c>
      <c r="F53" s="26" t="s">
        <v>808</v>
      </c>
    </row>
    <row r="54" spans="1:6" s="3" customFormat="1" ht="31" x14ac:dyDescent="0.35">
      <c r="A54" s="25" t="s">
        <v>368</v>
      </c>
      <c r="B54" s="25" t="s">
        <v>2</v>
      </c>
      <c r="C54" s="26" t="s">
        <v>369</v>
      </c>
      <c r="D54" s="27">
        <v>46257.833333333299</v>
      </c>
      <c r="E54" s="27">
        <v>46258.25</v>
      </c>
      <c r="F54" s="26" t="s">
        <v>499</v>
      </c>
    </row>
    <row r="55" spans="1:6" s="3" customFormat="1" ht="46.5" x14ac:dyDescent="0.35">
      <c r="A55" s="25" t="s">
        <v>368</v>
      </c>
      <c r="B55" s="25" t="s">
        <v>2</v>
      </c>
      <c r="C55" s="26" t="s">
        <v>500</v>
      </c>
      <c r="D55" s="27">
        <v>46257.854166666701</v>
      </c>
      <c r="E55" s="27">
        <v>46258.25</v>
      </c>
      <c r="F55" s="26" t="s">
        <v>499</v>
      </c>
    </row>
    <row r="56" spans="1:6" s="3" customFormat="1" ht="46.5" x14ac:dyDescent="0.35">
      <c r="A56" s="25" t="s">
        <v>61</v>
      </c>
      <c r="B56" s="25" t="s">
        <v>2</v>
      </c>
      <c r="C56" s="26" t="s">
        <v>62</v>
      </c>
      <c r="D56" s="27">
        <v>46257.927083333299</v>
      </c>
      <c r="E56" s="27">
        <v>46258.25</v>
      </c>
      <c r="F56" s="26" t="s">
        <v>63</v>
      </c>
    </row>
    <row r="57" spans="1:6" s="18" customFormat="1" ht="46.5" x14ac:dyDescent="0.35">
      <c r="A57" s="25" t="s">
        <v>61</v>
      </c>
      <c r="B57" s="25" t="s">
        <v>2</v>
      </c>
      <c r="C57" s="26" t="s">
        <v>64</v>
      </c>
      <c r="D57" s="27">
        <v>46257.927083333299</v>
      </c>
      <c r="E57" s="27">
        <v>46258.25</v>
      </c>
      <c r="F57" s="26" t="s">
        <v>63</v>
      </c>
    </row>
    <row r="58" spans="1:6" s="3" customFormat="1" ht="46.5" x14ac:dyDescent="0.35">
      <c r="A58" s="25" t="s">
        <v>61</v>
      </c>
      <c r="B58" s="25" t="s">
        <v>2</v>
      </c>
      <c r="C58" s="26" t="s">
        <v>65</v>
      </c>
      <c r="D58" s="27">
        <v>46257.927083333299</v>
      </c>
      <c r="E58" s="27">
        <v>46258.25</v>
      </c>
      <c r="F58" s="26" t="s">
        <v>63</v>
      </c>
    </row>
    <row r="59" spans="1:6" s="3" customFormat="1" ht="46.5" x14ac:dyDescent="0.35">
      <c r="A59" s="25" t="s">
        <v>61</v>
      </c>
      <c r="B59" s="25" t="s">
        <v>2</v>
      </c>
      <c r="C59" s="26" t="s">
        <v>66</v>
      </c>
      <c r="D59" s="27">
        <v>46257.927083333299</v>
      </c>
      <c r="E59" s="27">
        <v>46258.25</v>
      </c>
      <c r="F59" s="26" t="s">
        <v>63</v>
      </c>
    </row>
    <row r="60" spans="1:6" s="3" customFormat="1" ht="46.5" x14ac:dyDescent="0.35">
      <c r="A60" s="25" t="s">
        <v>61</v>
      </c>
      <c r="B60" s="25" t="s">
        <v>2</v>
      </c>
      <c r="C60" s="26" t="s">
        <v>67</v>
      </c>
      <c r="D60" s="27">
        <v>46257.927083333299</v>
      </c>
      <c r="E60" s="27">
        <v>46258.25</v>
      </c>
      <c r="F60" s="26" t="s">
        <v>63</v>
      </c>
    </row>
    <row r="61" spans="1:6" s="3" customFormat="1" ht="62" x14ac:dyDescent="0.35">
      <c r="A61" s="25" t="s">
        <v>61</v>
      </c>
      <c r="B61" s="25" t="s">
        <v>2</v>
      </c>
      <c r="C61" s="26" t="s">
        <v>68</v>
      </c>
      <c r="D61" s="27">
        <v>46257.927083333299</v>
      </c>
      <c r="E61" s="27">
        <v>46258.25</v>
      </c>
      <c r="F61" s="26" t="s">
        <v>63</v>
      </c>
    </row>
    <row r="62" spans="1:6" s="3" customFormat="1" ht="62" x14ac:dyDescent="0.35">
      <c r="A62" s="25" t="s">
        <v>507</v>
      </c>
      <c r="B62" s="25" t="s">
        <v>2</v>
      </c>
      <c r="C62" s="26" t="s">
        <v>832</v>
      </c>
      <c r="D62" s="27">
        <v>46255.875</v>
      </c>
      <c r="E62" s="27">
        <v>46258.25</v>
      </c>
      <c r="F62" s="26" t="s">
        <v>829</v>
      </c>
    </row>
    <row r="63" spans="1:6" s="3" customFormat="1" ht="62" x14ac:dyDescent="0.35">
      <c r="A63" s="25" t="s">
        <v>507</v>
      </c>
      <c r="B63" s="25" t="s">
        <v>6</v>
      </c>
      <c r="C63" s="26" t="s">
        <v>833</v>
      </c>
      <c r="D63" s="27">
        <v>46257.875</v>
      </c>
      <c r="E63" s="27">
        <v>46258.166666666701</v>
      </c>
      <c r="F63" s="26" t="s">
        <v>834</v>
      </c>
    </row>
    <row r="64" spans="1:6" s="3" customFormat="1" ht="62" x14ac:dyDescent="0.35">
      <c r="A64" s="25" t="s">
        <v>360</v>
      </c>
      <c r="B64" s="25" t="s">
        <v>2</v>
      </c>
      <c r="C64" s="26" t="s">
        <v>617</v>
      </c>
      <c r="D64" s="27">
        <v>46257.875</v>
      </c>
      <c r="E64" s="27">
        <v>46258.25</v>
      </c>
      <c r="F64" s="26" t="s">
        <v>618</v>
      </c>
    </row>
    <row r="65" spans="1:6" s="3" customFormat="1" ht="46.5" x14ac:dyDescent="0.35">
      <c r="A65" s="25" t="s">
        <v>360</v>
      </c>
      <c r="B65" s="25" t="s">
        <v>2</v>
      </c>
      <c r="C65" s="26" t="s">
        <v>511</v>
      </c>
      <c r="D65" s="27">
        <v>46257.875</v>
      </c>
      <c r="E65" s="27">
        <v>46258.25</v>
      </c>
      <c r="F65" s="26" t="s">
        <v>837</v>
      </c>
    </row>
    <row r="66" spans="1:6" s="3" customFormat="1" ht="46.5" x14ac:dyDescent="0.35">
      <c r="A66" s="25" t="s">
        <v>195</v>
      </c>
      <c r="B66" s="25" t="s">
        <v>6</v>
      </c>
      <c r="C66" s="26" t="s">
        <v>790</v>
      </c>
      <c r="D66" s="27">
        <v>46257.875</v>
      </c>
      <c r="E66" s="27">
        <v>46258.25</v>
      </c>
      <c r="F66" s="26" t="s">
        <v>791</v>
      </c>
    </row>
    <row r="67" spans="1:6" s="3" customFormat="1" ht="46.5" x14ac:dyDescent="0.35">
      <c r="A67" s="25" t="s">
        <v>195</v>
      </c>
      <c r="B67" s="25" t="s">
        <v>6</v>
      </c>
      <c r="C67" s="26" t="s">
        <v>792</v>
      </c>
      <c r="D67" s="27">
        <v>46257.875</v>
      </c>
      <c r="E67" s="27">
        <v>46258.25</v>
      </c>
      <c r="F67" s="26" t="s">
        <v>791</v>
      </c>
    </row>
    <row r="68" spans="1:6" s="3" customFormat="1" ht="46.5" x14ac:dyDescent="0.35">
      <c r="A68" s="25" t="s">
        <v>195</v>
      </c>
      <c r="B68" s="25" t="s">
        <v>6</v>
      </c>
      <c r="C68" s="26" t="s">
        <v>793</v>
      </c>
      <c r="D68" s="27">
        <v>46257.875</v>
      </c>
      <c r="E68" s="27">
        <v>46258.25</v>
      </c>
      <c r="F68" s="26" t="s">
        <v>791</v>
      </c>
    </row>
    <row r="69" spans="1:6" s="3" customFormat="1" ht="46.5" x14ac:dyDescent="0.35">
      <c r="A69" s="25" t="s">
        <v>195</v>
      </c>
      <c r="B69" s="25" t="s">
        <v>6</v>
      </c>
      <c r="C69" s="26" t="s">
        <v>794</v>
      </c>
      <c r="D69" s="27">
        <v>46257.875</v>
      </c>
      <c r="E69" s="27">
        <v>46258.25</v>
      </c>
      <c r="F69" s="26" t="s">
        <v>791</v>
      </c>
    </row>
    <row r="70" spans="1:6" s="3" customFormat="1" ht="46.5" x14ac:dyDescent="0.35">
      <c r="A70" s="25" t="s">
        <v>195</v>
      </c>
      <c r="B70" s="25" t="s">
        <v>6</v>
      </c>
      <c r="C70" s="26" t="s">
        <v>795</v>
      </c>
      <c r="D70" s="27">
        <v>46257.875</v>
      </c>
      <c r="E70" s="27">
        <v>46258.25</v>
      </c>
      <c r="F70" s="26" t="s">
        <v>791</v>
      </c>
    </row>
    <row r="71" spans="1:6" s="3" customFormat="1" ht="46.5" x14ac:dyDescent="0.35">
      <c r="A71" s="25" t="s">
        <v>195</v>
      </c>
      <c r="B71" s="25" t="s">
        <v>4</v>
      </c>
      <c r="C71" s="26" t="s">
        <v>796</v>
      </c>
      <c r="D71" s="27">
        <v>46257.875</v>
      </c>
      <c r="E71" s="27">
        <v>46258.25</v>
      </c>
      <c r="F71" s="26" t="s">
        <v>791</v>
      </c>
    </row>
    <row r="72" spans="1:6" s="3" customFormat="1" ht="46.5" x14ac:dyDescent="0.35">
      <c r="A72" s="25" t="s">
        <v>221</v>
      </c>
      <c r="B72" s="25" t="s">
        <v>5</v>
      </c>
      <c r="C72" s="26" t="s">
        <v>769</v>
      </c>
      <c r="D72" s="27">
        <v>46257.875</v>
      </c>
      <c r="E72" s="27">
        <v>46258.25</v>
      </c>
      <c r="F72" s="26" t="s">
        <v>770</v>
      </c>
    </row>
    <row r="73" spans="1:6" s="3" customFormat="1" ht="62" x14ac:dyDescent="0.35">
      <c r="A73" s="25" t="s">
        <v>221</v>
      </c>
      <c r="B73" s="25" t="s">
        <v>5</v>
      </c>
      <c r="C73" s="26" t="s">
        <v>771</v>
      </c>
      <c r="D73" s="27">
        <v>46257.875</v>
      </c>
      <c r="E73" s="27">
        <v>46258.25</v>
      </c>
      <c r="F73" s="26" t="s">
        <v>770</v>
      </c>
    </row>
    <row r="74" spans="1:6" s="3" customFormat="1" ht="62" x14ac:dyDescent="0.35">
      <c r="A74" s="25" t="s">
        <v>221</v>
      </c>
      <c r="B74" s="25" t="s">
        <v>5</v>
      </c>
      <c r="C74" s="26" t="s">
        <v>222</v>
      </c>
      <c r="D74" s="27">
        <v>46257.916666666701</v>
      </c>
      <c r="E74" s="27">
        <v>46258.25</v>
      </c>
      <c r="F74" s="26" t="s">
        <v>223</v>
      </c>
    </row>
    <row r="75" spans="1:6" s="3" customFormat="1" ht="46.5" x14ac:dyDescent="0.35">
      <c r="A75" s="25" t="s">
        <v>221</v>
      </c>
      <c r="B75" s="25" t="s">
        <v>5</v>
      </c>
      <c r="C75" s="26" t="s">
        <v>224</v>
      </c>
      <c r="D75" s="27">
        <v>46257.916666666701</v>
      </c>
      <c r="E75" s="27">
        <v>46258.25</v>
      </c>
      <c r="F75" s="26" t="s">
        <v>223</v>
      </c>
    </row>
    <row r="76" spans="1:6" s="3" customFormat="1" ht="62" x14ac:dyDescent="0.35">
      <c r="A76" s="25" t="s">
        <v>221</v>
      </c>
      <c r="B76" s="25" t="s">
        <v>5</v>
      </c>
      <c r="C76" s="26" t="s">
        <v>225</v>
      </c>
      <c r="D76" s="27">
        <v>46257.916666666701</v>
      </c>
      <c r="E76" s="27">
        <v>46258.25</v>
      </c>
      <c r="F76" s="26" t="s">
        <v>223</v>
      </c>
    </row>
    <row r="77" spans="1:6" s="3" customFormat="1" ht="62" x14ac:dyDescent="0.35">
      <c r="A77" s="25" t="s">
        <v>192</v>
      </c>
      <c r="B77" s="25" t="s">
        <v>6</v>
      </c>
      <c r="C77" s="26" t="s">
        <v>193</v>
      </c>
      <c r="D77" s="27">
        <v>45804.208333333299</v>
      </c>
      <c r="E77" s="27">
        <v>46418.208333333299</v>
      </c>
      <c r="F77" s="26" t="s">
        <v>194</v>
      </c>
    </row>
    <row r="78" spans="1:6" s="3" customFormat="1" ht="62" x14ac:dyDescent="0.35">
      <c r="A78" s="25" t="s">
        <v>226</v>
      </c>
      <c r="B78" s="25" t="s">
        <v>5</v>
      </c>
      <c r="C78" s="26" t="s">
        <v>227</v>
      </c>
      <c r="D78" s="27">
        <v>46257.875</v>
      </c>
      <c r="E78" s="27">
        <v>46258.208333333299</v>
      </c>
      <c r="F78" s="26" t="s">
        <v>228</v>
      </c>
    </row>
    <row r="79" spans="1:6" s="3" customFormat="1" ht="46.5" x14ac:dyDescent="0.35">
      <c r="A79" s="25" t="s">
        <v>226</v>
      </c>
      <c r="B79" s="25" t="s">
        <v>5</v>
      </c>
      <c r="C79" s="26" t="s">
        <v>229</v>
      </c>
      <c r="D79" s="27">
        <v>46257.875</v>
      </c>
      <c r="E79" s="27">
        <v>46258.208333333299</v>
      </c>
      <c r="F79" s="26" t="s">
        <v>228</v>
      </c>
    </row>
    <row r="80" spans="1:6" s="3" customFormat="1" ht="46.5" x14ac:dyDescent="0.35">
      <c r="A80" s="25" t="s">
        <v>211</v>
      </c>
      <c r="B80" s="25" t="s">
        <v>2</v>
      </c>
      <c r="C80" s="26" t="s">
        <v>779</v>
      </c>
      <c r="D80" s="27">
        <v>46257.875</v>
      </c>
      <c r="E80" s="27">
        <v>46258.25</v>
      </c>
      <c r="F80" s="26" t="s">
        <v>780</v>
      </c>
    </row>
    <row r="81" spans="1:6" s="3" customFormat="1" ht="46.5" x14ac:dyDescent="0.35">
      <c r="A81" s="25" t="s">
        <v>211</v>
      </c>
      <c r="B81" s="25" t="s">
        <v>2</v>
      </c>
      <c r="C81" s="26" t="s">
        <v>781</v>
      </c>
      <c r="D81" s="27">
        <v>46257.916666666701</v>
      </c>
      <c r="E81" s="27">
        <v>46258.208333333299</v>
      </c>
      <c r="F81" s="26" t="s">
        <v>782</v>
      </c>
    </row>
    <row r="82" spans="1:6" s="3" customFormat="1" ht="31" x14ac:dyDescent="0.35">
      <c r="A82" s="25" t="s">
        <v>211</v>
      </c>
      <c r="B82" s="25" t="s">
        <v>2</v>
      </c>
      <c r="C82" s="26" t="s">
        <v>783</v>
      </c>
      <c r="D82" s="27">
        <v>46257.916666666701</v>
      </c>
      <c r="E82" s="27">
        <v>46258.208333333299</v>
      </c>
      <c r="F82" s="26" t="s">
        <v>782</v>
      </c>
    </row>
    <row r="83" spans="1:6" s="3" customFormat="1" ht="31" x14ac:dyDescent="0.35">
      <c r="A83" s="25" t="s">
        <v>211</v>
      </c>
      <c r="B83" s="25" t="s">
        <v>2</v>
      </c>
      <c r="C83" s="26" t="s">
        <v>784</v>
      </c>
      <c r="D83" s="27">
        <v>46257.916666666701</v>
      </c>
      <c r="E83" s="27">
        <v>46258.208333333299</v>
      </c>
      <c r="F83" s="26" t="s">
        <v>782</v>
      </c>
    </row>
    <row r="84" spans="1:6" s="3" customFormat="1" ht="62" x14ac:dyDescent="0.35">
      <c r="A84" s="25" t="s">
        <v>211</v>
      </c>
      <c r="B84" s="25" t="s">
        <v>6</v>
      </c>
      <c r="C84" s="26" t="s">
        <v>801</v>
      </c>
      <c r="D84" s="27">
        <v>46257.916666666701</v>
      </c>
      <c r="E84" s="27">
        <v>46258.25</v>
      </c>
      <c r="F84" s="26" t="s">
        <v>802</v>
      </c>
    </row>
    <row r="85" spans="1:6" s="3" customFormat="1" ht="46.5" x14ac:dyDescent="0.35">
      <c r="A85" s="25" t="s">
        <v>211</v>
      </c>
      <c r="B85" s="25" t="s">
        <v>6</v>
      </c>
      <c r="C85" s="26" t="s">
        <v>803</v>
      </c>
      <c r="D85" s="27">
        <v>46257.916666666701</v>
      </c>
      <c r="E85" s="27">
        <v>46258.25</v>
      </c>
      <c r="F85" s="26" t="s">
        <v>802</v>
      </c>
    </row>
    <row r="86" spans="1:6" s="3" customFormat="1" ht="31" x14ac:dyDescent="0.35">
      <c r="A86" s="25" t="s">
        <v>211</v>
      </c>
      <c r="B86" s="25" t="s">
        <v>2</v>
      </c>
      <c r="C86" s="26" t="s">
        <v>806</v>
      </c>
      <c r="D86" s="27">
        <v>46257.916666666701</v>
      </c>
      <c r="E86" s="27">
        <v>46258.25</v>
      </c>
      <c r="F86" s="26" t="s">
        <v>267</v>
      </c>
    </row>
    <row r="87" spans="1:6" s="3" customFormat="1" ht="77.5" x14ac:dyDescent="0.35">
      <c r="A87" s="25" t="s">
        <v>211</v>
      </c>
      <c r="B87" s="25" t="s">
        <v>2</v>
      </c>
      <c r="C87" s="26" t="s">
        <v>828</v>
      </c>
      <c r="D87" s="27">
        <v>46255.875</v>
      </c>
      <c r="E87" s="27">
        <v>46258.25</v>
      </c>
      <c r="F87" s="26" t="s">
        <v>829</v>
      </c>
    </row>
    <row r="88" spans="1:6" s="3" customFormat="1" ht="77.5" x14ac:dyDescent="0.35">
      <c r="A88" s="25" t="s">
        <v>211</v>
      </c>
      <c r="B88" s="25" t="s">
        <v>6</v>
      </c>
      <c r="C88" s="26" t="s">
        <v>830</v>
      </c>
      <c r="D88" s="27">
        <v>46255.875</v>
      </c>
      <c r="E88" s="27">
        <v>46258.25</v>
      </c>
      <c r="F88" s="26" t="s">
        <v>829</v>
      </c>
    </row>
    <row r="89" spans="1:6" s="3" customFormat="1" ht="77.5" x14ac:dyDescent="0.35">
      <c r="A89" s="25" t="s">
        <v>211</v>
      </c>
      <c r="B89" s="25" t="s">
        <v>2</v>
      </c>
      <c r="C89" s="26" t="s">
        <v>831</v>
      </c>
      <c r="D89" s="27">
        <v>46255.875</v>
      </c>
      <c r="E89" s="27">
        <v>46258.25</v>
      </c>
      <c r="F89" s="26" t="s">
        <v>829</v>
      </c>
    </row>
    <row r="90" spans="1:6" s="3" customFormat="1" ht="62" x14ac:dyDescent="0.35">
      <c r="A90" s="25" t="s">
        <v>235</v>
      </c>
      <c r="B90" s="25" t="s">
        <v>8</v>
      </c>
      <c r="C90" s="26" t="s">
        <v>764</v>
      </c>
      <c r="D90" s="27">
        <v>46257.875</v>
      </c>
      <c r="E90" s="27">
        <v>46258.25</v>
      </c>
      <c r="F90" s="26" t="s">
        <v>765</v>
      </c>
    </row>
    <row r="91" spans="1:6" s="3" customFormat="1" ht="108.5" x14ac:dyDescent="0.35">
      <c r="A91" s="25" t="s">
        <v>235</v>
      </c>
      <c r="B91" s="25" t="s">
        <v>8</v>
      </c>
      <c r="C91" s="26" t="s">
        <v>766</v>
      </c>
      <c r="D91" s="27">
        <v>46257.875</v>
      </c>
      <c r="E91" s="27">
        <v>46258.25</v>
      </c>
      <c r="F91" s="26" t="s">
        <v>765</v>
      </c>
    </row>
    <row r="92" spans="1:6" s="3" customFormat="1" ht="124" x14ac:dyDescent="0.35">
      <c r="A92" s="25" t="s">
        <v>235</v>
      </c>
      <c r="B92" s="25" t="s">
        <v>7</v>
      </c>
      <c r="C92" s="26" t="s">
        <v>772</v>
      </c>
      <c r="D92" s="27">
        <v>46257.9375</v>
      </c>
      <c r="E92" s="27">
        <v>46258.25</v>
      </c>
      <c r="F92" s="26" t="s">
        <v>773</v>
      </c>
    </row>
    <row r="93" spans="1:6" s="3" customFormat="1" ht="124" x14ac:dyDescent="0.35">
      <c r="A93" s="25" t="s">
        <v>235</v>
      </c>
      <c r="B93" s="25" t="s">
        <v>7</v>
      </c>
      <c r="C93" s="26" t="s">
        <v>774</v>
      </c>
      <c r="D93" s="27">
        <v>46257.9375</v>
      </c>
      <c r="E93" s="27">
        <v>46258.25</v>
      </c>
      <c r="F93" s="26" t="s">
        <v>773</v>
      </c>
    </row>
    <row r="94" spans="1:6" s="3" customFormat="1" ht="108.5" x14ac:dyDescent="0.35">
      <c r="A94" s="25" t="s">
        <v>235</v>
      </c>
      <c r="B94" s="25" t="s">
        <v>7</v>
      </c>
      <c r="C94" s="26" t="s">
        <v>775</v>
      </c>
      <c r="D94" s="27">
        <v>46257.9375</v>
      </c>
      <c r="E94" s="27">
        <v>46258.25</v>
      </c>
      <c r="F94" s="26" t="s">
        <v>773</v>
      </c>
    </row>
    <row r="95" spans="1:6" s="3" customFormat="1" ht="124" x14ac:dyDescent="0.35">
      <c r="A95" s="25" t="s">
        <v>235</v>
      </c>
      <c r="B95" s="25" t="s">
        <v>7</v>
      </c>
      <c r="C95" s="26" t="s">
        <v>776</v>
      </c>
      <c r="D95" s="27">
        <v>46257.9375</v>
      </c>
      <c r="E95" s="27">
        <v>46258.25</v>
      </c>
      <c r="F95" s="26" t="s">
        <v>773</v>
      </c>
    </row>
    <row r="96" spans="1:6" s="3" customFormat="1" ht="124" x14ac:dyDescent="0.35">
      <c r="A96" s="25" t="s">
        <v>235</v>
      </c>
      <c r="B96" s="25" t="s">
        <v>7</v>
      </c>
      <c r="C96" s="26" t="s">
        <v>777</v>
      </c>
      <c r="D96" s="27">
        <v>46257.9375</v>
      </c>
      <c r="E96" s="27">
        <v>46258.25</v>
      </c>
      <c r="F96" s="26" t="s">
        <v>773</v>
      </c>
    </row>
    <row r="97" spans="1:6" s="3" customFormat="1" ht="62" x14ac:dyDescent="0.35">
      <c r="A97" s="25" t="s">
        <v>235</v>
      </c>
      <c r="B97" s="25" t="s">
        <v>7</v>
      </c>
      <c r="C97" s="26" t="s">
        <v>778</v>
      </c>
      <c r="D97" s="27">
        <v>46257.9375</v>
      </c>
      <c r="E97" s="27">
        <v>46258.25</v>
      </c>
      <c r="F97" s="26" t="s">
        <v>773</v>
      </c>
    </row>
    <row r="98" spans="1:6" s="3" customFormat="1" ht="46.5" x14ac:dyDescent="0.35">
      <c r="A98" s="25" t="s">
        <v>235</v>
      </c>
      <c r="B98" s="25" t="s">
        <v>7</v>
      </c>
      <c r="C98" s="26" t="s">
        <v>797</v>
      </c>
      <c r="D98" s="27">
        <v>46257.833333333299</v>
      </c>
      <c r="E98" s="27">
        <v>46258.25</v>
      </c>
      <c r="F98" s="26" t="s">
        <v>798</v>
      </c>
    </row>
    <row r="99" spans="1:6" s="18" customFormat="1" ht="108.5" x14ac:dyDescent="0.35">
      <c r="A99" s="25" t="s">
        <v>204</v>
      </c>
      <c r="B99" s="25" t="s">
        <v>2</v>
      </c>
      <c r="C99" s="26" t="s">
        <v>205</v>
      </c>
      <c r="D99" s="27">
        <v>46257.875</v>
      </c>
      <c r="E99" s="27">
        <v>46258.208333333299</v>
      </c>
      <c r="F99" s="26" t="s">
        <v>767</v>
      </c>
    </row>
    <row r="100" spans="1:6" s="3" customFormat="1" ht="77.5" x14ac:dyDescent="0.35">
      <c r="A100" s="25" t="s">
        <v>204</v>
      </c>
      <c r="B100" s="25" t="s">
        <v>2</v>
      </c>
      <c r="C100" s="26" t="s">
        <v>768</v>
      </c>
      <c r="D100" s="27">
        <v>46257.875</v>
      </c>
      <c r="E100" s="27">
        <v>46258.208333333299</v>
      </c>
      <c r="F100" s="26" t="s">
        <v>767</v>
      </c>
    </row>
    <row r="101" spans="1:6" s="3" customFormat="1" ht="77.5" x14ac:dyDescent="0.35">
      <c r="A101" s="25" t="s">
        <v>109</v>
      </c>
      <c r="B101" s="25" t="s">
        <v>4</v>
      </c>
      <c r="C101" s="26" t="s">
        <v>743</v>
      </c>
      <c r="D101" s="27">
        <v>46257.916666666701</v>
      </c>
      <c r="E101" s="27">
        <v>46258.208333333299</v>
      </c>
      <c r="F101" s="26" t="s">
        <v>744</v>
      </c>
    </row>
    <row r="102" spans="1:6" s="3" customFormat="1" ht="77.5" x14ac:dyDescent="0.35">
      <c r="A102" s="25" t="s">
        <v>109</v>
      </c>
      <c r="B102" s="25" t="s">
        <v>4</v>
      </c>
      <c r="C102" s="26" t="s">
        <v>745</v>
      </c>
      <c r="D102" s="27">
        <v>46257.833333333299</v>
      </c>
      <c r="E102" s="27">
        <v>46258.25</v>
      </c>
      <c r="F102" s="26" t="s">
        <v>746</v>
      </c>
    </row>
    <row r="103" spans="1:6" s="6" customFormat="1" ht="77.5" x14ac:dyDescent="0.35">
      <c r="A103" s="25" t="s">
        <v>109</v>
      </c>
      <c r="B103" s="25" t="s">
        <v>5</v>
      </c>
      <c r="C103" s="26" t="s">
        <v>747</v>
      </c>
      <c r="D103" s="27">
        <v>46257.833333333299</v>
      </c>
      <c r="E103" s="27">
        <v>46258.25</v>
      </c>
      <c r="F103" s="26" t="s">
        <v>746</v>
      </c>
    </row>
    <row r="104" spans="1:6" s="6" customFormat="1" ht="62" x14ac:dyDescent="0.35">
      <c r="A104" s="25" t="s">
        <v>109</v>
      </c>
      <c r="B104" s="25" t="s">
        <v>4</v>
      </c>
      <c r="C104" s="26" t="s">
        <v>799</v>
      </c>
      <c r="D104" s="27">
        <v>46257.875</v>
      </c>
      <c r="E104" s="27">
        <v>46258.25</v>
      </c>
      <c r="F104" s="26" t="s">
        <v>800</v>
      </c>
    </row>
    <row r="105" spans="1:6" s="6" customFormat="1" ht="77.5" x14ac:dyDescent="0.35">
      <c r="A105" s="25" t="s">
        <v>447</v>
      </c>
      <c r="B105" s="25" t="s">
        <v>7</v>
      </c>
      <c r="C105" s="26" t="s">
        <v>755</v>
      </c>
      <c r="D105" s="27">
        <v>46257.875</v>
      </c>
      <c r="E105" s="27">
        <v>46258.208333333299</v>
      </c>
      <c r="F105" s="26" t="s">
        <v>756</v>
      </c>
    </row>
    <row r="106" spans="1:6" s="6" customFormat="1" ht="77.5" x14ac:dyDescent="0.35">
      <c r="A106" s="25" t="s">
        <v>207</v>
      </c>
      <c r="B106" s="25" t="s">
        <v>5</v>
      </c>
      <c r="C106" s="26" t="s">
        <v>785</v>
      </c>
      <c r="D106" s="27">
        <v>46257.875</v>
      </c>
      <c r="E106" s="27">
        <v>46258.208333333299</v>
      </c>
      <c r="F106" s="26" t="s">
        <v>786</v>
      </c>
    </row>
    <row r="107" spans="1:6" s="6" customFormat="1" ht="77.5" x14ac:dyDescent="0.35">
      <c r="A107" s="25" t="s">
        <v>207</v>
      </c>
      <c r="B107" s="25" t="s">
        <v>5</v>
      </c>
      <c r="C107" s="26" t="s">
        <v>787</v>
      </c>
      <c r="D107" s="27">
        <v>46257.875</v>
      </c>
      <c r="E107" s="27">
        <v>46258.208333333299</v>
      </c>
      <c r="F107" s="26" t="s">
        <v>786</v>
      </c>
    </row>
    <row r="108" spans="1:6" s="6" customFormat="1" ht="93" x14ac:dyDescent="0.35">
      <c r="A108" s="25" t="s">
        <v>207</v>
      </c>
      <c r="B108" s="25" t="s">
        <v>5</v>
      </c>
      <c r="C108" s="26" t="s">
        <v>788</v>
      </c>
      <c r="D108" s="27">
        <v>46257.875</v>
      </c>
      <c r="E108" s="27">
        <v>46258.208333333299</v>
      </c>
      <c r="F108" s="26" t="s">
        <v>786</v>
      </c>
    </row>
    <row r="109" spans="1:6" s="6" customFormat="1" ht="46.5" x14ac:dyDescent="0.35">
      <c r="A109" s="25" t="s">
        <v>207</v>
      </c>
      <c r="B109" s="25" t="s">
        <v>5</v>
      </c>
      <c r="C109" s="26" t="s">
        <v>789</v>
      </c>
      <c r="D109" s="27">
        <v>46257.875</v>
      </c>
      <c r="E109" s="27">
        <v>46258.208333333299</v>
      </c>
      <c r="F109" s="26" t="s">
        <v>786</v>
      </c>
    </row>
    <row r="110" spans="1:6" s="6" customFormat="1" x14ac:dyDescent="0.35">
      <c r="A110" s="25"/>
      <c r="B110" s="25"/>
      <c r="C110" s="26"/>
      <c r="D110" s="27"/>
      <c r="E110" s="27"/>
      <c r="F110" s="26"/>
    </row>
    <row r="111" spans="1:6" s="6" customFormat="1" x14ac:dyDescent="0.35">
      <c r="A111" s="25"/>
      <c r="B111" s="25"/>
      <c r="C111" s="26"/>
      <c r="D111" s="27"/>
      <c r="E111" s="27"/>
      <c r="F111" s="26"/>
    </row>
    <row r="112" spans="1:6" s="6" customFormat="1" x14ac:dyDescent="0.35">
      <c r="A112" s="25"/>
      <c r="B112" s="25"/>
      <c r="C112" s="26"/>
      <c r="D112" s="27"/>
      <c r="E112" s="27"/>
      <c r="F112" s="26"/>
    </row>
    <row r="113" spans="1:6" s="6" customFormat="1" x14ac:dyDescent="0.35">
      <c r="A113" s="25"/>
      <c r="B113" s="25"/>
      <c r="C113" s="26"/>
      <c r="D113" s="27"/>
      <c r="E113" s="27"/>
      <c r="F113" s="26"/>
    </row>
    <row r="114" spans="1:6" s="14" customFormat="1" x14ac:dyDescent="0.35">
      <c r="A114" s="25"/>
      <c r="B114" s="25"/>
      <c r="C114" s="26"/>
      <c r="D114" s="27"/>
      <c r="E114" s="27"/>
      <c r="F114" s="26"/>
    </row>
    <row r="115" spans="1:6" s="6" customFormat="1" x14ac:dyDescent="0.35">
      <c r="A115" s="25"/>
      <c r="B115" s="25"/>
      <c r="C115" s="26"/>
      <c r="D115" s="27"/>
      <c r="E115" s="27"/>
      <c r="F115" s="26"/>
    </row>
    <row r="116" spans="1:6" s="6" customFormat="1" x14ac:dyDescent="0.35">
      <c r="A116" s="25"/>
      <c r="B116" s="25"/>
      <c r="C116" s="26"/>
      <c r="D116" s="27"/>
      <c r="E116" s="27"/>
      <c r="F116" s="26"/>
    </row>
    <row r="117" spans="1:6" s="6" customFormat="1" x14ac:dyDescent="0.35">
      <c r="A117" s="25"/>
      <c r="B117" s="25"/>
      <c r="C117" s="26"/>
      <c r="D117" s="27"/>
      <c r="E117" s="27"/>
      <c r="F117" s="26"/>
    </row>
    <row r="118" spans="1:6" s="6" customFormat="1" x14ac:dyDescent="0.35">
      <c r="A118" s="25"/>
      <c r="B118" s="25"/>
      <c r="C118" s="26"/>
      <c r="D118" s="27"/>
      <c r="E118" s="27"/>
      <c r="F118" s="26"/>
    </row>
    <row r="119" spans="1:6" s="6" customFormat="1" x14ac:dyDescent="0.35">
      <c r="A119" s="25"/>
      <c r="B119" s="25"/>
      <c r="C119" s="26"/>
      <c r="D119" s="27"/>
      <c r="E119" s="27"/>
      <c r="F119" s="26"/>
    </row>
    <row r="120" spans="1:6" s="6" customFormat="1" x14ac:dyDescent="0.35">
      <c r="A120" s="25"/>
      <c r="B120" s="25"/>
      <c r="C120" s="26"/>
      <c r="D120" s="27"/>
      <c r="E120" s="27"/>
      <c r="F120" s="26"/>
    </row>
    <row r="121" spans="1:6" s="6" customFormat="1" x14ac:dyDescent="0.35">
      <c r="A121" s="25"/>
      <c r="B121" s="25"/>
      <c r="C121" s="26"/>
      <c r="D121" s="27"/>
      <c r="E121" s="27"/>
      <c r="F121" s="26"/>
    </row>
    <row r="122" spans="1:6" s="6" customFormat="1" x14ac:dyDescent="0.35">
      <c r="A122" s="25"/>
      <c r="B122" s="25"/>
      <c r="C122" s="26"/>
      <c r="D122" s="27"/>
      <c r="E122" s="27"/>
      <c r="F122" s="26"/>
    </row>
    <row r="123" spans="1:6" s="6" customFormat="1" x14ac:dyDescent="0.35">
      <c r="A123" s="25"/>
      <c r="B123" s="25"/>
      <c r="C123" s="26"/>
      <c r="D123" s="27"/>
      <c r="E123" s="27"/>
      <c r="F123" s="26"/>
    </row>
    <row r="124" spans="1:6" s="6" customFormat="1" x14ac:dyDescent="0.35">
      <c r="A124" s="25"/>
      <c r="B124" s="25"/>
      <c r="C124" s="26"/>
      <c r="D124" s="27"/>
      <c r="E124" s="27"/>
      <c r="F124" s="26"/>
    </row>
    <row r="125" spans="1:6" s="6" customFormat="1" x14ac:dyDescent="0.35">
      <c r="A125" s="25"/>
      <c r="B125" s="25"/>
      <c r="C125" s="26"/>
      <c r="D125" s="27"/>
      <c r="E125" s="27"/>
      <c r="F125" s="26"/>
    </row>
    <row r="126" spans="1:6" s="5" customFormat="1" x14ac:dyDescent="0.35">
      <c r="A126" s="25"/>
      <c r="B126" s="25"/>
      <c r="C126" s="26"/>
      <c r="D126" s="27"/>
      <c r="E126" s="27"/>
      <c r="F126" s="26"/>
    </row>
    <row r="127" spans="1:6" s="5" customFormat="1" x14ac:dyDescent="0.35">
      <c r="A127" s="25"/>
      <c r="B127" s="25"/>
      <c r="C127" s="26"/>
      <c r="D127" s="27"/>
      <c r="E127" s="27"/>
      <c r="F127" s="26"/>
    </row>
    <row r="128" spans="1:6" s="5" customFormat="1" x14ac:dyDescent="0.35">
      <c r="A128" s="25"/>
      <c r="B128" s="25"/>
      <c r="C128" s="26"/>
      <c r="D128" s="27"/>
      <c r="E128" s="27"/>
      <c r="F128" s="26"/>
    </row>
    <row r="129" spans="1:6" s="5" customFormat="1" x14ac:dyDescent="0.35">
      <c r="A129" s="25"/>
      <c r="B129" s="25"/>
      <c r="C129" s="26"/>
      <c r="D129" s="27"/>
      <c r="E129" s="27"/>
      <c r="F129" s="26"/>
    </row>
    <row r="130" spans="1:6" s="5" customFormat="1" x14ac:dyDescent="0.35">
      <c r="A130" s="25"/>
      <c r="B130" s="25"/>
      <c r="C130" s="26"/>
      <c r="D130" s="27"/>
      <c r="E130" s="27"/>
      <c r="F130" s="26"/>
    </row>
    <row r="131" spans="1:6" s="5" customFormat="1" x14ac:dyDescent="0.35">
      <c r="A131" s="25"/>
      <c r="B131" s="25"/>
      <c r="C131" s="26"/>
      <c r="D131" s="27"/>
      <c r="E131" s="27"/>
      <c r="F131" s="26"/>
    </row>
    <row r="132" spans="1:6" s="5" customFormat="1" x14ac:dyDescent="0.35">
      <c r="A132" s="25"/>
      <c r="B132" s="25"/>
      <c r="C132" s="26"/>
      <c r="D132" s="27"/>
      <c r="E132" s="27"/>
      <c r="F132" s="26"/>
    </row>
    <row r="133" spans="1:6" s="5" customFormat="1" x14ac:dyDescent="0.35">
      <c r="A133" s="25"/>
      <c r="B133" s="25"/>
      <c r="C133" s="26"/>
      <c r="D133" s="27"/>
      <c r="E133" s="27"/>
      <c r="F133" s="26"/>
    </row>
    <row r="134" spans="1:6" s="5" customFormat="1" x14ac:dyDescent="0.35">
      <c r="A134" s="25"/>
      <c r="B134" s="25"/>
      <c r="C134" s="26"/>
      <c r="D134" s="27"/>
      <c r="E134" s="27"/>
      <c r="F134" s="26"/>
    </row>
    <row r="135" spans="1:6" s="5" customFormat="1" x14ac:dyDescent="0.35">
      <c r="A135" s="25"/>
      <c r="B135" s="25"/>
      <c r="C135" s="26"/>
      <c r="D135" s="27"/>
      <c r="E135" s="27"/>
      <c r="F135" s="26"/>
    </row>
    <row r="136" spans="1:6" s="5" customFormat="1" x14ac:dyDescent="0.35">
      <c r="A136" s="25"/>
      <c r="B136" s="25"/>
      <c r="C136" s="26"/>
      <c r="D136" s="27"/>
      <c r="E136" s="27"/>
      <c r="F136" s="26"/>
    </row>
    <row r="137" spans="1:6" s="5" customFormat="1" x14ac:dyDescent="0.35">
      <c r="A137" s="25"/>
      <c r="B137" s="25"/>
      <c r="C137" s="26"/>
      <c r="D137" s="27"/>
      <c r="E137" s="27"/>
      <c r="F137" s="26"/>
    </row>
    <row r="138" spans="1:6" s="5" customFormat="1" x14ac:dyDescent="0.35">
      <c r="A138" s="25"/>
      <c r="B138" s="25"/>
      <c r="C138" s="26"/>
      <c r="D138" s="27"/>
      <c r="E138" s="27"/>
      <c r="F138" s="26"/>
    </row>
    <row r="139" spans="1:6" s="5" customFormat="1" x14ac:dyDescent="0.35">
      <c r="A139" s="25"/>
      <c r="B139" s="25"/>
      <c r="C139" s="26"/>
      <c r="D139" s="27"/>
      <c r="E139" s="27"/>
      <c r="F139" s="26"/>
    </row>
    <row r="140" spans="1:6" s="5" customFormat="1"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17"/>
      <c r="B170" s="17"/>
      <c r="C170" s="17"/>
      <c r="D170" s="16"/>
      <c r="E170" s="16"/>
      <c r="F170" s="16"/>
    </row>
    <row r="171" spans="1:6" x14ac:dyDescent="0.35">
      <c r="A171" s="17"/>
      <c r="B171" s="17"/>
      <c r="C171" s="17"/>
      <c r="D171" s="16"/>
      <c r="E171" s="16"/>
      <c r="F171" s="16"/>
    </row>
    <row r="172" spans="1:6" x14ac:dyDescent="0.35">
      <c r="A172" s="17"/>
      <c r="B172" s="17"/>
      <c r="C172" s="17"/>
      <c r="D172" s="16"/>
      <c r="E172" s="16"/>
      <c r="F172" s="16"/>
    </row>
    <row r="173" spans="1:6" x14ac:dyDescent="0.35">
      <c r="A173" s="17"/>
      <c r="B173" s="17"/>
      <c r="C173" s="17"/>
      <c r="D173" s="16"/>
      <c r="E173" s="16"/>
      <c r="F173" s="16"/>
    </row>
    <row r="174" spans="1:6" x14ac:dyDescent="0.35">
      <c r="A174" s="17"/>
      <c r="B174" s="17"/>
      <c r="C174" s="17"/>
      <c r="D174" s="16"/>
      <c r="E174" s="16"/>
      <c r="F174" s="16"/>
    </row>
    <row r="175" spans="1:6" x14ac:dyDescent="0.35">
      <c r="A175" s="19"/>
      <c r="B175" s="19"/>
      <c r="C175" s="19"/>
      <c r="D175" s="20"/>
      <c r="E175" s="20"/>
      <c r="F175" s="20"/>
    </row>
    <row r="176" spans="1:6" x14ac:dyDescent="0.35">
      <c r="A176" s="19"/>
      <c r="B176" s="19"/>
      <c r="C176" s="19"/>
      <c r="D176" s="20"/>
      <c r="E176" s="20"/>
      <c r="F176" s="20"/>
    </row>
    <row r="177" spans="1:6" x14ac:dyDescent="0.35">
      <c r="A177" s="19"/>
      <c r="B177" s="19"/>
      <c r="C177" s="19"/>
      <c r="D177" s="20"/>
      <c r="E177" s="20"/>
      <c r="F177" s="20"/>
    </row>
    <row r="178" spans="1:6" x14ac:dyDescent="0.35">
      <c r="A178" s="19"/>
      <c r="B178" s="19"/>
      <c r="C178" s="19"/>
      <c r="D178" s="20"/>
      <c r="E178" s="20"/>
      <c r="F178" s="20"/>
    </row>
    <row r="179" spans="1:6" x14ac:dyDescent="0.35">
      <c r="A179" s="19"/>
      <c r="B179" s="19"/>
      <c r="C179" s="19"/>
      <c r="D179" s="20"/>
      <c r="E179" s="20"/>
      <c r="F179" s="20"/>
    </row>
    <row r="180" spans="1:6" x14ac:dyDescent="0.35">
      <c r="A180" s="19"/>
      <c r="B180" s="19"/>
      <c r="C180" s="19"/>
      <c r="D180" s="20"/>
      <c r="E180" s="20"/>
      <c r="F180" s="20"/>
    </row>
  </sheetData>
  <autoFilter ref="A2:F178" xr:uid="{2C771D35-AF12-4691-B1F6-9CE13ED007CF}">
    <sortState xmlns:xlrd2="http://schemas.microsoft.com/office/spreadsheetml/2017/richdata2" ref="A3:F178">
      <sortCondition ref="A2:A178"/>
    </sortState>
  </autoFilter>
  <mergeCells count="1">
    <mergeCell ref="A1:F1"/>
  </mergeCells>
  <conditionalFormatting sqref="A110:F169">
    <cfRule type="expression" dxfId="8" priority="2">
      <formula>$J110="Over 12 hours"</formula>
    </cfRule>
  </conditionalFormatting>
  <conditionalFormatting sqref="A3:F109">
    <cfRule type="expression" dxfId="2"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229"/>
  <sheetViews>
    <sheetView zoomScaleNormal="100" workbookViewId="0">
      <pane ySplit="1" topLeftCell="A2" activePane="bottomLeft" state="frozenSplit"/>
      <selection sqref="A1:F1"/>
      <selection pane="bottomLeft" activeCell="C8" sqref="C8"/>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5" t="str">
        <f>"Daily closure report: "&amp;'Front page'!A7</f>
        <v>Daily closure report: Monday, 24 August</v>
      </c>
      <c r="B1" s="35"/>
      <c r="C1" s="35"/>
      <c r="D1" s="35"/>
      <c r="E1" s="35"/>
      <c r="F1" s="35"/>
    </row>
    <row r="2" spans="1:6" s="12" customFormat="1" ht="28" x14ac:dyDescent="0.35">
      <c r="A2" s="12" t="s">
        <v>9</v>
      </c>
      <c r="B2" s="12" t="s">
        <v>1</v>
      </c>
      <c r="C2" s="12" t="s">
        <v>0</v>
      </c>
      <c r="D2" s="12" t="s">
        <v>11</v>
      </c>
      <c r="E2" s="12" t="s">
        <v>12</v>
      </c>
      <c r="F2" s="12" t="s">
        <v>10</v>
      </c>
    </row>
    <row r="3" spans="1:6" s="6" customFormat="1" ht="62" x14ac:dyDescent="0.35">
      <c r="A3" s="25" t="s">
        <v>24</v>
      </c>
      <c r="B3" s="25" t="s">
        <v>2</v>
      </c>
      <c r="C3" s="26" t="s">
        <v>25</v>
      </c>
      <c r="D3" s="27">
        <v>46258.875</v>
      </c>
      <c r="E3" s="27">
        <v>46259.208333333299</v>
      </c>
      <c r="F3" s="26" t="s">
        <v>26</v>
      </c>
    </row>
    <row r="4" spans="1:6" s="6" customFormat="1" ht="77.5" x14ac:dyDescent="0.35">
      <c r="A4" s="25" t="s">
        <v>24</v>
      </c>
      <c r="B4" s="25" t="s">
        <v>2</v>
      </c>
      <c r="C4" s="26" t="s">
        <v>34</v>
      </c>
      <c r="D4" s="27">
        <v>46258.833333333299</v>
      </c>
      <c r="E4" s="27">
        <v>46259.25</v>
      </c>
      <c r="F4" s="26" t="s">
        <v>35</v>
      </c>
    </row>
    <row r="5" spans="1:6" s="6" customFormat="1" ht="77.5" x14ac:dyDescent="0.35">
      <c r="A5" s="25" t="s">
        <v>24</v>
      </c>
      <c r="B5" s="25" t="s">
        <v>44</v>
      </c>
      <c r="C5" s="26" t="s">
        <v>45</v>
      </c>
      <c r="D5" s="27">
        <v>45847.208333333299</v>
      </c>
      <c r="E5" s="27">
        <v>46507.999305555597</v>
      </c>
      <c r="F5" s="26" t="s">
        <v>46</v>
      </c>
    </row>
    <row r="6" spans="1:6" s="6" customFormat="1" ht="77.5" x14ac:dyDescent="0.35">
      <c r="A6" s="25" t="s">
        <v>24</v>
      </c>
      <c r="B6" s="25" t="s">
        <v>6</v>
      </c>
      <c r="C6" s="26" t="s">
        <v>97</v>
      </c>
      <c r="D6" s="27">
        <v>46258.833333333299</v>
      </c>
      <c r="E6" s="27">
        <v>46259.25</v>
      </c>
      <c r="F6" s="26" t="s">
        <v>98</v>
      </c>
    </row>
    <row r="7" spans="1:6" s="6" customFormat="1" ht="62" x14ac:dyDescent="0.35">
      <c r="A7" s="25" t="s">
        <v>24</v>
      </c>
      <c r="B7" s="25" t="s">
        <v>6</v>
      </c>
      <c r="C7" s="26" t="s">
        <v>99</v>
      </c>
      <c r="D7" s="27">
        <v>46258.833333333299</v>
      </c>
      <c r="E7" s="27">
        <v>46259.25</v>
      </c>
      <c r="F7" s="26" t="s">
        <v>98</v>
      </c>
    </row>
    <row r="8" spans="1:6" s="6" customFormat="1" ht="62" x14ac:dyDescent="0.35">
      <c r="A8" s="25" t="s">
        <v>24</v>
      </c>
      <c r="B8" s="25" t="s">
        <v>6</v>
      </c>
      <c r="C8" s="26" t="s">
        <v>100</v>
      </c>
      <c r="D8" s="27">
        <v>46258.833333333299</v>
      </c>
      <c r="E8" s="27">
        <v>46259.25</v>
      </c>
      <c r="F8" s="26" t="s">
        <v>98</v>
      </c>
    </row>
    <row r="9" spans="1:6" s="6" customFormat="1" ht="46.5" x14ac:dyDescent="0.35">
      <c r="A9" s="25" t="s">
        <v>24</v>
      </c>
      <c r="B9" s="25" t="s">
        <v>6</v>
      </c>
      <c r="C9" s="26" t="s">
        <v>101</v>
      </c>
      <c r="D9" s="27">
        <v>46258.833333333299</v>
      </c>
      <c r="E9" s="27">
        <v>46259.25</v>
      </c>
      <c r="F9" s="26" t="s">
        <v>98</v>
      </c>
    </row>
    <row r="10" spans="1:6" s="6" customFormat="1" ht="46.5" x14ac:dyDescent="0.35">
      <c r="A10" s="25" t="s">
        <v>24</v>
      </c>
      <c r="B10" s="25" t="s">
        <v>6</v>
      </c>
      <c r="C10" s="26" t="s">
        <v>102</v>
      </c>
      <c r="D10" s="27">
        <v>46258.833333333299</v>
      </c>
      <c r="E10" s="27">
        <v>46259.25</v>
      </c>
      <c r="F10" s="26" t="s">
        <v>98</v>
      </c>
    </row>
    <row r="11" spans="1:6" s="6" customFormat="1" ht="77.5" x14ac:dyDescent="0.35">
      <c r="A11" s="25" t="s">
        <v>24</v>
      </c>
      <c r="B11" s="25" t="s">
        <v>6</v>
      </c>
      <c r="C11" s="26" t="s">
        <v>103</v>
      </c>
      <c r="D11" s="27">
        <v>46258.833333333299</v>
      </c>
      <c r="E11" s="27">
        <v>46259.25</v>
      </c>
      <c r="F11" s="26" t="s">
        <v>98</v>
      </c>
    </row>
    <row r="12" spans="1:6" s="6" customFormat="1" ht="62" x14ac:dyDescent="0.35">
      <c r="A12" s="25" t="s">
        <v>24</v>
      </c>
      <c r="B12" s="25" t="s">
        <v>2</v>
      </c>
      <c r="C12" s="26" t="s">
        <v>557</v>
      </c>
      <c r="D12" s="27">
        <v>46258.833333333299</v>
      </c>
      <c r="E12" s="27">
        <v>46259.25</v>
      </c>
      <c r="F12" s="26" t="s">
        <v>558</v>
      </c>
    </row>
    <row r="13" spans="1:6" s="6" customFormat="1" ht="62" x14ac:dyDescent="0.35">
      <c r="A13" s="25" t="s">
        <v>24</v>
      </c>
      <c r="B13" s="25" t="s">
        <v>2</v>
      </c>
      <c r="C13" s="26" t="s">
        <v>559</v>
      </c>
      <c r="D13" s="27">
        <v>46258.833333333299</v>
      </c>
      <c r="E13" s="27">
        <v>46259.25</v>
      </c>
      <c r="F13" s="26" t="s">
        <v>558</v>
      </c>
    </row>
    <row r="14" spans="1:6" s="6" customFormat="1" ht="62" x14ac:dyDescent="0.35">
      <c r="A14" s="25" t="s">
        <v>24</v>
      </c>
      <c r="B14" s="25" t="s">
        <v>6</v>
      </c>
      <c r="C14" s="26" t="s">
        <v>570</v>
      </c>
      <c r="D14" s="27">
        <v>46258.833333333299</v>
      </c>
      <c r="E14" s="27">
        <v>46259.25</v>
      </c>
      <c r="F14" s="26" t="s">
        <v>571</v>
      </c>
    </row>
    <row r="15" spans="1:6" s="6" customFormat="1" ht="62" x14ac:dyDescent="0.35">
      <c r="A15" s="25" t="s">
        <v>47</v>
      </c>
      <c r="B15" s="25" t="s">
        <v>2</v>
      </c>
      <c r="C15" s="26" t="s">
        <v>48</v>
      </c>
      <c r="D15" s="27">
        <v>46258.875</v>
      </c>
      <c r="E15" s="27">
        <v>46259.208333333299</v>
      </c>
      <c r="F15" s="26" t="s">
        <v>49</v>
      </c>
    </row>
    <row r="16" spans="1:6" s="6" customFormat="1" ht="62" x14ac:dyDescent="0.35">
      <c r="A16" s="25" t="s">
        <v>47</v>
      </c>
      <c r="B16" s="25" t="s">
        <v>6</v>
      </c>
      <c r="C16" s="26" t="s">
        <v>566</v>
      </c>
      <c r="D16" s="27">
        <v>46258.875</v>
      </c>
      <c r="E16" s="27">
        <v>46259.25</v>
      </c>
      <c r="F16" s="26" t="s">
        <v>564</v>
      </c>
    </row>
    <row r="17" spans="1:6" s="6" customFormat="1" ht="46.5" x14ac:dyDescent="0.35">
      <c r="A17" s="25" t="s">
        <v>47</v>
      </c>
      <c r="B17" s="25" t="s">
        <v>2</v>
      </c>
      <c r="C17" s="26" t="s">
        <v>166</v>
      </c>
      <c r="D17" s="27">
        <v>46258.833333333299</v>
      </c>
      <c r="E17" s="27">
        <v>46259.25</v>
      </c>
      <c r="F17" s="26" t="s">
        <v>165</v>
      </c>
    </row>
    <row r="18" spans="1:6" s="6" customFormat="1" ht="46.5" x14ac:dyDescent="0.35">
      <c r="A18" s="25" t="s">
        <v>47</v>
      </c>
      <c r="B18" s="25" t="s">
        <v>2</v>
      </c>
      <c r="C18" s="26" t="s">
        <v>167</v>
      </c>
      <c r="D18" s="27">
        <v>46258.833333333299</v>
      </c>
      <c r="E18" s="27">
        <v>46259.25</v>
      </c>
      <c r="F18" s="26" t="s">
        <v>165</v>
      </c>
    </row>
    <row r="19" spans="1:6" s="6" customFormat="1" ht="46.5" x14ac:dyDescent="0.35">
      <c r="A19" s="25" t="s">
        <v>47</v>
      </c>
      <c r="B19" s="25" t="s">
        <v>2</v>
      </c>
      <c r="C19" s="26" t="s">
        <v>569</v>
      </c>
      <c r="D19" s="27">
        <v>46258.833333333299</v>
      </c>
      <c r="E19" s="27">
        <v>46259.25</v>
      </c>
      <c r="F19" s="26" t="s">
        <v>165</v>
      </c>
    </row>
    <row r="20" spans="1:6" s="6" customFormat="1" ht="62" x14ac:dyDescent="0.35">
      <c r="A20" s="25" t="s">
        <v>47</v>
      </c>
      <c r="B20" s="25" t="s">
        <v>2</v>
      </c>
      <c r="C20" s="26" t="s">
        <v>704</v>
      </c>
      <c r="D20" s="27">
        <v>46258.916666666701</v>
      </c>
      <c r="E20" s="27">
        <v>46259.229166666701</v>
      </c>
      <c r="F20" s="26" t="s">
        <v>705</v>
      </c>
    </row>
    <row r="21" spans="1:6" s="6" customFormat="1" ht="62" x14ac:dyDescent="0.35">
      <c r="A21" s="25" t="s">
        <v>339</v>
      </c>
      <c r="B21" s="25" t="s">
        <v>6</v>
      </c>
      <c r="C21" s="26" t="s">
        <v>340</v>
      </c>
      <c r="D21" s="27">
        <v>46258.833333333299</v>
      </c>
      <c r="E21" s="27">
        <v>46259.166666666701</v>
      </c>
      <c r="F21" s="26" t="s">
        <v>341</v>
      </c>
    </row>
    <row r="22" spans="1:6" s="6" customFormat="1" ht="46.5" x14ac:dyDescent="0.35">
      <c r="A22" s="25" t="s">
        <v>17</v>
      </c>
      <c r="B22" s="25" t="s">
        <v>6</v>
      </c>
      <c r="C22" s="26" t="s">
        <v>18</v>
      </c>
      <c r="D22" s="27">
        <v>46258.875</v>
      </c>
      <c r="E22" s="27">
        <v>46259.208333333299</v>
      </c>
      <c r="F22" s="26" t="s">
        <v>19</v>
      </c>
    </row>
    <row r="23" spans="1:6" s="6" customFormat="1" ht="46.5" x14ac:dyDescent="0.35">
      <c r="A23" s="25" t="s">
        <v>17</v>
      </c>
      <c r="B23" s="25" t="s">
        <v>2</v>
      </c>
      <c r="C23" s="26" t="s">
        <v>30</v>
      </c>
      <c r="D23" s="27">
        <v>46258.875</v>
      </c>
      <c r="E23" s="27">
        <v>46259.208333333299</v>
      </c>
      <c r="F23" s="26" t="s">
        <v>31</v>
      </c>
    </row>
    <row r="24" spans="1:6" s="6" customFormat="1" ht="62" x14ac:dyDescent="0.35">
      <c r="A24" s="25" t="s">
        <v>38</v>
      </c>
      <c r="B24" s="25" t="s">
        <v>4</v>
      </c>
      <c r="C24" s="26" t="s">
        <v>517</v>
      </c>
      <c r="D24" s="27">
        <v>46258.875</v>
      </c>
      <c r="E24" s="27">
        <v>46259.208333333299</v>
      </c>
      <c r="F24" s="26" t="s">
        <v>518</v>
      </c>
    </row>
    <row r="25" spans="1:6" s="6" customFormat="1" ht="62" x14ac:dyDescent="0.35">
      <c r="A25" s="25" t="s">
        <v>38</v>
      </c>
      <c r="B25" s="25" t="s">
        <v>5</v>
      </c>
      <c r="C25" s="26" t="s">
        <v>41</v>
      </c>
      <c r="D25" s="27">
        <v>46258.833333333299</v>
      </c>
      <c r="E25" s="27">
        <v>46259.25</v>
      </c>
      <c r="F25" s="26" t="s">
        <v>42</v>
      </c>
    </row>
    <row r="26" spans="1:6" s="6" customFormat="1" ht="62" x14ac:dyDescent="0.35">
      <c r="A26" s="25" t="s">
        <v>38</v>
      </c>
      <c r="B26" s="25" t="s">
        <v>5</v>
      </c>
      <c r="C26" s="26" t="s">
        <v>43</v>
      </c>
      <c r="D26" s="27">
        <v>46258.833333333299</v>
      </c>
      <c r="E26" s="27">
        <v>46259.25</v>
      </c>
      <c r="F26" s="26" t="s">
        <v>42</v>
      </c>
    </row>
    <row r="27" spans="1:6" s="6" customFormat="1" ht="62" x14ac:dyDescent="0.35">
      <c r="A27" s="25" t="s">
        <v>38</v>
      </c>
      <c r="B27" s="25" t="s">
        <v>5</v>
      </c>
      <c r="C27" s="26" t="s">
        <v>50</v>
      </c>
      <c r="D27" s="27">
        <v>46258.833333333299</v>
      </c>
      <c r="E27" s="27">
        <v>46259.25</v>
      </c>
      <c r="F27" s="26" t="s">
        <v>51</v>
      </c>
    </row>
    <row r="28" spans="1:6" s="6" customFormat="1" ht="62" x14ac:dyDescent="0.35">
      <c r="A28" s="25" t="s">
        <v>38</v>
      </c>
      <c r="B28" s="25" t="s">
        <v>4</v>
      </c>
      <c r="C28" s="26" t="s">
        <v>52</v>
      </c>
      <c r="D28" s="27">
        <v>46258.833333333299</v>
      </c>
      <c r="E28" s="27">
        <v>46259.25</v>
      </c>
      <c r="F28" s="26" t="s">
        <v>51</v>
      </c>
    </row>
    <row r="29" spans="1:6" s="6" customFormat="1" ht="62" x14ac:dyDescent="0.35">
      <c r="A29" s="25" t="s">
        <v>38</v>
      </c>
      <c r="B29" s="25" t="s">
        <v>5</v>
      </c>
      <c r="C29" s="26" t="s">
        <v>78</v>
      </c>
      <c r="D29" s="27">
        <v>46258.541666666701</v>
      </c>
      <c r="E29" s="27">
        <v>46262.25</v>
      </c>
      <c r="F29" s="26" t="s">
        <v>79</v>
      </c>
    </row>
    <row r="30" spans="1:6" s="6" customFormat="1" ht="62" x14ac:dyDescent="0.35">
      <c r="A30" s="25" t="s">
        <v>38</v>
      </c>
      <c r="B30" s="25" t="s">
        <v>5</v>
      </c>
      <c r="C30" s="26" t="s">
        <v>80</v>
      </c>
      <c r="D30" s="27">
        <v>46258.833333333299</v>
      </c>
      <c r="E30" s="27">
        <v>46259.25</v>
      </c>
      <c r="F30" s="26" t="s">
        <v>79</v>
      </c>
    </row>
    <row r="31" spans="1:6" s="6" customFormat="1" ht="77.5" x14ac:dyDescent="0.35">
      <c r="A31" s="25" t="s">
        <v>38</v>
      </c>
      <c r="B31" s="25" t="s">
        <v>5</v>
      </c>
      <c r="C31" s="26" t="s">
        <v>81</v>
      </c>
      <c r="D31" s="27">
        <v>46258.833333333299</v>
      </c>
      <c r="E31" s="27">
        <v>46259.25</v>
      </c>
      <c r="F31" s="26" t="s">
        <v>79</v>
      </c>
    </row>
    <row r="32" spans="1:6" s="6" customFormat="1" ht="77.5" x14ac:dyDescent="0.35">
      <c r="A32" s="25" t="s">
        <v>38</v>
      </c>
      <c r="B32" s="25" t="s">
        <v>5</v>
      </c>
      <c r="C32" s="26" t="s">
        <v>82</v>
      </c>
      <c r="D32" s="27">
        <v>46258.833333333299</v>
      </c>
      <c r="E32" s="27">
        <v>46259.25</v>
      </c>
      <c r="F32" s="26" t="s">
        <v>79</v>
      </c>
    </row>
    <row r="33" spans="1:6" s="6" customFormat="1" ht="77.5" x14ac:dyDescent="0.35">
      <c r="A33" s="25" t="s">
        <v>38</v>
      </c>
      <c r="B33" s="25" t="s">
        <v>5</v>
      </c>
      <c r="C33" s="26" t="s">
        <v>83</v>
      </c>
      <c r="D33" s="27">
        <v>46258.833333333299</v>
      </c>
      <c r="E33" s="27">
        <v>46259.25</v>
      </c>
      <c r="F33" s="26" t="s">
        <v>79</v>
      </c>
    </row>
    <row r="34" spans="1:6" s="6" customFormat="1" ht="77.5" x14ac:dyDescent="0.35">
      <c r="A34" s="25" t="s">
        <v>38</v>
      </c>
      <c r="B34" s="25" t="s">
        <v>5</v>
      </c>
      <c r="C34" s="26" t="s">
        <v>84</v>
      </c>
      <c r="D34" s="27">
        <v>46258.833333333299</v>
      </c>
      <c r="E34" s="27">
        <v>46259.25</v>
      </c>
      <c r="F34" s="26" t="s">
        <v>79</v>
      </c>
    </row>
    <row r="35" spans="1:6" s="6" customFormat="1" ht="77.5" x14ac:dyDescent="0.35">
      <c r="A35" s="25" t="s">
        <v>38</v>
      </c>
      <c r="B35" s="25" t="s">
        <v>5</v>
      </c>
      <c r="C35" s="26" t="s">
        <v>85</v>
      </c>
      <c r="D35" s="27">
        <v>46258.833333333299</v>
      </c>
      <c r="E35" s="27">
        <v>46259.25</v>
      </c>
      <c r="F35" s="26" t="s">
        <v>79</v>
      </c>
    </row>
    <row r="36" spans="1:6" s="6" customFormat="1" ht="77.5" x14ac:dyDescent="0.35">
      <c r="A36" s="25" t="s">
        <v>38</v>
      </c>
      <c r="B36" s="25" t="s">
        <v>5</v>
      </c>
      <c r="C36" s="26" t="s">
        <v>86</v>
      </c>
      <c r="D36" s="27">
        <v>46258.833333333299</v>
      </c>
      <c r="E36" s="27">
        <v>46259.25</v>
      </c>
      <c r="F36" s="26" t="s">
        <v>79</v>
      </c>
    </row>
    <row r="37" spans="1:6" s="6" customFormat="1" ht="93" x14ac:dyDescent="0.35">
      <c r="A37" s="25" t="s">
        <v>184</v>
      </c>
      <c r="B37" s="25" t="s">
        <v>2</v>
      </c>
      <c r="C37" s="26" t="s">
        <v>663</v>
      </c>
      <c r="D37" s="27">
        <v>46258.833333333299</v>
      </c>
      <c r="E37" s="27">
        <v>46259.25</v>
      </c>
      <c r="F37" s="26" t="s">
        <v>664</v>
      </c>
    </row>
    <row r="38" spans="1:6" s="6" customFormat="1" ht="46.5" x14ac:dyDescent="0.35">
      <c r="A38" s="25" t="s">
        <v>184</v>
      </c>
      <c r="B38" s="25" t="s">
        <v>6</v>
      </c>
      <c r="C38" s="26" t="s">
        <v>665</v>
      </c>
      <c r="D38" s="27">
        <v>46258.833333333299</v>
      </c>
      <c r="E38" s="27">
        <v>46259.25</v>
      </c>
      <c r="F38" s="26" t="s">
        <v>664</v>
      </c>
    </row>
    <row r="39" spans="1:6" s="6" customFormat="1" ht="46.5" x14ac:dyDescent="0.35">
      <c r="A39" s="25" t="s">
        <v>184</v>
      </c>
      <c r="B39" s="25" t="s">
        <v>6</v>
      </c>
      <c r="C39" s="26" t="s">
        <v>185</v>
      </c>
      <c r="D39" s="27">
        <v>46258.833333333299</v>
      </c>
      <c r="E39" s="27">
        <v>46259.25</v>
      </c>
      <c r="F39" s="26" t="s">
        <v>186</v>
      </c>
    </row>
    <row r="40" spans="1:6" s="6" customFormat="1" ht="93" x14ac:dyDescent="0.35">
      <c r="A40" s="25" t="s">
        <v>184</v>
      </c>
      <c r="B40" s="25" t="s">
        <v>2</v>
      </c>
      <c r="C40" s="26" t="s">
        <v>187</v>
      </c>
      <c r="D40" s="27">
        <v>46258.833333333299</v>
      </c>
      <c r="E40" s="27">
        <v>46259.25</v>
      </c>
      <c r="F40" s="26" t="s">
        <v>186</v>
      </c>
    </row>
    <row r="41" spans="1:6" s="6" customFormat="1" ht="93" x14ac:dyDescent="0.35">
      <c r="A41" s="25" t="s">
        <v>184</v>
      </c>
      <c r="B41" s="25" t="s">
        <v>6</v>
      </c>
      <c r="C41" s="26" t="s">
        <v>188</v>
      </c>
      <c r="D41" s="27">
        <v>46258.833333333299</v>
      </c>
      <c r="E41" s="27">
        <v>46259.25</v>
      </c>
      <c r="F41" s="26" t="s">
        <v>189</v>
      </c>
    </row>
    <row r="42" spans="1:6" s="6" customFormat="1" ht="93" x14ac:dyDescent="0.35">
      <c r="A42" s="25" t="s">
        <v>184</v>
      </c>
      <c r="B42" s="25" t="s">
        <v>2</v>
      </c>
      <c r="C42" s="26" t="s">
        <v>190</v>
      </c>
      <c r="D42" s="27">
        <v>46258.833333333299</v>
      </c>
      <c r="E42" s="27">
        <v>46259.25</v>
      </c>
      <c r="F42" s="26" t="s">
        <v>191</v>
      </c>
    </row>
    <row r="43" spans="1:6" s="6" customFormat="1" ht="77.5" x14ac:dyDescent="0.35">
      <c r="A43" s="25" t="s">
        <v>658</v>
      </c>
      <c r="B43" s="25" t="s">
        <v>2</v>
      </c>
      <c r="C43" s="26" t="s">
        <v>659</v>
      </c>
      <c r="D43" s="27">
        <v>46258.833333333299</v>
      </c>
      <c r="E43" s="27">
        <v>46259.25</v>
      </c>
      <c r="F43" s="26" t="s">
        <v>660</v>
      </c>
    </row>
    <row r="44" spans="1:6" s="6" customFormat="1" ht="77.5" x14ac:dyDescent="0.35">
      <c r="A44" s="25" t="s">
        <v>297</v>
      </c>
      <c r="B44" s="25" t="s">
        <v>5</v>
      </c>
      <c r="C44" s="26" t="s">
        <v>298</v>
      </c>
      <c r="D44" s="27">
        <v>46258.833333333299</v>
      </c>
      <c r="E44" s="27">
        <v>46259.25</v>
      </c>
      <c r="F44" s="26" t="s">
        <v>299</v>
      </c>
    </row>
    <row r="45" spans="1:6" s="6" customFormat="1" ht="77.5" x14ac:dyDescent="0.35">
      <c r="A45" s="25" t="s">
        <v>297</v>
      </c>
      <c r="B45" s="25" t="s">
        <v>5</v>
      </c>
      <c r="C45" s="26" t="s">
        <v>610</v>
      </c>
      <c r="D45" s="27">
        <v>46258.916666666701</v>
      </c>
      <c r="E45" s="27">
        <v>46259.229166666701</v>
      </c>
      <c r="F45" s="26" t="s">
        <v>334</v>
      </c>
    </row>
    <row r="46" spans="1:6" s="6" customFormat="1" ht="77.5" x14ac:dyDescent="0.35">
      <c r="A46" s="25" t="s">
        <v>606</v>
      </c>
      <c r="B46" s="25" t="s">
        <v>44</v>
      </c>
      <c r="C46" s="26" t="s">
        <v>607</v>
      </c>
      <c r="D46" s="27">
        <v>46258.916666666701</v>
      </c>
      <c r="E46" s="27">
        <v>46259.229166666701</v>
      </c>
      <c r="F46" s="26" t="s">
        <v>608</v>
      </c>
    </row>
    <row r="47" spans="1:6" s="6" customFormat="1" ht="93" x14ac:dyDescent="0.35">
      <c r="A47" s="25" t="s">
        <v>606</v>
      </c>
      <c r="B47" s="25" t="s">
        <v>44</v>
      </c>
      <c r="C47" s="26" t="s">
        <v>609</v>
      </c>
      <c r="D47" s="27">
        <v>46258.916666666701</v>
      </c>
      <c r="E47" s="27">
        <v>46259.229166666701</v>
      </c>
      <c r="F47" s="26" t="s">
        <v>608</v>
      </c>
    </row>
    <row r="48" spans="1:6" s="6" customFormat="1" ht="77.5" x14ac:dyDescent="0.35">
      <c r="A48" s="25" t="s">
        <v>294</v>
      </c>
      <c r="B48" s="25" t="s">
        <v>44</v>
      </c>
      <c r="C48" s="26" t="s">
        <v>295</v>
      </c>
      <c r="D48" s="27">
        <v>46258.833333333299</v>
      </c>
      <c r="E48" s="27">
        <v>46259.25</v>
      </c>
      <c r="F48" s="26" t="s">
        <v>296</v>
      </c>
    </row>
    <row r="49" spans="1:6" s="6" customFormat="1" ht="93" x14ac:dyDescent="0.35">
      <c r="A49" s="25" t="s">
        <v>294</v>
      </c>
      <c r="B49" s="25" t="s">
        <v>2</v>
      </c>
      <c r="C49" s="26" t="s">
        <v>694</v>
      </c>
      <c r="D49" s="27">
        <v>46258.833333333299</v>
      </c>
      <c r="E49" s="27">
        <v>46259.25</v>
      </c>
      <c r="F49" s="26" t="s">
        <v>695</v>
      </c>
    </row>
    <row r="50" spans="1:6" s="6" customFormat="1" ht="93" x14ac:dyDescent="0.35">
      <c r="A50" s="25" t="s">
        <v>310</v>
      </c>
      <c r="B50" s="25" t="s">
        <v>2</v>
      </c>
      <c r="C50" s="26" t="s">
        <v>311</v>
      </c>
      <c r="D50" s="27">
        <v>46258.833333333299</v>
      </c>
      <c r="E50" s="27">
        <v>46259.25</v>
      </c>
      <c r="F50" s="26" t="s">
        <v>312</v>
      </c>
    </row>
    <row r="51" spans="1:6" s="6" customFormat="1" ht="93" x14ac:dyDescent="0.35">
      <c r="A51" s="25" t="s">
        <v>307</v>
      </c>
      <c r="B51" s="25" t="s">
        <v>5</v>
      </c>
      <c r="C51" s="26" t="s">
        <v>684</v>
      </c>
      <c r="D51" s="27">
        <v>46258.875</v>
      </c>
      <c r="E51" s="27">
        <v>46259.25</v>
      </c>
      <c r="F51" s="26" t="s">
        <v>476</v>
      </c>
    </row>
    <row r="52" spans="1:6" s="6" customFormat="1" ht="93" x14ac:dyDescent="0.35">
      <c r="A52" s="25" t="s">
        <v>307</v>
      </c>
      <c r="B52" s="25" t="s">
        <v>4</v>
      </c>
      <c r="C52" s="26" t="s">
        <v>308</v>
      </c>
      <c r="D52" s="27">
        <v>46258.833333333299</v>
      </c>
      <c r="E52" s="27">
        <v>46259.25</v>
      </c>
      <c r="F52" s="26" t="s">
        <v>309</v>
      </c>
    </row>
    <row r="53" spans="1:6" s="6" customFormat="1" ht="93" x14ac:dyDescent="0.35">
      <c r="A53" s="25" t="s">
        <v>271</v>
      </c>
      <c r="B53" s="25" t="s">
        <v>2</v>
      </c>
      <c r="C53" s="26" t="s">
        <v>272</v>
      </c>
      <c r="D53" s="27">
        <v>46258.875</v>
      </c>
      <c r="E53" s="27">
        <v>46259.25</v>
      </c>
      <c r="F53" s="26" t="s">
        <v>273</v>
      </c>
    </row>
    <row r="54" spans="1:6" s="6" customFormat="1" ht="93" x14ac:dyDescent="0.35">
      <c r="A54" s="25" t="s">
        <v>271</v>
      </c>
      <c r="B54" s="25" t="s">
        <v>6</v>
      </c>
      <c r="C54" s="26" t="s">
        <v>682</v>
      </c>
      <c r="D54" s="27">
        <v>46258.875</v>
      </c>
      <c r="E54" s="27">
        <v>46259.25</v>
      </c>
      <c r="F54" s="26" t="s">
        <v>595</v>
      </c>
    </row>
    <row r="55" spans="1:6" s="6" customFormat="1" ht="93" x14ac:dyDescent="0.35">
      <c r="A55" s="25" t="s">
        <v>271</v>
      </c>
      <c r="B55" s="25" t="s">
        <v>2</v>
      </c>
      <c r="C55" s="26" t="s">
        <v>683</v>
      </c>
      <c r="D55" s="27">
        <v>46258.875</v>
      </c>
      <c r="E55" s="27">
        <v>46259.25</v>
      </c>
      <c r="F55" s="26" t="s">
        <v>595</v>
      </c>
    </row>
    <row r="56" spans="1:6" s="6" customFormat="1" ht="93" x14ac:dyDescent="0.35">
      <c r="A56" s="25" t="s">
        <v>271</v>
      </c>
      <c r="B56" s="25" t="s">
        <v>2</v>
      </c>
      <c r="C56" s="26" t="s">
        <v>477</v>
      </c>
      <c r="D56" s="27">
        <v>46258.875</v>
      </c>
      <c r="E56" s="27">
        <v>46259.25</v>
      </c>
      <c r="F56" s="26" t="s">
        <v>478</v>
      </c>
    </row>
    <row r="57" spans="1:6" s="6" customFormat="1" ht="62" x14ac:dyDescent="0.35">
      <c r="A57" s="25" t="s">
        <v>271</v>
      </c>
      <c r="B57" s="25" t="s">
        <v>6</v>
      </c>
      <c r="C57" s="26" t="s">
        <v>479</v>
      </c>
      <c r="D57" s="27">
        <v>46258.875</v>
      </c>
      <c r="E57" s="27">
        <v>46259.25</v>
      </c>
      <c r="F57" s="26" t="s">
        <v>480</v>
      </c>
    </row>
    <row r="58" spans="1:6" s="6" customFormat="1" ht="77.5" x14ac:dyDescent="0.35">
      <c r="A58" s="25" t="s">
        <v>271</v>
      </c>
      <c r="B58" s="25" t="s">
        <v>44</v>
      </c>
      <c r="C58" s="26" t="s">
        <v>287</v>
      </c>
      <c r="D58" s="27">
        <v>46258.875</v>
      </c>
      <c r="E58" s="27">
        <v>46259.25</v>
      </c>
      <c r="F58" s="26" t="s">
        <v>288</v>
      </c>
    </row>
    <row r="59" spans="1:6" s="6" customFormat="1" ht="93" x14ac:dyDescent="0.35">
      <c r="A59" s="25" t="s">
        <v>271</v>
      </c>
      <c r="B59" s="25" t="s">
        <v>2</v>
      </c>
      <c r="C59" s="26" t="s">
        <v>335</v>
      </c>
      <c r="D59" s="27">
        <v>46258.916666666701</v>
      </c>
      <c r="E59" s="27">
        <v>46259.229166666701</v>
      </c>
      <c r="F59" s="26" t="s">
        <v>336</v>
      </c>
    </row>
    <row r="60" spans="1:6" s="6" customFormat="1" ht="93" x14ac:dyDescent="0.35">
      <c r="A60" s="25" t="s">
        <v>348</v>
      </c>
      <c r="B60" s="25" t="s">
        <v>5</v>
      </c>
      <c r="C60" s="26" t="s">
        <v>349</v>
      </c>
      <c r="D60" s="27">
        <v>46258.833333333299</v>
      </c>
      <c r="E60" s="27">
        <v>46259.25</v>
      </c>
      <c r="F60" s="26" t="s">
        <v>350</v>
      </c>
    </row>
    <row r="61" spans="1:6" s="6" customFormat="1" ht="93" x14ac:dyDescent="0.35">
      <c r="A61" s="25" t="s">
        <v>348</v>
      </c>
      <c r="B61" s="25" t="s">
        <v>5</v>
      </c>
      <c r="C61" s="26" t="s">
        <v>351</v>
      </c>
      <c r="D61" s="27">
        <v>46258.833333333299</v>
      </c>
      <c r="E61" s="27">
        <v>46259.25</v>
      </c>
      <c r="F61" s="26" t="s">
        <v>350</v>
      </c>
    </row>
    <row r="62" spans="1:6" s="6" customFormat="1" ht="93" x14ac:dyDescent="0.35">
      <c r="A62" s="25" t="s">
        <v>283</v>
      </c>
      <c r="B62" s="25" t="s">
        <v>4</v>
      </c>
      <c r="C62" s="26" t="s">
        <v>599</v>
      </c>
      <c r="D62" s="27">
        <v>46258.875</v>
      </c>
      <c r="E62" s="27">
        <v>46259.25</v>
      </c>
      <c r="F62" s="26" t="s">
        <v>598</v>
      </c>
    </row>
    <row r="63" spans="1:6" s="6" customFormat="1" ht="93" x14ac:dyDescent="0.35">
      <c r="A63" s="25" t="s">
        <v>283</v>
      </c>
      <c r="B63" s="25" t="s">
        <v>5</v>
      </c>
      <c r="C63" s="26" t="s">
        <v>284</v>
      </c>
      <c r="D63" s="27">
        <v>46258.875</v>
      </c>
      <c r="E63" s="27">
        <v>46259.25</v>
      </c>
      <c r="F63" s="26" t="s">
        <v>285</v>
      </c>
    </row>
    <row r="64" spans="1:6" s="6" customFormat="1" ht="93" x14ac:dyDescent="0.35">
      <c r="A64" s="25" t="s">
        <v>283</v>
      </c>
      <c r="B64" s="25" t="s">
        <v>4</v>
      </c>
      <c r="C64" s="26" t="s">
        <v>286</v>
      </c>
      <c r="D64" s="27">
        <v>46258.875</v>
      </c>
      <c r="E64" s="27">
        <v>46259.25</v>
      </c>
      <c r="F64" s="26" t="s">
        <v>285</v>
      </c>
    </row>
    <row r="65" spans="1:6" s="6" customFormat="1" ht="62" x14ac:dyDescent="0.35">
      <c r="A65" s="25" t="s">
        <v>283</v>
      </c>
      <c r="B65" s="25" t="s">
        <v>44</v>
      </c>
      <c r="C65" s="26" t="s">
        <v>356</v>
      </c>
      <c r="D65" s="27">
        <v>46258.833333333299</v>
      </c>
      <c r="E65" s="27">
        <v>46259.25</v>
      </c>
      <c r="F65" s="26" t="s">
        <v>357</v>
      </c>
    </row>
    <row r="66" spans="1:6" s="6" customFormat="1" ht="108.5" x14ac:dyDescent="0.35">
      <c r="A66" s="25" t="s">
        <v>283</v>
      </c>
      <c r="B66" s="25" t="s">
        <v>44</v>
      </c>
      <c r="C66" s="26" t="s">
        <v>358</v>
      </c>
      <c r="D66" s="27">
        <v>46258.875</v>
      </c>
      <c r="E66" s="27">
        <v>46259.25</v>
      </c>
      <c r="F66" s="26" t="s">
        <v>359</v>
      </c>
    </row>
    <row r="67" spans="1:6" s="6" customFormat="1" ht="108.5" x14ac:dyDescent="0.35">
      <c r="A67" s="25" t="s">
        <v>274</v>
      </c>
      <c r="B67" s="25" t="s">
        <v>6</v>
      </c>
      <c r="C67" s="26" t="s">
        <v>677</v>
      </c>
      <c r="D67" s="27">
        <v>46258.875</v>
      </c>
      <c r="E67" s="27">
        <v>46259.25</v>
      </c>
      <c r="F67" s="26" t="s">
        <v>246</v>
      </c>
    </row>
    <row r="68" spans="1:6" s="6" customFormat="1" ht="108.5" x14ac:dyDescent="0.35">
      <c r="A68" s="25" t="s">
        <v>274</v>
      </c>
      <c r="B68" s="25" t="s">
        <v>2</v>
      </c>
      <c r="C68" s="26" t="s">
        <v>275</v>
      </c>
      <c r="D68" s="27">
        <v>46258.875</v>
      </c>
      <c r="E68" s="27">
        <v>46259.25</v>
      </c>
      <c r="F68" s="26" t="s">
        <v>276</v>
      </c>
    </row>
    <row r="69" spans="1:6" s="6" customFormat="1" ht="93" x14ac:dyDescent="0.35">
      <c r="A69" s="25" t="s">
        <v>274</v>
      </c>
      <c r="B69" s="25" t="s">
        <v>6</v>
      </c>
      <c r="C69" s="26" t="s">
        <v>600</v>
      </c>
      <c r="D69" s="27">
        <v>46258.875</v>
      </c>
      <c r="E69" s="27">
        <v>46259.25</v>
      </c>
      <c r="F69" s="26" t="s">
        <v>601</v>
      </c>
    </row>
    <row r="70" spans="1:6" s="6" customFormat="1" ht="77.5" x14ac:dyDescent="0.35">
      <c r="A70" s="25" t="s">
        <v>372</v>
      </c>
      <c r="B70" s="25" t="s">
        <v>44</v>
      </c>
      <c r="C70" s="26" t="s">
        <v>373</v>
      </c>
      <c r="D70" s="27">
        <v>46258.833333333299</v>
      </c>
      <c r="E70" s="27">
        <v>46259.25</v>
      </c>
      <c r="F70" s="26" t="s">
        <v>374</v>
      </c>
    </row>
    <row r="71" spans="1:6" s="6" customFormat="1" ht="77.5" x14ac:dyDescent="0.35">
      <c r="A71" s="25" t="s">
        <v>363</v>
      </c>
      <c r="B71" s="25" t="s">
        <v>44</v>
      </c>
      <c r="C71" s="26" t="s">
        <v>364</v>
      </c>
      <c r="D71" s="27">
        <v>46258.833333333299</v>
      </c>
      <c r="E71" s="27">
        <v>46259.25</v>
      </c>
      <c r="F71" s="26" t="s">
        <v>365</v>
      </c>
    </row>
    <row r="72" spans="1:6" s="6" customFormat="1" ht="77.5" x14ac:dyDescent="0.35">
      <c r="A72" s="25" t="s">
        <v>87</v>
      </c>
      <c r="B72" s="25" t="s">
        <v>4</v>
      </c>
      <c r="C72" s="26" t="s">
        <v>352</v>
      </c>
      <c r="D72" s="27">
        <v>46258.8125</v>
      </c>
      <c r="E72" s="27">
        <v>46259.25</v>
      </c>
      <c r="F72" s="26" t="s">
        <v>353</v>
      </c>
    </row>
    <row r="73" spans="1:6" s="6" customFormat="1" ht="77.5" x14ac:dyDescent="0.35">
      <c r="A73" s="25" t="s">
        <v>87</v>
      </c>
      <c r="B73" s="25" t="s">
        <v>5</v>
      </c>
      <c r="C73" s="26" t="s">
        <v>354</v>
      </c>
      <c r="D73" s="27">
        <v>46258.8125</v>
      </c>
      <c r="E73" s="27">
        <v>46259.25</v>
      </c>
      <c r="F73" s="26" t="s">
        <v>355</v>
      </c>
    </row>
    <row r="74" spans="1:6" s="6" customFormat="1" ht="77.5" x14ac:dyDescent="0.35">
      <c r="A74" s="25" t="s">
        <v>87</v>
      </c>
      <c r="B74" s="25" t="s">
        <v>6</v>
      </c>
      <c r="C74" s="26" t="s">
        <v>380</v>
      </c>
      <c r="D74" s="27">
        <v>46202.875</v>
      </c>
      <c r="E74" s="27">
        <v>46508.208333333299</v>
      </c>
      <c r="F74" s="26" t="s">
        <v>381</v>
      </c>
    </row>
    <row r="75" spans="1:6" s="6" customFormat="1" ht="77.5" x14ac:dyDescent="0.35">
      <c r="A75" s="25" t="s">
        <v>87</v>
      </c>
      <c r="B75" s="25" t="s">
        <v>6</v>
      </c>
      <c r="C75" s="26" t="s">
        <v>388</v>
      </c>
      <c r="D75" s="27">
        <v>46258.875</v>
      </c>
      <c r="E75" s="27">
        <v>46259.25</v>
      </c>
      <c r="F75" s="26" t="s">
        <v>389</v>
      </c>
    </row>
    <row r="76" spans="1:6" s="6" customFormat="1" ht="77.5" x14ac:dyDescent="0.35">
      <c r="A76" s="25" t="s">
        <v>611</v>
      </c>
      <c r="B76" s="25" t="s">
        <v>5</v>
      </c>
      <c r="C76" s="26" t="s">
        <v>700</v>
      </c>
      <c r="D76" s="27">
        <v>46258.916666666701</v>
      </c>
      <c r="E76" s="27">
        <v>46259.229166666701</v>
      </c>
      <c r="F76" s="26" t="s">
        <v>701</v>
      </c>
    </row>
    <row r="77" spans="1:6" s="6" customFormat="1" ht="93" x14ac:dyDescent="0.35">
      <c r="A77" s="25" t="s">
        <v>412</v>
      </c>
      <c r="B77" s="25" t="s">
        <v>5</v>
      </c>
      <c r="C77" s="26" t="s">
        <v>413</v>
      </c>
      <c r="D77" s="27">
        <v>46258.833333333299</v>
      </c>
      <c r="E77" s="27">
        <v>46259.25</v>
      </c>
      <c r="F77" s="26" t="s">
        <v>414</v>
      </c>
    </row>
    <row r="78" spans="1:6" s="6" customFormat="1" ht="93" x14ac:dyDescent="0.35">
      <c r="A78" s="25" t="s">
        <v>375</v>
      </c>
      <c r="B78" s="25" t="s">
        <v>2</v>
      </c>
      <c r="C78" s="26" t="s">
        <v>376</v>
      </c>
      <c r="D78" s="27">
        <v>46258.875</v>
      </c>
      <c r="E78" s="27">
        <v>46259.25</v>
      </c>
      <c r="F78" s="26" t="s">
        <v>377</v>
      </c>
    </row>
    <row r="79" spans="1:6" s="6" customFormat="1" ht="93" x14ac:dyDescent="0.35">
      <c r="A79" s="25" t="s">
        <v>375</v>
      </c>
      <c r="B79" s="25" t="s">
        <v>6</v>
      </c>
      <c r="C79" s="26" t="s">
        <v>378</v>
      </c>
      <c r="D79" s="27">
        <v>46258.875</v>
      </c>
      <c r="E79" s="27">
        <v>46259.25</v>
      </c>
      <c r="F79" s="26" t="s">
        <v>379</v>
      </c>
    </row>
    <row r="80" spans="1:6" s="6" customFormat="1" ht="93" x14ac:dyDescent="0.35">
      <c r="A80" s="25" t="s">
        <v>71</v>
      </c>
      <c r="B80" s="25" t="s">
        <v>6</v>
      </c>
      <c r="C80" s="26" t="s">
        <v>641</v>
      </c>
      <c r="D80" s="27">
        <v>46258.833333333299</v>
      </c>
      <c r="E80" s="27">
        <v>46259.25</v>
      </c>
      <c r="F80" s="26" t="s">
        <v>73</v>
      </c>
    </row>
    <row r="81" spans="1:6" s="6" customFormat="1" ht="62" x14ac:dyDescent="0.35">
      <c r="A81" s="25" t="s">
        <v>71</v>
      </c>
      <c r="B81" s="25" t="s">
        <v>6</v>
      </c>
      <c r="C81" s="26" t="s">
        <v>642</v>
      </c>
      <c r="D81" s="27">
        <v>46258.833333333299</v>
      </c>
      <c r="E81" s="27">
        <v>46259.25</v>
      </c>
      <c r="F81" s="26" t="s">
        <v>73</v>
      </c>
    </row>
    <row r="82" spans="1:6" s="8" customFormat="1" ht="62" x14ac:dyDescent="0.35">
      <c r="A82" s="25" t="s">
        <v>71</v>
      </c>
      <c r="B82" s="25" t="s">
        <v>6</v>
      </c>
      <c r="C82" s="26" t="s">
        <v>643</v>
      </c>
      <c r="D82" s="27">
        <v>46258.833333333299</v>
      </c>
      <c r="E82" s="27">
        <v>46259.25</v>
      </c>
      <c r="F82" s="26" t="s">
        <v>73</v>
      </c>
    </row>
    <row r="83" spans="1:6" s="6" customFormat="1" ht="77.5" x14ac:dyDescent="0.35">
      <c r="A83" s="25" t="s">
        <v>71</v>
      </c>
      <c r="B83" s="25" t="s">
        <v>44</v>
      </c>
      <c r="C83" s="26" t="s">
        <v>713</v>
      </c>
      <c r="D83" s="27">
        <v>46258.875</v>
      </c>
      <c r="E83" s="27">
        <v>46259.25</v>
      </c>
      <c r="F83" s="26" t="s">
        <v>624</v>
      </c>
    </row>
    <row r="84" spans="1:6" s="6" customFormat="1" ht="77.5" x14ac:dyDescent="0.35">
      <c r="A84" s="25" t="s">
        <v>71</v>
      </c>
      <c r="B84" s="25" t="s">
        <v>7</v>
      </c>
      <c r="C84" s="26" t="s">
        <v>395</v>
      </c>
      <c r="D84" s="27">
        <v>46217.625</v>
      </c>
      <c r="E84" s="27">
        <v>46387.875</v>
      </c>
      <c r="F84" s="26" t="s">
        <v>396</v>
      </c>
    </row>
    <row r="85" spans="1:6" s="6" customFormat="1" ht="77.5" x14ac:dyDescent="0.35">
      <c r="A85" s="25" t="s">
        <v>93</v>
      </c>
      <c r="B85" s="25" t="s">
        <v>6</v>
      </c>
      <c r="C85" s="26" t="s">
        <v>648</v>
      </c>
      <c r="D85" s="27">
        <v>46258.833333333299</v>
      </c>
      <c r="E85" s="27">
        <v>46259.25</v>
      </c>
      <c r="F85" s="26" t="s">
        <v>649</v>
      </c>
    </row>
    <row r="86" spans="1:6" s="6" customFormat="1" ht="77.5" x14ac:dyDescent="0.35">
      <c r="A86" s="25" t="s">
        <v>93</v>
      </c>
      <c r="B86" s="25" t="s">
        <v>2</v>
      </c>
      <c r="C86" s="26" t="s">
        <v>393</v>
      </c>
      <c r="D86" s="27">
        <v>46258.833333333299</v>
      </c>
      <c r="E86" s="27">
        <v>46259.25</v>
      </c>
      <c r="F86" s="26" t="s">
        <v>394</v>
      </c>
    </row>
    <row r="87" spans="1:6" s="6" customFormat="1" ht="77.5" x14ac:dyDescent="0.35">
      <c r="A87" s="25" t="s">
        <v>93</v>
      </c>
      <c r="B87" s="25" t="s">
        <v>44</v>
      </c>
      <c r="C87" s="26" t="s">
        <v>397</v>
      </c>
      <c r="D87" s="27">
        <v>46258.875</v>
      </c>
      <c r="E87" s="27">
        <v>46259.25</v>
      </c>
      <c r="F87" s="26" t="s">
        <v>398</v>
      </c>
    </row>
    <row r="88" spans="1:6" s="5" customFormat="1" ht="77.5" x14ac:dyDescent="0.35">
      <c r="A88" s="25" t="s">
        <v>20</v>
      </c>
      <c r="B88" s="25" t="s">
        <v>4</v>
      </c>
      <c r="C88" s="26" t="s">
        <v>21</v>
      </c>
      <c r="D88" s="27">
        <v>46258.833333333299</v>
      </c>
      <c r="E88" s="27">
        <v>46259.25</v>
      </c>
      <c r="F88" s="26" t="s">
        <v>22</v>
      </c>
    </row>
    <row r="89" spans="1:6" s="6" customFormat="1" ht="77.5" x14ac:dyDescent="0.35">
      <c r="A89" s="25" t="s">
        <v>20</v>
      </c>
      <c r="B89" s="25" t="s">
        <v>44</v>
      </c>
      <c r="C89" s="26" t="s">
        <v>408</v>
      </c>
      <c r="D89" s="27">
        <v>46258.833333333299</v>
      </c>
      <c r="E89" s="27">
        <v>46259.25</v>
      </c>
      <c r="F89" s="26" t="s">
        <v>22</v>
      </c>
    </row>
    <row r="90" spans="1:6" s="6" customFormat="1" ht="93" x14ac:dyDescent="0.35">
      <c r="A90" s="25" t="s">
        <v>20</v>
      </c>
      <c r="B90" s="25" t="s">
        <v>4</v>
      </c>
      <c r="C90" s="26" t="s">
        <v>23</v>
      </c>
      <c r="D90" s="27">
        <v>46258.833333333299</v>
      </c>
      <c r="E90" s="27">
        <v>46259.25</v>
      </c>
      <c r="F90" s="26" t="s">
        <v>22</v>
      </c>
    </row>
    <row r="91" spans="1:6" s="6" customFormat="1" ht="93" x14ac:dyDescent="0.35">
      <c r="A91" s="25" t="s">
        <v>20</v>
      </c>
      <c r="B91" s="25" t="s">
        <v>5</v>
      </c>
      <c r="C91" s="26" t="s">
        <v>631</v>
      </c>
      <c r="D91" s="27">
        <v>46258.833333333299</v>
      </c>
      <c r="E91" s="27">
        <v>46259.041666666701</v>
      </c>
      <c r="F91" s="26" t="s">
        <v>520</v>
      </c>
    </row>
    <row r="92" spans="1:6" s="6" customFormat="1" ht="93" x14ac:dyDescent="0.35">
      <c r="A92" s="25" t="s">
        <v>20</v>
      </c>
      <c r="B92" s="25" t="s">
        <v>4</v>
      </c>
      <c r="C92" s="26" t="s">
        <v>632</v>
      </c>
      <c r="D92" s="27">
        <v>46258.833333333299</v>
      </c>
      <c r="E92" s="27">
        <v>46259.041666666701</v>
      </c>
      <c r="F92" s="26" t="s">
        <v>520</v>
      </c>
    </row>
    <row r="93" spans="1:6" s="6" customFormat="1" ht="62" x14ac:dyDescent="0.35">
      <c r="A93" s="25" t="s">
        <v>20</v>
      </c>
      <c r="B93" s="25" t="s">
        <v>5</v>
      </c>
      <c r="C93" s="26" t="s">
        <v>633</v>
      </c>
      <c r="D93" s="27">
        <v>46259.041666666701</v>
      </c>
      <c r="E93" s="27">
        <v>46259.25</v>
      </c>
      <c r="F93" s="26" t="s">
        <v>520</v>
      </c>
    </row>
    <row r="94" spans="1:6" s="6" customFormat="1" ht="62" x14ac:dyDescent="0.35">
      <c r="A94" s="25" t="s">
        <v>20</v>
      </c>
      <c r="B94" s="25" t="s">
        <v>4</v>
      </c>
      <c r="C94" s="26" t="s">
        <v>634</v>
      </c>
      <c r="D94" s="27">
        <v>46259.041666666701</v>
      </c>
      <c r="E94" s="27">
        <v>46259.25</v>
      </c>
      <c r="F94" s="26" t="s">
        <v>520</v>
      </c>
    </row>
    <row r="95" spans="1:6" s="6" customFormat="1" ht="62" x14ac:dyDescent="0.35">
      <c r="A95" s="25" t="s">
        <v>20</v>
      </c>
      <c r="B95" s="25" t="s">
        <v>4</v>
      </c>
      <c r="C95" s="26" t="s">
        <v>523</v>
      </c>
      <c r="D95" s="27">
        <v>46258.833333333299</v>
      </c>
      <c r="E95" s="27">
        <v>46259.25</v>
      </c>
      <c r="F95" s="26" t="s">
        <v>524</v>
      </c>
    </row>
    <row r="96" spans="1:6" s="6" customFormat="1" ht="62" x14ac:dyDescent="0.35">
      <c r="A96" s="25" t="s">
        <v>542</v>
      </c>
      <c r="B96" s="25" t="s">
        <v>44</v>
      </c>
      <c r="C96" s="26" t="s">
        <v>543</v>
      </c>
      <c r="D96" s="27">
        <v>46258.833333333299</v>
      </c>
      <c r="E96" s="27">
        <v>46259.25</v>
      </c>
      <c r="F96" s="26" t="s">
        <v>544</v>
      </c>
    </row>
    <row r="97" spans="1:6" s="6" customFormat="1" ht="77.5" x14ac:dyDescent="0.35">
      <c r="A97" s="25" t="s">
        <v>542</v>
      </c>
      <c r="B97" s="25" t="s">
        <v>2</v>
      </c>
      <c r="C97" s="26" t="s">
        <v>716</v>
      </c>
      <c r="D97" s="27">
        <v>46258.875</v>
      </c>
      <c r="E97" s="27">
        <v>46259.25</v>
      </c>
      <c r="F97" s="26" t="s">
        <v>717</v>
      </c>
    </row>
    <row r="98" spans="1:6" s="6" customFormat="1" ht="77.5" x14ac:dyDescent="0.35">
      <c r="A98" s="25" t="s">
        <v>542</v>
      </c>
      <c r="B98" s="25" t="s">
        <v>44</v>
      </c>
      <c r="C98" s="26" t="s">
        <v>718</v>
      </c>
      <c r="D98" s="27">
        <v>46258.875</v>
      </c>
      <c r="E98" s="27">
        <v>46259.25</v>
      </c>
      <c r="F98" s="26" t="s">
        <v>717</v>
      </c>
    </row>
    <row r="99" spans="1:6" s="6" customFormat="1" ht="77.5" x14ac:dyDescent="0.35">
      <c r="A99" s="25" t="s">
        <v>542</v>
      </c>
      <c r="B99" s="25" t="s">
        <v>4</v>
      </c>
      <c r="C99" s="26" t="s">
        <v>719</v>
      </c>
      <c r="D99" s="27">
        <v>46258.875</v>
      </c>
      <c r="E99" s="27">
        <v>46259.25</v>
      </c>
      <c r="F99" s="26" t="s">
        <v>720</v>
      </c>
    </row>
    <row r="100" spans="1:6" s="6" customFormat="1" ht="77.5" x14ac:dyDescent="0.35">
      <c r="A100" s="25" t="s">
        <v>401</v>
      </c>
      <c r="B100" s="25" t="s">
        <v>4</v>
      </c>
      <c r="C100" s="26" t="s">
        <v>402</v>
      </c>
      <c r="D100" s="27">
        <v>46258.833333333299</v>
      </c>
      <c r="E100" s="27">
        <v>46259.208333333299</v>
      </c>
      <c r="F100" s="26" t="s">
        <v>403</v>
      </c>
    </row>
    <row r="101" spans="1:6" s="6" customFormat="1" ht="62" x14ac:dyDescent="0.35">
      <c r="A101" s="25" t="s">
        <v>401</v>
      </c>
      <c r="B101" s="25" t="s">
        <v>4</v>
      </c>
      <c r="C101" s="26" t="s">
        <v>404</v>
      </c>
      <c r="D101" s="27">
        <v>46258.833333333299</v>
      </c>
      <c r="E101" s="27">
        <v>46259.208333333299</v>
      </c>
      <c r="F101" s="26" t="s">
        <v>403</v>
      </c>
    </row>
    <row r="102" spans="1:6" s="6" customFormat="1" ht="62" x14ac:dyDescent="0.35">
      <c r="A102" s="25" t="s">
        <v>390</v>
      </c>
      <c r="B102" s="25" t="s">
        <v>44</v>
      </c>
      <c r="C102" s="26" t="s">
        <v>391</v>
      </c>
      <c r="D102" s="27">
        <v>46230.833333333299</v>
      </c>
      <c r="E102" s="27">
        <v>46403.25</v>
      </c>
      <c r="F102" s="26" t="s">
        <v>392</v>
      </c>
    </row>
    <row r="103" spans="1:6" s="6" customFormat="1" ht="62" x14ac:dyDescent="0.35">
      <c r="A103" s="25" t="s">
        <v>390</v>
      </c>
      <c r="B103" s="25" t="s">
        <v>6</v>
      </c>
      <c r="C103" s="26" t="s">
        <v>714</v>
      </c>
      <c r="D103" s="27">
        <v>46258.875</v>
      </c>
      <c r="E103" s="27">
        <v>46259.25</v>
      </c>
      <c r="F103" s="26" t="s">
        <v>715</v>
      </c>
    </row>
    <row r="104" spans="1:6" s="6" customFormat="1" ht="62" x14ac:dyDescent="0.35">
      <c r="A104" s="25" t="s">
        <v>390</v>
      </c>
      <c r="B104" s="25" t="s">
        <v>2</v>
      </c>
      <c r="C104" s="26" t="s">
        <v>721</v>
      </c>
      <c r="D104" s="27">
        <v>46258.875</v>
      </c>
      <c r="E104" s="27">
        <v>46259.25</v>
      </c>
      <c r="F104" s="26" t="s">
        <v>722</v>
      </c>
    </row>
    <row r="105" spans="1:6" s="6" customFormat="1" ht="77.5" x14ac:dyDescent="0.35">
      <c r="A105" s="25" t="s">
        <v>434</v>
      </c>
      <c r="B105" s="25" t="s">
        <v>5</v>
      </c>
      <c r="C105" s="26" t="s">
        <v>536</v>
      </c>
      <c r="D105" s="27">
        <v>46258.833333333299</v>
      </c>
      <c r="E105" s="27">
        <v>46259.25</v>
      </c>
      <c r="F105" s="26" t="s">
        <v>537</v>
      </c>
    </row>
    <row r="106" spans="1:6" s="6" customFormat="1" ht="77.5" x14ac:dyDescent="0.35">
      <c r="A106" s="25" t="s">
        <v>434</v>
      </c>
      <c r="B106" s="25" t="s">
        <v>5</v>
      </c>
      <c r="C106" s="26" t="s">
        <v>646</v>
      </c>
      <c r="D106" s="27">
        <v>46258.833333333299</v>
      </c>
      <c r="E106" s="27">
        <v>46259.25</v>
      </c>
      <c r="F106" s="26" t="s">
        <v>537</v>
      </c>
    </row>
    <row r="107" spans="1:6" s="6" customFormat="1" ht="46.5" x14ac:dyDescent="0.35">
      <c r="A107" s="25" t="s">
        <v>434</v>
      </c>
      <c r="B107" s="25" t="s">
        <v>4</v>
      </c>
      <c r="C107" s="26" t="s">
        <v>647</v>
      </c>
      <c r="D107" s="27">
        <v>46258.833333333299</v>
      </c>
      <c r="E107" s="27">
        <v>46259.25</v>
      </c>
      <c r="F107" s="26" t="s">
        <v>537</v>
      </c>
    </row>
    <row r="108" spans="1:6" s="14" customFormat="1" ht="31" x14ac:dyDescent="0.35">
      <c r="A108" s="25" t="s">
        <v>215</v>
      </c>
      <c r="B108" s="25" t="s">
        <v>6</v>
      </c>
      <c r="C108" s="26" t="s">
        <v>216</v>
      </c>
      <c r="D108" s="27">
        <v>46230.208333333299</v>
      </c>
      <c r="E108" s="27">
        <v>46266.208333333299</v>
      </c>
      <c r="F108" s="26" t="s">
        <v>217</v>
      </c>
    </row>
    <row r="109" spans="1:6" s="6" customFormat="1" ht="46.5" x14ac:dyDescent="0.35">
      <c r="A109" s="25" t="s">
        <v>644</v>
      </c>
      <c r="B109" s="25" t="s">
        <v>2</v>
      </c>
      <c r="C109" s="26" t="s">
        <v>645</v>
      </c>
      <c r="D109" s="27">
        <v>46258.833333333299</v>
      </c>
      <c r="E109" s="27">
        <v>46259.25</v>
      </c>
      <c r="F109" s="26" t="s">
        <v>537</v>
      </c>
    </row>
    <row r="110" spans="1:6" s="6" customFormat="1" ht="46.5" x14ac:dyDescent="0.35">
      <c r="A110" s="25" t="s">
        <v>151</v>
      </c>
      <c r="B110" s="25" t="s">
        <v>6</v>
      </c>
      <c r="C110" s="26" t="s">
        <v>152</v>
      </c>
      <c r="D110" s="27">
        <v>46237.833333333299</v>
      </c>
      <c r="E110" s="27">
        <v>46326.25</v>
      </c>
      <c r="F110" s="26" t="s">
        <v>153</v>
      </c>
    </row>
    <row r="111" spans="1:6" s="6" customFormat="1" ht="46.5" x14ac:dyDescent="0.35">
      <c r="A111" s="25" t="s">
        <v>151</v>
      </c>
      <c r="B111" s="25" t="s">
        <v>2</v>
      </c>
      <c r="C111" s="26" t="s">
        <v>154</v>
      </c>
      <c r="D111" s="27">
        <v>46237.833333333299</v>
      </c>
      <c r="E111" s="27">
        <v>46326.25</v>
      </c>
      <c r="F111" s="26" t="s">
        <v>153</v>
      </c>
    </row>
    <row r="112" spans="1:6" s="5" customFormat="1" ht="46.5" x14ac:dyDescent="0.35">
      <c r="A112" s="25" t="s">
        <v>551</v>
      </c>
      <c r="B112" s="25" t="s">
        <v>44</v>
      </c>
      <c r="C112" s="26" t="s">
        <v>552</v>
      </c>
      <c r="D112" s="27">
        <v>46258.000694444403</v>
      </c>
      <c r="E112" s="27">
        <v>46260.25</v>
      </c>
      <c r="F112" s="26" t="s">
        <v>553</v>
      </c>
    </row>
    <row r="113" spans="1:6" s="5" customFormat="1" ht="46.5" x14ac:dyDescent="0.35">
      <c r="A113" s="25" t="s">
        <v>148</v>
      </c>
      <c r="B113" s="25" t="s">
        <v>5</v>
      </c>
      <c r="C113" s="26" t="s">
        <v>652</v>
      </c>
      <c r="D113" s="27">
        <v>46258.833333333299</v>
      </c>
      <c r="E113" s="27">
        <v>46259.25</v>
      </c>
      <c r="F113" s="26" t="s">
        <v>653</v>
      </c>
    </row>
    <row r="114" spans="1:6" s="5" customFormat="1" ht="46.5" x14ac:dyDescent="0.35">
      <c r="A114" s="25" t="s">
        <v>148</v>
      </c>
      <c r="B114" s="25" t="s">
        <v>5</v>
      </c>
      <c r="C114" s="26" t="s">
        <v>654</v>
      </c>
      <c r="D114" s="27">
        <v>46258.833333333299</v>
      </c>
      <c r="E114" s="27">
        <v>46259.25</v>
      </c>
      <c r="F114" s="26" t="s">
        <v>653</v>
      </c>
    </row>
    <row r="115" spans="1:6" s="5" customFormat="1" ht="46.5" x14ac:dyDescent="0.35">
      <c r="A115" s="25" t="s">
        <v>148</v>
      </c>
      <c r="B115" s="25" t="s">
        <v>5</v>
      </c>
      <c r="C115" s="26" t="s">
        <v>655</v>
      </c>
      <c r="D115" s="27">
        <v>46258.833333333299</v>
      </c>
      <c r="E115" s="27">
        <v>46259.25</v>
      </c>
      <c r="F115" s="26" t="s">
        <v>653</v>
      </c>
    </row>
    <row r="116" spans="1:6" s="5" customFormat="1" ht="46.5" x14ac:dyDescent="0.35">
      <c r="A116" s="25" t="s">
        <v>161</v>
      </c>
      <c r="B116" s="25" t="s">
        <v>4</v>
      </c>
      <c r="C116" s="26" t="s">
        <v>560</v>
      </c>
      <c r="D116" s="27">
        <v>46258.833333333299</v>
      </c>
      <c r="E116" s="27">
        <v>46259.25</v>
      </c>
      <c r="F116" s="26" t="s">
        <v>163</v>
      </c>
    </row>
    <row r="117" spans="1:6" s="5" customFormat="1" ht="62" x14ac:dyDescent="0.35">
      <c r="A117" s="25" t="s">
        <v>161</v>
      </c>
      <c r="B117" s="25" t="s">
        <v>4</v>
      </c>
      <c r="C117" s="26" t="s">
        <v>561</v>
      </c>
      <c r="D117" s="27">
        <v>46258.833333333299</v>
      </c>
      <c r="E117" s="27">
        <v>46259.25</v>
      </c>
      <c r="F117" s="26" t="s">
        <v>163</v>
      </c>
    </row>
    <row r="118" spans="1:6" s="5" customFormat="1" ht="62" x14ac:dyDescent="0.35">
      <c r="A118" s="25" t="s">
        <v>161</v>
      </c>
      <c r="B118" s="25" t="s">
        <v>4</v>
      </c>
      <c r="C118" s="26" t="s">
        <v>562</v>
      </c>
      <c r="D118" s="27">
        <v>46258.833333333299</v>
      </c>
      <c r="E118" s="27">
        <v>46259.25</v>
      </c>
      <c r="F118" s="26" t="s">
        <v>163</v>
      </c>
    </row>
    <row r="119" spans="1:6" s="5" customFormat="1" ht="62" x14ac:dyDescent="0.35">
      <c r="A119" s="25" t="s">
        <v>170</v>
      </c>
      <c r="B119" s="25" t="s">
        <v>4</v>
      </c>
      <c r="C119" s="26" t="s">
        <v>171</v>
      </c>
      <c r="D119" s="27">
        <v>46258.833333333299</v>
      </c>
      <c r="E119" s="27">
        <v>46259.25</v>
      </c>
      <c r="F119" s="26" t="s">
        <v>172</v>
      </c>
    </row>
    <row r="120" spans="1:6" s="5" customFormat="1" ht="46.5" x14ac:dyDescent="0.35">
      <c r="A120" s="25" t="s">
        <v>170</v>
      </c>
      <c r="B120" s="25" t="s">
        <v>4</v>
      </c>
      <c r="C120" s="26" t="s">
        <v>173</v>
      </c>
      <c r="D120" s="27">
        <v>46258.833333333299</v>
      </c>
      <c r="E120" s="27">
        <v>46259.25</v>
      </c>
      <c r="F120" s="26" t="s">
        <v>172</v>
      </c>
    </row>
    <row r="121" spans="1:6" s="5" customFormat="1" ht="46.5" x14ac:dyDescent="0.35">
      <c r="A121" s="25" t="s">
        <v>170</v>
      </c>
      <c r="B121" s="25" t="s">
        <v>4</v>
      </c>
      <c r="C121" s="26" t="s">
        <v>174</v>
      </c>
      <c r="D121" s="27">
        <v>46258.833333333299</v>
      </c>
      <c r="E121" s="27">
        <v>46259.25</v>
      </c>
      <c r="F121" s="26" t="s">
        <v>172</v>
      </c>
    </row>
    <row r="122" spans="1:6" s="5" customFormat="1" ht="46.5" x14ac:dyDescent="0.35">
      <c r="A122" s="25" t="s">
        <v>170</v>
      </c>
      <c r="B122" s="25" t="s">
        <v>4</v>
      </c>
      <c r="C122" s="26" t="s">
        <v>175</v>
      </c>
      <c r="D122" s="27">
        <v>46258.833333333299</v>
      </c>
      <c r="E122" s="27">
        <v>46259.25</v>
      </c>
      <c r="F122" s="26" t="s">
        <v>172</v>
      </c>
    </row>
    <row r="123" spans="1:6" s="5" customFormat="1" ht="46.5" x14ac:dyDescent="0.35">
      <c r="A123" s="25" t="s">
        <v>170</v>
      </c>
      <c r="B123" s="25" t="s">
        <v>44</v>
      </c>
      <c r="C123" s="26" t="s">
        <v>661</v>
      </c>
      <c r="D123" s="27">
        <v>46258.833333333299</v>
      </c>
      <c r="E123" s="27">
        <v>46259.25</v>
      </c>
      <c r="F123" s="26" t="s">
        <v>662</v>
      </c>
    </row>
    <row r="124" spans="1:6" s="5" customFormat="1" ht="46.5" x14ac:dyDescent="0.35">
      <c r="A124" s="25" t="s">
        <v>230</v>
      </c>
      <c r="B124" s="25" t="s">
        <v>2</v>
      </c>
      <c r="C124" s="26" t="s">
        <v>464</v>
      </c>
      <c r="D124" s="27">
        <v>46258.875</v>
      </c>
      <c r="E124" s="27">
        <v>46259.208333333299</v>
      </c>
      <c r="F124" s="26" t="s">
        <v>232</v>
      </c>
    </row>
    <row r="125" spans="1:6" s="5" customFormat="1" ht="46.5" x14ac:dyDescent="0.35">
      <c r="A125" s="25" t="s">
        <v>75</v>
      </c>
      <c r="B125" s="25" t="s">
        <v>2</v>
      </c>
      <c r="C125" s="26" t="s">
        <v>545</v>
      </c>
      <c r="D125" s="27">
        <v>46258.833333333299</v>
      </c>
      <c r="E125" s="27">
        <v>46259.25</v>
      </c>
      <c r="F125" s="26" t="s">
        <v>546</v>
      </c>
    </row>
    <row r="126" spans="1:6" s="5" customFormat="1" ht="46.5" x14ac:dyDescent="0.35">
      <c r="A126" s="25" t="s">
        <v>75</v>
      </c>
      <c r="B126" s="25" t="s">
        <v>6</v>
      </c>
      <c r="C126" s="26" t="s">
        <v>650</v>
      </c>
      <c r="D126" s="27">
        <v>46258.875</v>
      </c>
      <c r="E126" s="27">
        <v>46259.208333333299</v>
      </c>
      <c r="F126" s="26" t="s">
        <v>651</v>
      </c>
    </row>
    <row r="127" spans="1:6" s="5" customFormat="1" ht="46.5" x14ac:dyDescent="0.35">
      <c r="A127" s="25" t="s">
        <v>75</v>
      </c>
      <c r="B127" s="25" t="s">
        <v>6</v>
      </c>
      <c r="C127" s="26" t="s">
        <v>656</v>
      </c>
      <c r="D127" s="27">
        <v>46258.833333333299</v>
      </c>
      <c r="E127" s="27">
        <v>46259.25</v>
      </c>
      <c r="F127" s="26" t="s">
        <v>657</v>
      </c>
    </row>
    <row r="128" spans="1:6" s="5" customFormat="1" ht="46.5" x14ac:dyDescent="0.35">
      <c r="A128" s="25" t="s">
        <v>27</v>
      </c>
      <c r="B128" s="25" t="s">
        <v>2</v>
      </c>
      <c r="C128" s="26" t="s">
        <v>28</v>
      </c>
      <c r="D128" s="27">
        <v>46258.875</v>
      </c>
      <c r="E128" s="27">
        <v>46259.208333333299</v>
      </c>
      <c r="F128" s="26" t="s">
        <v>29</v>
      </c>
    </row>
    <row r="129" spans="1:6" s="5" customFormat="1" ht="31" x14ac:dyDescent="0.35">
      <c r="A129" s="25" t="s">
        <v>27</v>
      </c>
      <c r="B129" s="25" t="s">
        <v>6</v>
      </c>
      <c r="C129" s="26" t="s">
        <v>635</v>
      </c>
      <c r="D129" s="27">
        <v>46258.875</v>
      </c>
      <c r="E129" s="27">
        <v>46259.208333333299</v>
      </c>
      <c r="F129" s="26" t="s">
        <v>636</v>
      </c>
    </row>
    <row r="130" spans="1:6" ht="31" x14ac:dyDescent="0.35">
      <c r="A130" s="25" t="s">
        <v>27</v>
      </c>
      <c r="B130" s="25" t="s">
        <v>6</v>
      </c>
      <c r="C130" s="26" t="s">
        <v>702</v>
      </c>
      <c r="D130" s="27">
        <v>46258.916666666701</v>
      </c>
      <c r="E130" s="27">
        <v>46259.229166666701</v>
      </c>
      <c r="F130" s="26" t="s">
        <v>703</v>
      </c>
    </row>
    <row r="131" spans="1:6" ht="46.5" x14ac:dyDescent="0.35">
      <c r="A131" s="25" t="s">
        <v>119</v>
      </c>
      <c r="B131" s="25" t="s">
        <v>4</v>
      </c>
      <c r="C131" s="26" t="s">
        <v>120</v>
      </c>
      <c r="D131" s="27">
        <v>46258.833333333299</v>
      </c>
      <c r="E131" s="27">
        <v>46259.25</v>
      </c>
      <c r="F131" s="26" t="s">
        <v>121</v>
      </c>
    </row>
    <row r="132" spans="1:6" ht="46.5" x14ac:dyDescent="0.35">
      <c r="A132" s="25" t="s">
        <v>119</v>
      </c>
      <c r="B132" s="25" t="s">
        <v>4</v>
      </c>
      <c r="C132" s="26" t="s">
        <v>122</v>
      </c>
      <c r="D132" s="27">
        <v>46258.833333333299</v>
      </c>
      <c r="E132" s="27">
        <v>46259.25</v>
      </c>
      <c r="F132" s="26" t="s">
        <v>121</v>
      </c>
    </row>
    <row r="133" spans="1:6" ht="46.5" x14ac:dyDescent="0.35">
      <c r="A133" s="25" t="s">
        <v>119</v>
      </c>
      <c r="B133" s="25" t="s">
        <v>4</v>
      </c>
      <c r="C133" s="26" t="s">
        <v>123</v>
      </c>
      <c r="D133" s="27">
        <v>46258.833333333299</v>
      </c>
      <c r="E133" s="27">
        <v>46259.25</v>
      </c>
      <c r="F133" s="26" t="s">
        <v>121</v>
      </c>
    </row>
    <row r="134" spans="1:6" ht="46.5" x14ac:dyDescent="0.35">
      <c r="A134" s="25" t="s">
        <v>304</v>
      </c>
      <c r="B134" s="25" t="s">
        <v>4</v>
      </c>
      <c r="C134" s="26" t="s">
        <v>305</v>
      </c>
      <c r="D134" s="27">
        <v>46258.833333333299</v>
      </c>
      <c r="E134" s="27">
        <v>46259.25</v>
      </c>
      <c r="F134" s="26" t="s">
        <v>306</v>
      </c>
    </row>
    <row r="135" spans="1:6" ht="62" x14ac:dyDescent="0.35">
      <c r="A135" s="25" t="s">
        <v>304</v>
      </c>
      <c r="B135" s="25" t="s">
        <v>5</v>
      </c>
      <c r="C135" s="26" t="s">
        <v>692</v>
      </c>
      <c r="D135" s="27">
        <v>46258.833333333299</v>
      </c>
      <c r="E135" s="27">
        <v>46259.208333333299</v>
      </c>
      <c r="F135" s="26" t="s">
        <v>693</v>
      </c>
    </row>
    <row r="136" spans="1:6" ht="46.5" x14ac:dyDescent="0.35">
      <c r="A136" s="25" t="s">
        <v>300</v>
      </c>
      <c r="B136" s="25" t="s">
        <v>5</v>
      </c>
      <c r="C136" s="26" t="s">
        <v>483</v>
      </c>
      <c r="D136" s="27">
        <v>46258.875</v>
      </c>
      <c r="E136" s="27">
        <v>46259.25</v>
      </c>
      <c r="F136" s="26" t="s">
        <v>484</v>
      </c>
    </row>
    <row r="137" spans="1:6" ht="46.5" x14ac:dyDescent="0.35">
      <c r="A137" s="25" t="s">
        <v>300</v>
      </c>
      <c r="B137" s="25" t="s">
        <v>4</v>
      </c>
      <c r="C137" s="26" t="s">
        <v>696</v>
      </c>
      <c r="D137" s="27">
        <v>46258.833333333299</v>
      </c>
      <c r="E137" s="27">
        <v>46259.25</v>
      </c>
      <c r="F137" s="26" t="s">
        <v>697</v>
      </c>
    </row>
    <row r="138" spans="1:6" ht="46.5" x14ac:dyDescent="0.35">
      <c r="A138" s="25" t="s">
        <v>300</v>
      </c>
      <c r="B138" s="25" t="s">
        <v>5</v>
      </c>
      <c r="C138" s="26" t="s">
        <v>329</v>
      </c>
      <c r="D138" s="27">
        <v>46258.916666666701</v>
      </c>
      <c r="E138" s="27">
        <v>46259.229166666701</v>
      </c>
      <c r="F138" s="26" t="s">
        <v>330</v>
      </c>
    </row>
    <row r="139" spans="1:6" ht="46.5" x14ac:dyDescent="0.35">
      <c r="A139" s="25" t="s">
        <v>487</v>
      </c>
      <c r="B139" s="25" t="s">
        <v>6</v>
      </c>
      <c r="C139" s="26" t="s">
        <v>488</v>
      </c>
      <c r="D139" s="27">
        <v>46258.875</v>
      </c>
      <c r="E139" s="27">
        <v>46259.25</v>
      </c>
      <c r="F139" s="26" t="s">
        <v>489</v>
      </c>
    </row>
    <row r="140" spans="1:6" ht="46.5" x14ac:dyDescent="0.35">
      <c r="A140" s="25" t="s">
        <v>487</v>
      </c>
      <c r="B140" s="25" t="s">
        <v>6</v>
      </c>
      <c r="C140" s="26" t="s">
        <v>706</v>
      </c>
      <c r="D140" s="27">
        <v>46258.916666666701</v>
      </c>
      <c r="E140" s="27">
        <v>46259.229166666701</v>
      </c>
      <c r="F140" s="26" t="s">
        <v>707</v>
      </c>
    </row>
    <row r="141" spans="1:6" ht="46.5" x14ac:dyDescent="0.35">
      <c r="A141" s="25" t="s">
        <v>316</v>
      </c>
      <c r="B141" s="25" t="s">
        <v>8</v>
      </c>
      <c r="C141" s="26" t="s">
        <v>1044</v>
      </c>
      <c r="D141" s="27">
        <v>46258.958333333299</v>
      </c>
      <c r="E141" s="27">
        <v>46259.208333333299</v>
      </c>
      <c r="F141" s="26" t="s">
        <v>638</v>
      </c>
    </row>
    <row r="142" spans="1:6" ht="46.5" x14ac:dyDescent="0.35">
      <c r="A142" s="25" t="s">
        <v>316</v>
      </c>
      <c r="B142" s="25" t="s">
        <v>7</v>
      </c>
      <c r="C142" s="26" t="s">
        <v>640</v>
      </c>
      <c r="D142" s="27">
        <v>46258.958333333299</v>
      </c>
      <c r="E142" s="27">
        <v>46259.208333333299</v>
      </c>
      <c r="F142" s="26" t="s">
        <v>638</v>
      </c>
    </row>
    <row r="143" spans="1:6" ht="46.5" x14ac:dyDescent="0.35">
      <c r="A143" s="25" t="s">
        <v>316</v>
      </c>
      <c r="B143" s="25" t="s">
        <v>8</v>
      </c>
      <c r="C143" s="26" t="s">
        <v>698</v>
      </c>
      <c r="D143" s="27">
        <v>46258.916666666701</v>
      </c>
      <c r="E143" s="27">
        <v>46259.229166666701</v>
      </c>
      <c r="F143" s="26" t="s">
        <v>699</v>
      </c>
    </row>
    <row r="144" spans="1:6" ht="62" x14ac:dyDescent="0.35">
      <c r="A144" s="25" t="s">
        <v>316</v>
      </c>
      <c r="B144" s="25" t="s">
        <v>8</v>
      </c>
      <c r="C144" s="26" t="s">
        <v>324</v>
      </c>
      <c r="D144" s="27">
        <v>46258.916666666701</v>
      </c>
      <c r="E144" s="27">
        <v>46259.229166666701</v>
      </c>
      <c r="F144" s="26" t="s">
        <v>323</v>
      </c>
    </row>
    <row r="145" spans="1:6" ht="62" x14ac:dyDescent="0.35">
      <c r="A145" s="25" t="s">
        <v>316</v>
      </c>
      <c r="B145" s="25" t="s">
        <v>7</v>
      </c>
      <c r="C145" s="26" t="s">
        <v>325</v>
      </c>
      <c r="D145" s="27">
        <v>46258.916666666701</v>
      </c>
      <c r="E145" s="27">
        <v>46259.229166666701</v>
      </c>
      <c r="F145" s="26" t="s">
        <v>326</v>
      </c>
    </row>
    <row r="146" spans="1:6" ht="62" x14ac:dyDescent="0.35">
      <c r="A146" s="25" t="s">
        <v>316</v>
      </c>
      <c r="B146" s="25" t="s">
        <v>7</v>
      </c>
      <c r="C146" s="26" t="s">
        <v>327</v>
      </c>
      <c r="D146" s="27">
        <v>46258.916666666701</v>
      </c>
      <c r="E146" s="27">
        <v>46259.229166666701</v>
      </c>
      <c r="F146" s="26" t="s">
        <v>328</v>
      </c>
    </row>
    <row r="147" spans="1:6" ht="46.5" x14ac:dyDescent="0.35">
      <c r="A147" s="25" t="s">
        <v>316</v>
      </c>
      <c r="B147" s="25" t="s">
        <v>8</v>
      </c>
      <c r="C147" s="26" t="s">
        <v>333</v>
      </c>
      <c r="D147" s="27">
        <v>46258.916666666701</v>
      </c>
      <c r="E147" s="27">
        <v>46259.229166666701</v>
      </c>
      <c r="F147" s="26" t="s">
        <v>334</v>
      </c>
    </row>
    <row r="148" spans="1:6" ht="62" x14ac:dyDescent="0.35">
      <c r="A148" s="25" t="s">
        <v>316</v>
      </c>
      <c r="B148" s="25" t="s">
        <v>44</v>
      </c>
      <c r="C148" s="26" t="s">
        <v>1047</v>
      </c>
      <c r="D148" s="27">
        <v>46258.916666666701</v>
      </c>
      <c r="E148" s="27">
        <v>46259.229166666701</v>
      </c>
      <c r="F148" s="26" t="s">
        <v>1048</v>
      </c>
    </row>
    <row r="149" spans="1:6" ht="62" x14ac:dyDescent="0.35">
      <c r="A149" s="25" t="s">
        <v>316</v>
      </c>
      <c r="B149" s="25" t="s">
        <v>7</v>
      </c>
      <c r="C149" s="26" t="s">
        <v>1049</v>
      </c>
      <c r="D149" s="27">
        <v>46258.916666666701</v>
      </c>
      <c r="E149" s="27">
        <v>46259.229166666701</v>
      </c>
      <c r="F149" s="26" t="s">
        <v>1048</v>
      </c>
    </row>
    <row r="150" spans="1:6" ht="31" x14ac:dyDescent="0.35">
      <c r="A150" s="25" t="s">
        <v>316</v>
      </c>
      <c r="B150" s="25" t="s">
        <v>8</v>
      </c>
      <c r="C150" s="26" t="s">
        <v>1050</v>
      </c>
      <c r="D150" s="27">
        <v>46258.916666666701</v>
      </c>
      <c r="E150" s="27">
        <v>46259.229166666701</v>
      </c>
      <c r="F150" s="26" t="s">
        <v>1048</v>
      </c>
    </row>
    <row r="151" spans="1:6" ht="31" x14ac:dyDescent="0.35">
      <c r="A151" s="25" t="s">
        <v>316</v>
      </c>
      <c r="B151" s="25" t="s">
        <v>44</v>
      </c>
      <c r="C151" s="26" t="s">
        <v>1051</v>
      </c>
      <c r="D151" s="27">
        <v>46258.916666666701</v>
      </c>
      <c r="E151" s="27">
        <v>46259.229166666701</v>
      </c>
      <c r="F151" s="26" t="s">
        <v>1052</v>
      </c>
    </row>
    <row r="152" spans="1:6" ht="31" x14ac:dyDescent="0.35">
      <c r="A152" s="25" t="s">
        <v>277</v>
      </c>
      <c r="B152" s="25" t="s">
        <v>5</v>
      </c>
      <c r="C152" s="26" t="s">
        <v>278</v>
      </c>
      <c r="D152" s="27">
        <v>46258.875</v>
      </c>
      <c r="E152" s="27">
        <v>46259.25</v>
      </c>
      <c r="F152" s="26" t="s">
        <v>279</v>
      </c>
    </row>
    <row r="153" spans="1:6" ht="46.5" x14ac:dyDescent="0.35">
      <c r="A153" s="25" t="s">
        <v>277</v>
      </c>
      <c r="B153" s="25" t="s">
        <v>4</v>
      </c>
      <c r="C153" s="26" t="s">
        <v>685</v>
      </c>
      <c r="D153" s="27">
        <v>46258.875</v>
      </c>
      <c r="E153" s="27">
        <v>46259.25</v>
      </c>
      <c r="F153" s="26" t="s">
        <v>686</v>
      </c>
    </row>
    <row r="154" spans="1:6" ht="46.5" x14ac:dyDescent="0.35">
      <c r="A154" s="25" t="s">
        <v>277</v>
      </c>
      <c r="B154" s="25" t="s">
        <v>4</v>
      </c>
      <c r="C154" s="26" t="s">
        <v>687</v>
      </c>
      <c r="D154" s="27">
        <v>46258.875</v>
      </c>
      <c r="E154" s="27">
        <v>46259.25</v>
      </c>
      <c r="F154" s="26" t="s">
        <v>686</v>
      </c>
    </row>
    <row r="155" spans="1:6" ht="46.5" x14ac:dyDescent="0.35">
      <c r="A155" s="25" t="s">
        <v>268</v>
      </c>
      <c r="B155" s="25" t="s">
        <v>2</v>
      </c>
      <c r="C155" s="26" t="s">
        <v>269</v>
      </c>
      <c r="D155" s="27">
        <v>46237.25</v>
      </c>
      <c r="E155" s="27">
        <v>46692.25</v>
      </c>
      <c r="F155" s="26" t="s">
        <v>270</v>
      </c>
    </row>
    <row r="156" spans="1:6" ht="46.5" x14ac:dyDescent="0.35">
      <c r="A156" s="25" t="s">
        <v>268</v>
      </c>
      <c r="B156" s="25" t="s">
        <v>2</v>
      </c>
      <c r="C156" s="26" t="s">
        <v>597</v>
      </c>
      <c r="D156" s="27">
        <v>46258.875</v>
      </c>
      <c r="E156" s="27">
        <v>46259.25</v>
      </c>
      <c r="F156" s="26" t="s">
        <v>598</v>
      </c>
    </row>
    <row r="157" spans="1:6" ht="46.5" x14ac:dyDescent="0.35">
      <c r="A157" s="25" t="s">
        <v>268</v>
      </c>
      <c r="B157" s="25" t="s">
        <v>6</v>
      </c>
      <c r="C157" s="26" t="s">
        <v>690</v>
      </c>
      <c r="D157" s="27">
        <v>46258.875</v>
      </c>
      <c r="E157" s="27">
        <v>46259.25</v>
      </c>
      <c r="F157" s="26" t="s">
        <v>691</v>
      </c>
    </row>
    <row r="158" spans="1:6" ht="31" x14ac:dyDescent="0.35">
      <c r="A158" s="25" t="s">
        <v>268</v>
      </c>
      <c r="B158" s="25" t="s">
        <v>4</v>
      </c>
      <c r="C158" s="26" t="s">
        <v>322</v>
      </c>
      <c r="D158" s="27">
        <v>46258.916666666701</v>
      </c>
      <c r="E158" s="27">
        <v>46259.229166666701</v>
      </c>
      <c r="F158" s="26" t="s">
        <v>323</v>
      </c>
    </row>
    <row r="159" spans="1:6" ht="31" x14ac:dyDescent="0.35">
      <c r="A159" s="25" t="s">
        <v>368</v>
      </c>
      <c r="B159" s="25" t="s">
        <v>2</v>
      </c>
      <c r="C159" s="26" t="s">
        <v>369</v>
      </c>
      <c r="D159" s="27">
        <v>46258.833333333299</v>
      </c>
      <c r="E159" s="27">
        <v>46259.25</v>
      </c>
      <c r="F159" s="26" t="s">
        <v>499</v>
      </c>
    </row>
    <row r="160" spans="1:6" ht="31" x14ac:dyDescent="0.35">
      <c r="A160" s="25" t="s">
        <v>368</v>
      </c>
      <c r="B160" s="25" t="s">
        <v>2</v>
      </c>
      <c r="C160" s="26" t="s">
        <v>500</v>
      </c>
      <c r="D160" s="27">
        <v>46258.854166666701</v>
      </c>
      <c r="E160" s="27">
        <v>46259.25</v>
      </c>
      <c r="F160" s="26" t="s">
        <v>499</v>
      </c>
    </row>
    <row r="161" spans="1:6" ht="31" x14ac:dyDescent="0.35">
      <c r="A161" s="25" t="s">
        <v>280</v>
      </c>
      <c r="B161" s="25" t="s">
        <v>5</v>
      </c>
      <c r="C161" s="26" t="s">
        <v>281</v>
      </c>
      <c r="D161" s="27">
        <v>46258.875</v>
      </c>
      <c r="E161" s="27">
        <v>46259.25</v>
      </c>
      <c r="F161" s="26" t="s">
        <v>282</v>
      </c>
    </row>
    <row r="162" spans="1:6" ht="31" x14ac:dyDescent="0.35">
      <c r="A162" s="25" t="s">
        <v>280</v>
      </c>
      <c r="B162" s="25" t="s">
        <v>5</v>
      </c>
      <c r="C162" s="26" t="s">
        <v>688</v>
      </c>
      <c r="D162" s="27">
        <v>46258.875</v>
      </c>
      <c r="E162" s="27">
        <v>46259.25</v>
      </c>
      <c r="F162" s="26" t="s">
        <v>689</v>
      </c>
    </row>
    <row r="163" spans="1:6" ht="31" x14ac:dyDescent="0.35">
      <c r="A163" s="25" t="s">
        <v>61</v>
      </c>
      <c r="B163" s="25" t="s">
        <v>2</v>
      </c>
      <c r="C163" s="26" t="s">
        <v>62</v>
      </c>
      <c r="D163" s="27">
        <v>46258.927083333299</v>
      </c>
      <c r="E163" s="27">
        <v>46259.25</v>
      </c>
      <c r="F163" s="26" t="s">
        <v>63</v>
      </c>
    </row>
    <row r="164" spans="1:6" ht="31" x14ac:dyDescent="0.35">
      <c r="A164" s="25" t="s">
        <v>61</v>
      </c>
      <c r="B164" s="25" t="s">
        <v>2</v>
      </c>
      <c r="C164" s="26" t="s">
        <v>64</v>
      </c>
      <c r="D164" s="27">
        <v>46258.927083333299</v>
      </c>
      <c r="E164" s="27">
        <v>46259.25</v>
      </c>
      <c r="F164" s="26" t="s">
        <v>63</v>
      </c>
    </row>
    <row r="165" spans="1:6" ht="62" x14ac:dyDescent="0.35">
      <c r="A165" s="25" t="s">
        <v>61</v>
      </c>
      <c r="B165" s="25" t="s">
        <v>2</v>
      </c>
      <c r="C165" s="26" t="s">
        <v>65</v>
      </c>
      <c r="D165" s="27">
        <v>46258.927083333299</v>
      </c>
      <c r="E165" s="27">
        <v>46259.25</v>
      </c>
      <c r="F165" s="26" t="s">
        <v>63</v>
      </c>
    </row>
    <row r="166" spans="1:6" ht="46.5" x14ac:dyDescent="0.35">
      <c r="A166" s="25" t="s">
        <v>61</v>
      </c>
      <c r="B166" s="25" t="s">
        <v>2</v>
      </c>
      <c r="C166" s="26" t="s">
        <v>66</v>
      </c>
      <c r="D166" s="27">
        <v>46258.927083333299</v>
      </c>
      <c r="E166" s="27">
        <v>46259.25</v>
      </c>
      <c r="F166" s="26" t="s">
        <v>63</v>
      </c>
    </row>
    <row r="167" spans="1:6" ht="46.5" x14ac:dyDescent="0.35">
      <c r="A167" s="25" t="s">
        <v>61</v>
      </c>
      <c r="B167" s="25" t="s">
        <v>2</v>
      </c>
      <c r="C167" s="26" t="s">
        <v>67</v>
      </c>
      <c r="D167" s="27">
        <v>46258.927083333299</v>
      </c>
      <c r="E167" s="27">
        <v>46259.25</v>
      </c>
      <c r="F167" s="26" t="s">
        <v>63</v>
      </c>
    </row>
    <row r="168" spans="1:6" ht="46.5" x14ac:dyDescent="0.35">
      <c r="A168" s="25" t="s">
        <v>61</v>
      </c>
      <c r="B168" s="25" t="s">
        <v>2</v>
      </c>
      <c r="C168" s="26" t="s">
        <v>68</v>
      </c>
      <c r="D168" s="27">
        <v>46258.927083333299</v>
      </c>
      <c r="E168" s="27">
        <v>46259.25</v>
      </c>
      <c r="F168" s="26" t="s">
        <v>63</v>
      </c>
    </row>
    <row r="169" spans="1:6" ht="62" x14ac:dyDescent="0.35">
      <c r="A169" s="25" t="s">
        <v>61</v>
      </c>
      <c r="B169" s="25" t="s">
        <v>2</v>
      </c>
      <c r="C169" s="26" t="s">
        <v>419</v>
      </c>
      <c r="D169" s="27">
        <v>46258.927083333299</v>
      </c>
      <c r="E169" s="27">
        <v>46259.25</v>
      </c>
      <c r="F169" s="26" t="s">
        <v>420</v>
      </c>
    </row>
    <row r="170" spans="1:6" ht="31" x14ac:dyDescent="0.35">
      <c r="A170" s="25" t="s">
        <v>61</v>
      </c>
      <c r="B170" s="25" t="s">
        <v>2</v>
      </c>
      <c r="C170" s="26" t="s">
        <v>421</v>
      </c>
      <c r="D170" s="27">
        <v>46258.927083333299</v>
      </c>
      <c r="E170" s="27">
        <v>46259.25</v>
      </c>
      <c r="F170" s="26" t="s">
        <v>420</v>
      </c>
    </row>
    <row r="171" spans="1:6" ht="46.5" x14ac:dyDescent="0.35">
      <c r="A171" s="25" t="s">
        <v>61</v>
      </c>
      <c r="B171" s="25" t="s">
        <v>2</v>
      </c>
      <c r="C171" s="26" t="s">
        <v>637</v>
      </c>
      <c r="D171" s="27">
        <v>46258.958333333299</v>
      </c>
      <c r="E171" s="27">
        <v>46259.208333333299</v>
      </c>
      <c r="F171" s="26" t="s">
        <v>638</v>
      </c>
    </row>
    <row r="172" spans="1:6" ht="46.5" x14ac:dyDescent="0.35">
      <c r="A172" s="25" t="s">
        <v>61</v>
      </c>
      <c r="B172" s="25" t="s">
        <v>2</v>
      </c>
      <c r="C172" s="26" t="s">
        <v>639</v>
      </c>
      <c r="D172" s="27">
        <v>46258.958333333299</v>
      </c>
      <c r="E172" s="27">
        <v>46259.208333333299</v>
      </c>
      <c r="F172" s="26" t="s">
        <v>638</v>
      </c>
    </row>
    <row r="173" spans="1:6" ht="31" x14ac:dyDescent="0.35">
      <c r="A173" s="25" t="s">
        <v>61</v>
      </c>
      <c r="B173" s="25" t="s">
        <v>2</v>
      </c>
      <c r="C173" s="26" t="s">
        <v>69</v>
      </c>
      <c r="D173" s="27">
        <v>46258.927083333299</v>
      </c>
      <c r="E173" s="27">
        <v>46259.25</v>
      </c>
      <c r="F173" s="26" t="s">
        <v>70</v>
      </c>
    </row>
    <row r="174" spans="1:6" ht="46.5" x14ac:dyDescent="0.35">
      <c r="A174" s="25" t="s">
        <v>61</v>
      </c>
      <c r="B174" s="25" t="s">
        <v>6</v>
      </c>
      <c r="C174" s="26" t="s">
        <v>532</v>
      </c>
      <c r="D174" s="27">
        <v>46258.927083333299</v>
      </c>
      <c r="E174" s="27">
        <v>46259.25</v>
      </c>
      <c r="F174" s="26" t="s">
        <v>533</v>
      </c>
    </row>
    <row r="175" spans="1:6" ht="77.5" x14ac:dyDescent="0.35">
      <c r="A175" s="25" t="s">
        <v>61</v>
      </c>
      <c r="B175" s="25" t="s">
        <v>6</v>
      </c>
      <c r="C175" s="26" t="s">
        <v>534</v>
      </c>
      <c r="D175" s="27">
        <v>46258.927083333299</v>
      </c>
      <c r="E175" s="27">
        <v>46259.25</v>
      </c>
      <c r="F175" s="26" t="s">
        <v>533</v>
      </c>
    </row>
    <row r="176" spans="1:6" ht="77.5" x14ac:dyDescent="0.35">
      <c r="A176" s="25" t="s">
        <v>507</v>
      </c>
      <c r="B176" s="25" t="s">
        <v>6</v>
      </c>
      <c r="C176" s="26" t="s">
        <v>508</v>
      </c>
      <c r="D176" s="27">
        <v>46258.875</v>
      </c>
      <c r="E176" s="27">
        <v>46261.25</v>
      </c>
      <c r="F176" s="26" t="s">
        <v>509</v>
      </c>
    </row>
    <row r="177" spans="1:6" ht="77.5" x14ac:dyDescent="0.35">
      <c r="A177" s="25" t="s">
        <v>360</v>
      </c>
      <c r="B177" s="25" t="s">
        <v>2</v>
      </c>
      <c r="C177" s="26" t="s">
        <v>497</v>
      </c>
      <c r="D177" s="27">
        <v>46258.833333333299</v>
      </c>
      <c r="E177" s="27">
        <v>46259.208333333299</v>
      </c>
      <c r="F177" s="26" t="s">
        <v>498</v>
      </c>
    </row>
    <row r="178" spans="1:6" ht="93" x14ac:dyDescent="0.35">
      <c r="A178" s="25" t="s">
        <v>360</v>
      </c>
      <c r="B178" s="25" t="s">
        <v>6</v>
      </c>
      <c r="C178" s="26" t="s">
        <v>708</v>
      </c>
      <c r="D178" s="27">
        <v>46258.916666666701</v>
      </c>
      <c r="E178" s="27">
        <v>46259.25</v>
      </c>
      <c r="F178" s="26" t="s">
        <v>709</v>
      </c>
    </row>
    <row r="179" spans="1:6" ht="77.5" x14ac:dyDescent="0.35">
      <c r="A179" s="25" t="s">
        <v>360</v>
      </c>
      <c r="B179" s="25" t="s">
        <v>2</v>
      </c>
      <c r="C179" s="26" t="s">
        <v>617</v>
      </c>
      <c r="D179" s="27">
        <v>46258.875</v>
      </c>
      <c r="E179" s="27">
        <v>46259.25</v>
      </c>
      <c r="F179" s="26" t="s">
        <v>618</v>
      </c>
    </row>
    <row r="180" spans="1:6" ht="77.5" x14ac:dyDescent="0.35">
      <c r="A180" s="25" t="s">
        <v>360</v>
      </c>
      <c r="B180" s="25" t="s">
        <v>6</v>
      </c>
      <c r="C180" s="26" t="s">
        <v>710</v>
      </c>
      <c r="D180" s="27">
        <v>46258.875</v>
      </c>
      <c r="E180" s="27">
        <v>46259.25</v>
      </c>
      <c r="F180" s="26" t="s">
        <v>711</v>
      </c>
    </row>
    <row r="181" spans="1:6" ht="77.5" x14ac:dyDescent="0.35">
      <c r="A181" s="25" t="s">
        <v>360</v>
      </c>
      <c r="B181" s="25" t="s">
        <v>2</v>
      </c>
      <c r="C181" s="26" t="s">
        <v>505</v>
      </c>
      <c r="D181" s="27">
        <v>46258.875</v>
      </c>
      <c r="E181" s="27">
        <v>46259.25</v>
      </c>
      <c r="F181" s="26" t="s">
        <v>506</v>
      </c>
    </row>
    <row r="182" spans="1:6" ht="62" x14ac:dyDescent="0.35">
      <c r="A182" s="25" t="s">
        <v>360</v>
      </c>
      <c r="B182" s="25" t="s">
        <v>2</v>
      </c>
      <c r="C182" s="26" t="s">
        <v>382</v>
      </c>
      <c r="D182" s="27">
        <v>46258.916666666701</v>
      </c>
      <c r="E182" s="27">
        <v>46259.25</v>
      </c>
      <c r="F182" s="26" t="s">
        <v>383</v>
      </c>
    </row>
    <row r="183" spans="1:6" ht="62" x14ac:dyDescent="0.35">
      <c r="A183" s="25" t="s">
        <v>360</v>
      </c>
      <c r="B183" s="25" t="s">
        <v>2</v>
      </c>
      <c r="C183" s="26" t="s">
        <v>723</v>
      </c>
      <c r="D183" s="27">
        <v>46258.875</v>
      </c>
      <c r="E183" s="27">
        <v>46259.25</v>
      </c>
      <c r="F183" s="26" t="s">
        <v>724</v>
      </c>
    </row>
    <row r="184" spans="1:6" ht="62" x14ac:dyDescent="0.35">
      <c r="A184" s="25" t="s">
        <v>619</v>
      </c>
      <c r="B184" s="25" t="s">
        <v>5</v>
      </c>
      <c r="C184" s="26" t="s">
        <v>712</v>
      </c>
      <c r="D184" s="27">
        <v>46258.875</v>
      </c>
      <c r="E184" s="27">
        <v>46259.25</v>
      </c>
      <c r="F184" s="26" t="s">
        <v>621</v>
      </c>
    </row>
    <row r="185" spans="1:6" ht="62" x14ac:dyDescent="0.35">
      <c r="A185" s="25" t="s">
        <v>195</v>
      </c>
      <c r="B185" s="25" t="s">
        <v>6</v>
      </c>
      <c r="C185" s="26" t="s">
        <v>196</v>
      </c>
      <c r="D185" s="27">
        <v>46258.833333333299</v>
      </c>
      <c r="E185" s="27">
        <v>46259.25</v>
      </c>
      <c r="F185" s="26" t="s">
        <v>197</v>
      </c>
    </row>
    <row r="186" spans="1:6" ht="108.5" x14ac:dyDescent="0.35">
      <c r="A186" s="25" t="s">
        <v>195</v>
      </c>
      <c r="B186" s="25" t="s">
        <v>6</v>
      </c>
      <c r="C186" s="26" t="s">
        <v>198</v>
      </c>
      <c r="D186" s="27">
        <v>46258.833333333299</v>
      </c>
      <c r="E186" s="27">
        <v>46259.25</v>
      </c>
      <c r="F186" s="26" t="s">
        <v>197</v>
      </c>
    </row>
    <row r="187" spans="1:6" ht="46.5" x14ac:dyDescent="0.35">
      <c r="A187" s="25" t="s">
        <v>195</v>
      </c>
      <c r="B187" s="25" t="s">
        <v>6</v>
      </c>
      <c r="C187" s="26" t="s">
        <v>199</v>
      </c>
      <c r="D187" s="27">
        <v>46258.833333333299</v>
      </c>
      <c r="E187" s="27">
        <v>46259.25</v>
      </c>
      <c r="F187" s="26" t="s">
        <v>197</v>
      </c>
    </row>
    <row r="188" spans="1:6" ht="31" x14ac:dyDescent="0.35">
      <c r="A188" s="25" t="s">
        <v>195</v>
      </c>
      <c r="B188" s="25" t="s">
        <v>6</v>
      </c>
      <c r="C188" s="26" t="s">
        <v>200</v>
      </c>
      <c r="D188" s="27">
        <v>46258.833333333299</v>
      </c>
      <c r="E188" s="27">
        <v>46259.25</v>
      </c>
      <c r="F188" s="26" t="s">
        <v>197</v>
      </c>
    </row>
    <row r="189" spans="1:6" ht="93" x14ac:dyDescent="0.35">
      <c r="A189" s="25" t="s">
        <v>195</v>
      </c>
      <c r="B189" s="25" t="s">
        <v>6</v>
      </c>
      <c r="C189" s="26" t="s">
        <v>201</v>
      </c>
      <c r="D189" s="27">
        <v>46258.833333333299</v>
      </c>
      <c r="E189" s="27">
        <v>46259.25</v>
      </c>
      <c r="F189" s="26" t="s">
        <v>197</v>
      </c>
    </row>
    <row r="190" spans="1:6" ht="93" x14ac:dyDescent="0.35">
      <c r="A190" s="25" t="s">
        <v>195</v>
      </c>
      <c r="B190" s="25" t="s">
        <v>6</v>
      </c>
      <c r="C190" s="26" t="s">
        <v>202</v>
      </c>
      <c r="D190" s="27">
        <v>46258.833333333299</v>
      </c>
      <c r="E190" s="27">
        <v>46259.25</v>
      </c>
      <c r="F190" s="26" t="s">
        <v>197</v>
      </c>
    </row>
    <row r="191" spans="1:6" ht="93" x14ac:dyDescent="0.35">
      <c r="A191" s="25" t="s">
        <v>195</v>
      </c>
      <c r="B191" s="25" t="s">
        <v>6</v>
      </c>
      <c r="C191" s="26" t="s">
        <v>203</v>
      </c>
      <c r="D191" s="27">
        <v>46258.833333333299</v>
      </c>
      <c r="E191" s="27">
        <v>46259.25</v>
      </c>
      <c r="F191" s="26" t="s">
        <v>197</v>
      </c>
    </row>
    <row r="192" spans="1:6" ht="93" x14ac:dyDescent="0.35">
      <c r="A192" s="25" t="s">
        <v>195</v>
      </c>
      <c r="B192" s="25" t="s">
        <v>2</v>
      </c>
      <c r="C192" s="26" t="s">
        <v>666</v>
      </c>
      <c r="D192" s="27">
        <v>46258.833333333299</v>
      </c>
      <c r="E192" s="27">
        <v>46259.25</v>
      </c>
      <c r="F192" s="26" t="s">
        <v>667</v>
      </c>
    </row>
    <row r="193" spans="1:6" ht="93" x14ac:dyDescent="0.35">
      <c r="A193" s="25" t="s">
        <v>195</v>
      </c>
      <c r="B193" s="25" t="s">
        <v>2</v>
      </c>
      <c r="C193" s="26" t="s">
        <v>668</v>
      </c>
      <c r="D193" s="27">
        <v>46258.833333333299</v>
      </c>
      <c r="E193" s="27">
        <v>46259.25</v>
      </c>
      <c r="F193" s="26" t="s">
        <v>667</v>
      </c>
    </row>
    <row r="194" spans="1:6" ht="62" x14ac:dyDescent="0.35">
      <c r="A194" s="25" t="s">
        <v>195</v>
      </c>
      <c r="B194" s="25" t="s">
        <v>2</v>
      </c>
      <c r="C194" s="26" t="s">
        <v>669</v>
      </c>
      <c r="D194" s="27">
        <v>46258.833333333299</v>
      </c>
      <c r="E194" s="27">
        <v>46259.25</v>
      </c>
      <c r="F194" s="26" t="s">
        <v>667</v>
      </c>
    </row>
    <row r="195" spans="1:6" ht="124" x14ac:dyDescent="0.35">
      <c r="A195" s="25" t="s">
        <v>195</v>
      </c>
      <c r="B195" s="25" t="s">
        <v>2</v>
      </c>
      <c r="C195" s="26" t="s">
        <v>678</v>
      </c>
      <c r="D195" s="27">
        <v>46258.916666666701</v>
      </c>
      <c r="E195" s="27">
        <v>46259.208333333299</v>
      </c>
      <c r="F195" s="26" t="s">
        <v>679</v>
      </c>
    </row>
    <row r="196" spans="1:6" ht="124" x14ac:dyDescent="0.35">
      <c r="A196" s="25" t="s">
        <v>221</v>
      </c>
      <c r="B196" s="25" t="s">
        <v>5</v>
      </c>
      <c r="C196" s="26" t="s">
        <v>670</v>
      </c>
      <c r="D196" s="27">
        <v>46258.875</v>
      </c>
      <c r="E196" s="27">
        <v>46259.25</v>
      </c>
      <c r="F196" s="26" t="s">
        <v>463</v>
      </c>
    </row>
    <row r="197" spans="1:6" ht="46.5" x14ac:dyDescent="0.35">
      <c r="A197" s="25" t="s">
        <v>192</v>
      </c>
      <c r="B197" s="25" t="s">
        <v>6</v>
      </c>
      <c r="C197" s="26" t="s">
        <v>193</v>
      </c>
      <c r="D197" s="27">
        <v>45804.208333333299</v>
      </c>
      <c r="E197" s="27">
        <v>46418.208333333299</v>
      </c>
      <c r="F197" s="26" t="s">
        <v>194</v>
      </c>
    </row>
    <row r="198" spans="1:6" ht="62" x14ac:dyDescent="0.35">
      <c r="A198" s="25" t="s">
        <v>226</v>
      </c>
      <c r="B198" s="25" t="s">
        <v>4</v>
      </c>
      <c r="C198" s="26" t="s">
        <v>671</v>
      </c>
      <c r="D198" s="27">
        <v>46258.875</v>
      </c>
      <c r="E198" s="27">
        <v>46259.25</v>
      </c>
      <c r="F198" s="26" t="s">
        <v>672</v>
      </c>
    </row>
    <row r="199" spans="1:6" ht="62" x14ac:dyDescent="0.35">
      <c r="A199" s="25" t="s">
        <v>226</v>
      </c>
      <c r="B199" s="25" t="s">
        <v>4</v>
      </c>
      <c r="C199" s="26" t="s">
        <v>673</v>
      </c>
      <c r="D199" s="27">
        <v>46258.875</v>
      </c>
      <c r="E199" s="27">
        <v>46259.25</v>
      </c>
      <c r="F199" s="26" t="s">
        <v>672</v>
      </c>
    </row>
    <row r="200" spans="1:6" ht="108.5" x14ac:dyDescent="0.35">
      <c r="A200" s="25" t="s">
        <v>211</v>
      </c>
      <c r="B200" s="25" t="s">
        <v>6</v>
      </c>
      <c r="C200" s="26" t="s">
        <v>430</v>
      </c>
      <c r="D200" s="27">
        <v>46258.833333333299</v>
      </c>
      <c r="E200" s="27">
        <v>46259.25</v>
      </c>
      <c r="F200" s="26" t="s">
        <v>431</v>
      </c>
    </row>
    <row r="201" spans="1:6" ht="62" x14ac:dyDescent="0.35">
      <c r="A201" s="25" t="s">
        <v>211</v>
      </c>
      <c r="B201" s="25" t="s">
        <v>6</v>
      </c>
      <c r="C201" s="26" t="s">
        <v>674</v>
      </c>
      <c r="D201" s="27">
        <v>46258.875</v>
      </c>
      <c r="E201" s="27">
        <v>46259.25</v>
      </c>
      <c r="F201" s="26" t="s">
        <v>675</v>
      </c>
    </row>
    <row r="202" spans="1:6" ht="124" x14ac:dyDescent="0.35">
      <c r="A202" s="25" t="s">
        <v>211</v>
      </c>
      <c r="B202" s="25" t="s">
        <v>6</v>
      </c>
      <c r="C202" s="26" t="s">
        <v>680</v>
      </c>
      <c r="D202" s="27">
        <v>46258.875</v>
      </c>
      <c r="E202" s="27">
        <v>46259.208333333299</v>
      </c>
      <c r="F202" s="26" t="s">
        <v>681</v>
      </c>
    </row>
    <row r="203" spans="1:6" ht="124" x14ac:dyDescent="0.35">
      <c r="A203" s="25" t="s">
        <v>211</v>
      </c>
      <c r="B203" s="25" t="s">
        <v>2</v>
      </c>
      <c r="C203" s="26" t="s">
        <v>266</v>
      </c>
      <c r="D203" s="27">
        <v>46258.916666666701</v>
      </c>
      <c r="E203" s="27">
        <v>46259.25</v>
      </c>
      <c r="F203" s="26" t="s">
        <v>267</v>
      </c>
    </row>
    <row r="204" spans="1:6" ht="139.5" x14ac:dyDescent="0.35">
      <c r="A204" s="25" t="s">
        <v>235</v>
      </c>
      <c r="B204" s="25" t="s">
        <v>8</v>
      </c>
      <c r="C204" s="26" t="s">
        <v>582</v>
      </c>
      <c r="D204" s="27">
        <v>46258.916666666701</v>
      </c>
      <c r="E204" s="27">
        <v>46259.208333333299</v>
      </c>
      <c r="F204" s="26" t="s">
        <v>583</v>
      </c>
    </row>
    <row r="205" spans="1:6" ht="139.5" x14ac:dyDescent="0.35">
      <c r="A205" s="25" t="s">
        <v>235</v>
      </c>
      <c r="B205" s="25" t="s">
        <v>7</v>
      </c>
      <c r="C205" s="26" t="s">
        <v>584</v>
      </c>
      <c r="D205" s="27">
        <v>46258.916666666701</v>
      </c>
      <c r="E205" s="27">
        <v>46259.208333333299</v>
      </c>
      <c r="F205" s="26" t="s">
        <v>583</v>
      </c>
    </row>
    <row r="206" spans="1:6" ht="62" x14ac:dyDescent="0.35">
      <c r="A206" s="25" t="s">
        <v>235</v>
      </c>
      <c r="B206" s="25" t="s">
        <v>8</v>
      </c>
      <c r="C206" s="26" t="s">
        <v>585</v>
      </c>
      <c r="D206" s="27">
        <v>46258.875</v>
      </c>
      <c r="E206" s="27">
        <v>46259.25</v>
      </c>
      <c r="F206" s="26" t="s">
        <v>586</v>
      </c>
    </row>
    <row r="207" spans="1:6" ht="46.5" x14ac:dyDescent="0.35">
      <c r="A207" s="25" t="s">
        <v>235</v>
      </c>
      <c r="B207" s="25" t="s">
        <v>8</v>
      </c>
      <c r="C207" s="26" t="s">
        <v>587</v>
      </c>
      <c r="D207" s="27">
        <v>46258.875</v>
      </c>
      <c r="E207" s="27">
        <v>46259.25</v>
      </c>
      <c r="F207" s="26" t="s">
        <v>586</v>
      </c>
    </row>
    <row r="208" spans="1:6" ht="46.5" x14ac:dyDescent="0.35">
      <c r="A208" s="25" t="s">
        <v>235</v>
      </c>
      <c r="B208" s="25" t="s">
        <v>7</v>
      </c>
      <c r="C208" s="26" t="s">
        <v>236</v>
      </c>
      <c r="D208" s="27">
        <v>46258.833333333299</v>
      </c>
      <c r="E208" s="27">
        <v>46259.25</v>
      </c>
      <c r="F208" s="26" t="s">
        <v>237</v>
      </c>
    </row>
    <row r="209" spans="1:6" ht="77.5" x14ac:dyDescent="0.35">
      <c r="A209" s="25" t="s">
        <v>235</v>
      </c>
      <c r="B209" s="25" t="s">
        <v>7</v>
      </c>
      <c r="C209" s="26" t="s">
        <v>238</v>
      </c>
      <c r="D209" s="27">
        <v>46258.833333333299</v>
      </c>
      <c r="E209" s="27">
        <v>46259.25</v>
      </c>
      <c r="F209" s="26" t="s">
        <v>237</v>
      </c>
    </row>
    <row r="210" spans="1:6" ht="77.5" x14ac:dyDescent="0.35">
      <c r="A210" s="25" t="s">
        <v>235</v>
      </c>
      <c r="B210" s="25" t="s">
        <v>8</v>
      </c>
      <c r="C210" s="26" t="s">
        <v>239</v>
      </c>
      <c r="D210" s="27">
        <v>46258.833333333299</v>
      </c>
      <c r="E210" s="27">
        <v>46259.25</v>
      </c>
      <c r="F210" s="26" t="s">
        <v>237</v>
      </c>
    </row>
    <row r="211" spans="1:6" ht="108.5" x14ac:dyDescent="0.35">
      <c r="A211" s="25" t="s">
        <v>235</v>
      </c>
      <c r="B211" s="25" t="s">
        <v>8</v>
      </c>
      <c r="C211" s="26" t="s">
        <v>240</v>
      </c>
      <c r="D211" s="27">
        <v>46258.833333333299</v>
      </c>
      <c r="E211" s="27">
        <v>46259.25</v>
      </c>
      <c r="F211" s="26" t="s">
        <v>237</v>
      </c>
    </row>
    <row r="212" spans="1:6" ht="62" x14ac:dyDescent="0.35">
      <c r="A212" s="25" t="s">
        <v>140</v>
      </c>
      <c r="B212" s="25" t="s">
        <v>6</v>
      </c>
      <c r="C212" s="26" t="s">
        <v>141</v>
      </c>
      <c r="D212" s="27">
        <v>46258.833333333299</v>
      </c>
      <c r="E212" s="27">
        <v>46259.25</v>
      </c>
      <c r="F212" s="26" t="s">
        <v>142</v>
      </c>
    </row>
    <row r="213" spans="1:6" ht="62" x14ac:dyDescent="0.35">
      <c r="A213" s="25" t="s">
        <v>140</v>
      </c>
      <c r="B213" s="25" t="s">
        <v>6</v>
      </c>
      <c r="C213" s="26" t="s">
        <v>143</v>
      </c>
      <c r="D213" s="27">
        <v>46258.833333333299</v>
      </c>
      <c r="E213" s="27">
        <v>46259.25</v>
      </c>
      <c r="F213" s="26" t="s">
        <v>142</v>
      </c>
    </row>
    <row r="214" spans="1:6" ht="46.5" x14ac:dyDescent="0.35">
      <c r="A214" s="25" t="s">
        <v>140</v>
      </c>
      <c r="B214" s="25" t="s">
        <v>6</v>
      </c>
      <c r="C214" s="26" t="s">
        <v>144</v>
      </c>
      <c r="D214" s="27">
        <v>46258.833333333299</v>
      </c>
      <c r="E214" s="27">
        <v>46259.25</v>
      </c>
      <c r="F214" s="26" t="s">
        <v>142</v>
      </c>
    </row>
    <row r="215" spans="1:6" ht="77.5" x14ac:dyDescent="0.35">
      <c r="A215" s="25" t="s">
        <v>140</v>
      </c>
      <c r="B215" s="25" t="s">
        <v>6</v>
      </c>
      <c r="C215" s="26" t="s">
        <v>145</v>
      </c>
      <c r="D215" s="27">
        <v>46258.833333333299</v>
      </c>
      <c r="E215" s="27">
        <v>46259.25</v>
      </c>
      <c r="F215" s="26" t="s">
        <v>142</v>
      </c>
    </row>
    <row r="216" spans="1:6" ht="77.5" x14ac:dyDescent="0.35">
      <c r="A216" s="25" t="s">
        <v>140</v>
      </c>
      <c r="B216" s="25" t="s">
        <v>6</v>
      </c>
      <c r="C216" s="26" t="s">
        <v>146</v>
      </c>
      <c r="D216" s="27">
        <v>46258.833333333299</v>
      </c>
      <c r="E216" s="27">
        <v>46259.25</v>
      </c>
      <c r="F216" s="26" t="s">
        <v>142</v>
      </c>
    </row>
    <row r="217" spans="1:6" ht="62" x14ac:dyDescent="0.35">
      <c r="A217" s="25" t="s">
        <v>140</v>
      </c>
      <c r="B217" s="25" t="s">
        <v>6</v>
      </c>
      <c r="C217" s="26" t="s">
        <v>147</v>
      </c>
      <c r="D217" s="27">
        <v>46258.833333333299</v>
      </c>
      <c r="E217" s="27">
        <v>46259.25</v>
      </c>
      <c r="F217" s="26" t="s">
        <v>142</v>
      </c>
    </row>
    <row r="218" spans="1:6" ht="77.5" x14ac:dyDescent="0.35">
      <c r="A218" s="25" t="s">
        <v>204</v>
      </c>
      <c r="B218" s="25" t="s">
        <v>2</v>
      </c>
      <c r="C218" s="26" t="s">
        <v>574</v>
      </c>
      <c r="D218" s="27">
        <v>46258.875</v>
      </c>
      <c r="E218" s="27">
        <v>46259.25</v>
      </c>
      <c r="F218" s="26" t="s">
        <v>206</v>
      </c>
    </row>
    <row r="219" spans="1:6" ht="77.5" x14ac:dyDescent="0.35">
      <c r="A219" s="25" t="s">
        <v>204</v>
      </c>
      <c r="B219" s="25" t="s">
        <v>2</v>
      </c>
      <c r="C219" s="26" t="s">
        <v>575</v>
      </c>
      <c r="D219" s="27">
        <v>46258.875</v>
      </c>
      <c r="E219" s="27">
        <v>46259.25</v>
      </c>
      <c r="F219" s="26" t="s">
        <v>206</v>
      </c>
    </row>
    <row r="220" spans="1:6" ht="93" x14ac:dyDescent="0.35">
      <c r="A220" s="25" t="s">
        <v>204</v>
      </c>
      <c r="B220" s="25" t="s">
        <v>2</v>
      </c>
      <c r="C220" s="26" t="s">
        <v>576</v>
      </c>
      <c r="D220" s="27">
        <v>46258.875</v>
      </c>
      <c r="E220" s="27">
        <v>46259.25</v>
      </c>
      <c r="F220" s="26" t="s">
        <v>206</v>
      </c>
    </row>
    <row r="221" spans="1:6" ht="62" x14ac:dyDescent="0.35">
      <c r="A221" s="25" t="s">
        <v>109</v>
      </c>
      <c r="B221" s="25" t="s">
        <v>5</v>
      </c>
      <c r="C221" s="26" t="s">
        <v>130</v>
      </c>
      <c r="D221" s="27">
        <v>46258.833333333299</v>
      </c>
      <c r="E221" s="27">
        <v>46259.25</v>
      </c>
      <c r="F221" s="26" t="s">
        <v>131</v>
      </c>
    </row>
    <row r="222" spans="1:6" ht="93" x14ac:dyDescent="0.35">
      <c r="A222" s="25" t="s">
        <v>109</v>
      </c>
      <c r="B222" s="25" t="s">
        <v>4</v>
      </c>
      <c r="C222" s="26" t="s">
        <v>449</v>
      </c>
      <c r="D222" s="27">
        <v>46258.833333333299</v>
      </c>
      <c r="E222" s="27">
        <v>46259.25</v>
      </c>
      <c r="F222" s="26" t="s">
        <v>153</v>
      </c>
    </row>
    <row r="223" spans="1:6" ht="93" x14ac:dyDescent="0.35">
      <c r="A223" s="25" t="s">
        <v>109</v>
      </c>
      <c r="B223" s="25" t="s">
        <v>4</v>
      </c>
      <c r="C223" s="26" t="s">
        <v>563</v>
      </c>
      <c r="D223" s="27">
        <v>46258.875</v>
      </c>
      <c r="E223" s="27">
        <v>46259.25</v>
      </c>
      <c r="F223" s="26" t="s">
        <v>564</v>
      </c>
    </row>
    <row r="224" spans="1:6" ht="77.5" x14ac:dyDescent="0.35">
      <c r="A224" s="25" t="s">
        <v>109</v>
      </c>
      <c r="B224" s="25" t="s">
        <v>4</v>
      </c>
      <c r="C224" s="26" t="s">
        <v>565</v>
      </c>
      <c r="D224" s="27">
        <v>46258.875</v>
      </c>
      <c r="E224" s="27">
        <v>46259.25</v>
      </c>
      <c r="F224" s="26" t="s">
        <v>564</v>
      </c>
    </row>
    <row r="225" spans="1:6" ht="77.5" x14ac:dyDescent="0.35">
      <c r="A225" s="25" t="s">
        <v>109</v>
      </c>
      <c r="B225" s="25" t="s">
        <v>4</v>
      </c>
      <c r="C225" s="26" t="s">
        <v>676</v>
      </c>
      <c r="D225" s="27">
        <v>46258.875</v>
      </c>
      <c r="E225" s="27">
        <v>46259.208333333299</v>
      </c>
      <c r="F225" s="26" t="s">
        <v>589</v>
      </c>
    </row>
    <row r="226" spans="1:6" ht="77.5" x14ac:dyDescent="0.35">
      <c r="A226" s="25" t="s">
        <v>109</v>
      </c>
      <c r="B226" s="25" t="s">
        <v>5</v>
      </c>
      <c r="C226" s="26" t="s">
        <v>1045</v>
      </c>
      <c r="D226" s="27">
        <v>46258.833333333299</v>
      </c>
      <c r="E226" s="27">
        <v>46259.208333333299</v>
      </c>
      <c r="F226" s="26" t="s">
        <v>1046</v>
      </c>
    </row>
    <row r="227" spans="1:6" ht="46.5" x14ac:dyDescent="0.35">
      <c r="A227" s="25" t="s">
        <v>447</v>
      </c>
      <c r="B227" s="25" t="s">
        <v>7</v>
      </c>
      <c r="C227" s="26" t="s">
        <v>448</v>
      </c>
      <c r="D227" s="27">
        <v>46258.833333333299</v>
      </c>
      <c r="E227" s="27">
        <v>46259.25</v>
      </c>
      <c r="F227" s="26" t="s">
        <v>153</v>
      </c>
    </row>
    <row r="228" spans="1:6" ht="46.5" x14ac:dyDescent="0.35">
      <c r="A228" s="25" t="s">
        <v>207</v>
      </c>
      <c r="B228" s="25" t="s">
        <v>5</v>
      </c>
      <c r="C228" s="26" t="s">
        <v>208</v>
      </c>
      <c r="D228" s="27">
        <v>46258.875</v>
      </c>
      <c r="E228" s="27">
        <v>46259.25</v>
      </c>
      <c r="F228" s="26" t="s">
        <v>209</v>
      </c>
    </row>
    <row r="229" spans="1:6" ht="46.5" x14ac:dyDescent="0.35">
      <c r="A229" s="25" t="s">
        <v>207</v>
      </c>
      <c r="B229" s="25" t="s">
        <v>5</v>
      </c>
      <c r="C229" s="26" t="s">
        <v>210</v>
      </c>
      <c r="D229" s="27">
        <v>46258.875</v>
      </c>
      <c r="E229" s="27">
        <v>46259.25</v>
      </c>
      <c r="F229" s="26" t="s">
        <v>209</v>
      </c>
    </row>
  </sheetData>
  <autoFilter ref="A2:F179" xr:uid="{98E6E4FC-49FA-4D37-80CA-04CABC7A9057}">
    <sortState xmlns:xlrd2="http://schemas.microsoft.com/office/spreadsheetml/2017/richdata2" ref="A3:F229">
      <sortCondition ref="A2:A179"/>
    </sortState>
  </autoFilter>
  <mergeCells count="1">
    <mergeCell ref="A1:F1"/>
  </mergeCells>
  <conditionalFormatting sqref="A3:F229">
    <cfRule type="expression" dxfId="3"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C4" sqref="C4"/>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5" t="str">
        <f>"Daily closure report: "&amp;'Front page'!A8</f>
        <v>Daily closure report: Tuesday, 25 August</v>
      </c>
      <c r="B1" s="35"/>
      <c r="C1" s="35"/>
      <c r="D1" s="35"/>
      <c r="E1" s="35"/>
      <c r="F1" s="35"/>
    </row>
    <row r="2" spans="1:6" s="5" customFormat="1" ht="28" x14ac:dyDescent="0.35">
      <c r="A2" s="12" t="s">
        <v>9</v>
      </c>
      <c r="B2" s="12" t="s">
        <v>1</v>
      </c>
      <c r="C2" s="12" t="s">
        <v>0</v>
      </c>
      <c r="D2" s="11" t="s">
        <v>11</v>
      </c>
      <c r="E2" s="11" t="s">
        <v>12</v>
      </c>
      <c r="F2" s="12" t="s">
        <v>10</v>
      </c>
    </row>
    <row r="3" spans="1:6" s="23" customFormat="1" ht="62" x14ac:dyDescent="0.35">
      <c r="A3" s="25" t="s">
        <v>24</v>
      </c>
      <c r="B3" s="25" t="s">
        <v>2</v>
      </c>
      <c r="C3" s="26" t="s">
        <v>25</v>
      </c>
      <c r="D3" s="27">
        <v>46259.875</v>
      </c>
      <c r="E3" s="27">
        <v>46260.208333333299</v>
      </c>
      <c r="F3" s="26" t="s">
        <v>26</v>
      </c>
    </row>
    <row r="4" spans="1:6" s="23" customFormat="1" ht="77.5" x14ac:dyDescent="0.35">
      <c r="A4" s="25" t="s">
        <v>24</v>
      </c>
      <c r="B4" s="25" t="s">
        <v>2</v>
      </c>
      <c r="C4" s="26" t="s">
        <v>34</v>
      </c>
      <c r="D4" s="27">
        <v>46259.833333333299</v>
      </c>
      <c r="E4" s="27">
        <v>46260.25</v>
      </c>
      <c r="F4" s="26" t="s">
        <v>35</v>
      </c>
    </row>
    <row r="5" spans="1:6" s="23" customFormat="1" ht="77.5" x14ac:dyDescent="0.35">
      <c r="A5" s="25" t="s">
        <v>24</v>
      </c>
      <c r="B5" s="25" t="s">
        <v>44</v>
      </c>
      <c r="C5" s="26" t="s">
        <v>45</v>
      </c>
      <c r="D5" s="27">
        <v>45847.208333333299</v>
      </c>
      <c r="E5" s="27">
        <v>46507.999305555597</v>
      </c>
      <c r="F5" s="26" t="s">
        <v>46</v>
      </c>
    </row>
    <row r="6" spans="1:6" s="23" customFormat="1" ht="77.5" x14ac:dyDescent="0.35">
      <c r="A6" s="25" t="s">
        <v>24</v>
      </c>
      <c r="B6" s="25" t="s">
        <v>6</v>
      </c>
      <c r="C6" s="26" t="s">
        <v>97</v>
      </c>
      <c r="D6" s="27">
        <v>46259.833333333299</v>
      </c>
      <c r="E6" s="27">
        <v>46260.25</v>
      </c>
      <c r="F6" s="26" t="s">
        <v>98</v>
      </c>
    </row>
    <row r="7" spans="1:6" s="23" customFormat="1" ht="62" x14ac:dyDescent="0.35">
      <c r="A7" s="25" t="s">
        <v>24</v>
      </c>
      <c r="B7" s="25" t="s">
        <v>6</v>
      </c>
      <c r="C7" s="26" t="s">
        <v>99</v>
      </c>
      <c r="D7" s="27">
        <v>46259.833333333299</v>
      </c>
      <c r="E7" s="27">
        <v>46260.25</v>
      </c>
      <c r="F7" s="26" t="s">
        <v>98</v>
      </c>
    </row>
    <row r="8" spans="1:6" s="23" customFormat="1" ht="62" x14ac:dyDescent="0.35">
      <c r="A8" s="25" t="s">
        <v>24</v>
      </c>
      <c r="B8" s="25" t="s">
        <v>6</v>
      </c>
      <c r="C8" s="26" t="s">
        <v>100</v>
      </c>
      <c r="D8" s="27">
        <v>46259.833333333299</v>
      </c>
      <c r="E8" s="27">
        <v>46260.25</v>
      </c>
      <c r="F8" s="26" t="s">
        <v>98</v>
      </c>
    </row>
    <row r="9" spans="1:6" s="23" customFormat="1" ht="46.5" x14ac:dyDescent="0.35">
      <c r="A9" s="25" t="s">
        <v>24</v>
      </c>
      <c r="B9" s="25" t="s">
        <v>6</v>
      </c>
      <c r="C9" s="26" t="s">
        <v>101</v>
      </c>
      <c r="D9" s="27">
        <v>46259.833333333299</v>
      </c>
      <c r="E9" s="27">
        <v>46260.25</v>
      </c>
      <c r="F9" s="26" t="s">
        <v>98</v>
      </c>
    </row>
    <row r="10" spans="1:6" s="23" customFormat="1" ht="46.5" x14ac:dyDescent="0.35">
      <c r="A10" s="25" t="s">
        <v>24</v>
      </c>
      <c r="B10" s="25" t="s">
        <v>6</v>
      </c>
      <c r="C10" s="26" t="s">
        <v>102</v>
      </c>
      <c r="D10" s="27">
        <v>46259.833333333299</v>
      </c>
      <c r="E10" s="27">
        <v>46260.25</v>
      </c>
      <c r="F10" s="26" t="s">
        <v>98</v>
      </c>
    </row>
    <row r="11" spans="1:6" s="23" customFormat="1" ht="77.5" x14ac:dyDescent="0.35">
      <c r="A11" s="25" t="s">
        <v>24</v>
      </c>
      <c r="B11" s="25" t="s">
        <v>6</v>
      </c>
      <c r="C11" s="26" t="s">
        <v>103</v>
      </c>
      <c r="D11" s="27">
        <v>46259.833333333299</v>
      </c>
      <c r="E11" s="27">
        <v>46260.25</v>
      </c>
      <c r="F11" s="26" t="s">
        <v>98</v>
      </c>
    </row>
    <row r="12" spans="1:6" s="23" customFormat="1" ht="62" x14ac:dyDescent="0.35">
      <c r="A12" s="25" t="s">
        <v>24</v>
      </c>
      <c r="B12" s="25" t="s">
        <v>2</v>
      </c>
      <c r="C12" s="26" t="s">
        <v>557</v>
      </c>
      <c r="D12" s="27">
        <v>46259.833333333299</v>
      </c>
      <c r="E12" s="27">
        <v>46260.25</v>
      </c>
      <c r="F12" s="26" t="s">
        <v>558</v>
      </c>
    </row>
    <row r="13" spans="1:6" s="23" customFormat="1" ht="62" x14ac:dyDescent="0.35">
      <c r="A13" s="25" t="s">
        <v>24</v>
      </c>
      <c r="B13" s="25" t="s">
        <v>2</v>
      </c>
      <c r="C13" s="26" t="s">
        <v>559</v>
      </c>
      <c r="D13" s="27">
        <v>46259.833333333299</v>
      </c>
      <c r="E13" s="27">
        <v>46260.25</v>
      </c>
      <c r="F13" s="26" t="s">
        <v>558</v>
      </c>
    </row>
    <row r="14" spans="1:6" s="23" customFormat="1" ht="62" x14ac:dyDescent="0.35">
      <c r="A14" s="25" t="s">
        <v>24</v>
      </c>
      <c r="B14" s="25" t="s">
        <v>6</v>
      </c>
      <c r="C14" s="26" t="s">
        <v>570</v>
      </c>
      <c r="D14" s="27">
        <v>46259.833333333299</v>
      </c>
      <c r="E14" s="27">
        <v>46260.25</v>
      </c>
      <c r="F14" s="26" t="s">
        <v>571</v>
      </c>
    </row>
    <row r="15" spans="1:6" s="24" customFormat="1" ht="62" x14ac:dyDescent="0.35">
      <c r="A15" s="25" t="s">
        <v>47</v>
      </c>
      <c r="B15" s="25" t="s">
        <v>2</v>
      </c>
      <c r="C15" s="26" t="s">
        <v>48</v>
      </c>
      <c r="D15" s="27">
        <v>46259.875</v>
      </c>
      <c r="E15" s="27">
        <v>46260.208333333299</v>
      </c>
      <c r="F15" s="26" t="s">
        <v>49</v>
      </c>
    </row>
    <row r="16" spans="1:6" s="24" customFormat="1" ht="62" x14ac:dyDescent="0.35">
      <c r="A16" s="25" t="s">
        <v>47</v>
      </c>
      <c r="B16" s="25" t="s">
        <v>6</v>
      </c>
      <c r="C16" s="26" t="s">
        <v>454</v>
      </c>
      <c r="D16" s="27">
        <v>46259.875</v>
      </c>
      <c r="E16" s="27">
        <v>46260.208333333299</v>
      </c>
      <c r="F16" s="26" t="s">
        <v>455</v>
      </c>
    </row>
    <row r="17" spans="1:6" s="24" customFormat="1" ht="93" x14ac:dyDescent="0.35">
      <c r="A17" s="25" t="s">
        <v>47</v>
      </c>
      <c r="B17" s="25" t="s">
        <v>6</v>
      </c>
      <c r="C17" s="26" t="s">
        <v>566</v>
      </c>
      <c r="D17" s="27">
        <v>46259.875</v>
      </c>
      <c r="E17" s="27">
        <v>46260.25</v>
      </c>
      <c r="F17" s="26" t="s">
        <v>564</v>
      </c>
    </row>
    <row r="18" spans="1:6" s="24" customFormat="1" ht="62" x14ac:dyDescent="0.35">
      <c r="A18" s="25" t="s">
        <v>47</v>
      </c>
      <c r="B18" s="25" t="s">
        <v>2</v>
      </c>
      <c r="C18" s="26" t="s">
        <v>166</v>
      </c>
      <c r="D18" s="27">
        <v>46259.833333333299</v>
      </c>
      <c r="E18" s="27">
        <v>46260.25</v>
      </c>
      <c r="F18" s="26" t="s">
        <v>165</v>
      </c>
    </row>
    <row r="19" spans="1:6" s="24" customFormat="1" ht="62" x14ac:dyDescent="0.35">
      <c r="A19" s="25" t="s">
        <v>47</v>
      </c>
      <c r="B19" s="25" t="s">
        <v>2</v>
      </c>
      <c r="C19" s="26" t="s">
        <v>167</v>
      </c>
      <c r="D19" s="27">
        <v>46259.833333333299</v>
      </c>
      <c r="E19" s="27">
        <v>46260.25</v>
      </c>
      <c r="F19" s="26" t="s">
        <v>165</v>
      </c>
    </row>
    <row r="20" spans="1:6" s="24" customFormat="1" ht="62" x14ac:dyDescent="0.35">
      <c r="A20" s="25" t="s">
        <v>47</v>
      </c>
      <c r="B20" s="25" t="s">
        <v>2</v>
      </c>
      <c r="C20" s="26" t="s">
        <v>569</v>
      </c>
      <c r="D20" s="27">
        <v>46259.833333333299</v>
      </c>
      <c r="E20" s="27">
        <v>46260.25</v>
      </c>
      <c r="F20" s="26" t="s">
        <v>165</v>
      </c>
    </row>
    <row r="21" spans="1:6" s="24" customFormat="1" ht="93" x14ac:dyDescent="0.35">
      <c r="A21" s="25" t="s">
        <v>339</v>
      </c>
      <c r="B21" s="25" t="s">
        <v>6</v>
      </c>
      <c r="C21" s="26" t="s">
        <v>340</v>
      </c>
      <c r="D21" s="27">
        <v>46259.833333333299</v>
      </c>
      <c r="E21" s="27">
        <v>46260.166666666701</v>
      </c>
      <c r="F21" s="26" t="s">
        <v>341</v>
      </c>
    </row>
    <row r="22" spans="1:6" s="24" customFormat="1" ht="46.5" x14ac:dyDescent="0.35">
      <c r="A22" s="25" t="s">
        <v>53</v>
      </c>
      <c r="B22" s="25" t="s">
        <v>6</v>
      </c>
      <c r="C22" s="26" t="s">
        <v>525</v>
      </c>
      <c r="D22" s="27">
        <v>46259.833333333299</v>
      </c>
      <c r="E22" s="27">
        <v>46260.25</v>
      </c>
      <c r="F22" s="26" t="s">
        <v>526</v>
      </c>
    </row>
    <row r="23" spans="1:6" s="24" customFormat="1" ht="62" x14ac:dyDescent="0.35">
      <c r="A23" s="25" t="s">
        <v>17</v>
      </c>
      <c r="B23" s="25" t="s">
        <v>6</v>
      </c>
      <c r="C23" s="26" t="s">
        <v>18</v>
      </c>
      <c r="D23" s="27">
        <v>46259.875</v>
      </c>
      <c r="E23" s="27">
        <v>46260.208333333299</v>
      </c>
      <c r="F23" s="26" t="s">
        <v>19</v>
      </c>
    </row>
    <row r="24" spans="1:6" s="24" customFormat="1" ht="46.5" x14ac:dyDescent="0.35">
      <c r="A24" s="25" t="s">
        <v>17</v>
      </c>
      <c r="B24" s="25" t="s">
        <v>2</v>
      </c>
      <c r="C24" s="26" t="s">
        <v>30</v>
      </c>
      <c r="D24" s="27">
        <v>46259.875</v>
      </c>
      <c r="E24" s="27">
        <v>46260.208333333299</v>
      </c>
      <c r="F24" s="26" t="s">
        <v>31</v>
      </c>
    </row>
    <row r="25" spans="1:6" s="24" customFormat="1" ht="62" x14ac:dyDescent="0.35">
      <c r="A25" s="25" t="s">
        <v>529</v>
      </c>
      <c r="B25" s="25" t="s">
        <v>5</v>
      </c>
      <c r="C25" s="26" t="s">
        <v>530</v>
      </c>
      <c r="D25" s="27">
        <v>46259.833333333299</v>
      </c>
      <c r="E25" s="27">
        <v>46260.25</v>
      </c>
      <c r="F25" s="26" t="s">
        <v>531</v>
      </c>
    </row>
    <row r="26" spans="1:6" s="24" customFormat="1" ht="46.5" x14ac:dyDescent="0.35">
      <c r="A26" s="25" t="s">
        <v>38</v>
      </c>
      <c r="B26" s="25" t="s">
        <v>4</v>
      </c>
      <c r="C26" s="26" t="s">
        <v>517</v>
      </c>
      <c r="D26" s="27">
        <v>46259.875</v>
      </c>
      <c r="E26" s="27">
        <v>46260.208333333299</v>
      </c>
      <c r="F26" s="26" t="s">
        <v>518</v>
      </c>
    </row>
    <row r="27" spans="1:6" s="24" customFormat="1" ht="62" x14ac:dyDescent="0.35">
      <c r="A27" s="25" t="s">
        <v>38</v>
      </c>
      <c r="B27" s="25" t="s">
        <v>4</v>
      </c>
      <c r="C27" s="26" t="s">
        <v>527</v>
      </c>
      <c r="D27" s="27">
        <v>46259.833333333299</v>
      </c>
      <c r="E27" s="27">
        <v>46260.25</v>
      </c>
      <c r="F27" s="26" t="s">
        <v>528</v>
      </c>
    </row>
    <row r="28" spans="1:6" s="24" customFormat="1" ht="46.5" x14ac:dyDescent="0.35">
      <c r="A28" s="25" t="s">
        <v>38</v>
      </c>
      <c r="B28" s="25" t="s">
        <v>5</v>
      </c>
      <c r="C28" s="26" t="s">
        <v>41</v>
      </c>
      <c r="D28" s="27">
        <v>46259.833333333299</v>
      </c>
      <c r="E28" s="27">
        <v>46260.25</v>
      </c>
      <c r="F28" s="26" t="s">
        <v>42</v>
      </c>
    </row>
    <row r="29" spans="1:6" s="24" customFormat="1" ht="46.5" x14ac:dyDescent="0.35">
      <c r="A29" s="25" t="s">
        <v>38</v>
      </c>
      <c r="B29" s="25" t="s">
        <v>5</v>
      </c>
      <c r="C29" s="26" t="s">
        <v>43</v>
      </c>
      <c r="D29" s="27">
        <v>46259.833333333299</v>
      </c>
      <c r="E29" s="27">
        <v>46260.25</v>
      </c>
      <c r="F29" s="26" t="s">
        <v>42</v>
      </c>
    </row>
    <row r="30" spans="1:6" s="24" customFormat="1" ht="46.5" x14ac:dyDescent="0.35">
      <c r="A30" s="25" t="s">
        <v>38</v>
      </c>
      <c r="B30" s="25" t="s">
        <v>5</v>
      </c>
      <c r="C30" s="26" t="s">
        <v>50</v>
      </c>
      <c r="D30" s="27">
        <v>46259.833333333299</v>
      </c>
      <c r="E30" s="27">
        <v>46260.25</v>
      </c>
      <c r="F30" s="26" t="s">
        <v>51</v>
      </c>
    </row>
    <row r="31" spans="1:6" s="24" customFormat="1" ht="46.5" x14ac:dyDescent="0.35">
      <c r="A31" s="25" t="s">
        <v>38</v>
      </c>
      <c r="B31" s="25" t="s">
        <v>4</v>
      </c>
      <c r="C31" s="26" t="s">
        <v>52</v>
      </c>
      <c r="D31" s="27">
        <v>46259.833333333299</v>
      </c>
      <c r="E31" s="27">
        <v>46260.25</v>
      </c>
      <c r="F31" s="26" t="s">
        <v>51</v>
      </c>
    </row>
    <row r="32" spans="1:6" s="24" customFormat="1" ht="93" x14ac:dyDescent="0.35">
      <c r="A32" s="25" t="s">
        <v>38</v>
      </c>
      <c r="B32" s="25" t="s">
        <v>5</v>
      </c>
      <c r="C32" s="26" t="s">
        <v>78</v>
      </c>
      <c r="D32" s="27">
        <v>46258.541666666701</v>
      </c>
      <c r="E32" s="27">
        <v>46262.25</v>
      </c>
      <c r="F32" s="26" t="s">
        <v>79</v>
      </c>
    </row>
    <row r="33" spans="1:6" s="24" customFormat="1" ht="93" x14ac:dyDescent="0.35">
      <c r="A33" s="25" t="s">
        <v>38</v>
      </c>
      <c r="B33" s="25" t="s">
        <v>5</v>
      </c>
      <c r="C33" s="26" t="s">
        <v>80</v>
      </c>
      <c r="D33" s="27">
        <v>46259.833333333299</v>
      </c>
      <c r="E33" s="27">
        <v>46260.25</v>
      </c>
      <c r="F33" s="26" t="s">
        <v>79</v>
      </c>
    </row>
    <row r="34" spans="1:6" s="24" customFormat="1" ht="93" x14ac:dyDescent="0.35">
      <c r="A34" s="25" t="s">
        <v>38</v>
      </c>
      <c r="B34" s="25" t="s">
        <v>5</v>
      </c>
      <c r="C34" s="26" t="s">
        <v>81</v>
      </c>
      <c r="D34" s="27">
        <v>46259.833333333299</v>
      </c>
      <c r="E34" s="27">
        <v>46260.25</v>
      </c>
      <c r="F34" s="26" t="s">
        <v>79</v>
      </c>
    </row>
    <row r="35" spans="1:6" s="24" customFormat="1" ht="93" x14ac:dyDescent="0.35">
      <c r="A35" s="25" t="s">
        <v>38</v>
      </c>
      <c r="B35" s="25" t="s">
        <v>5</v>
      </c>
      <c r="C35" s="26" t="s">
        <v>82</v>
      </c>
      <c r="D35" s="27">
        <v>46259.833333333299</v>
      </c>
      <c r="E35" s="27">
        <v>46260.25</v>
      </c>
      <c r="F35" s="26" t="s">
        <v>79</v>
      </c>
    </row>
    <row r="36" spans="1:6" s="24" customFormat="1" ht="93" x14ac:dyDescent="0.35">
      <c r="A36" s="25" t="s">
        <v>38</v>
      </c>
      <c r="B36" s="25" t="s">
        <v>5</v>
      </c>
      <c r="C36" s="26" t="s">
        <v>83</v>
      </c>
      <c r="D36" s="27">
        <v>46259.833333333299</v>
      </c>
      <c r="E36" s="27">
        <v>46260.25</v>
      </c>
      <c r="F36" s="26" t="s">
        <v>79</v>
      </c>
    </row>
    <row r="37" spans="1:6" s="24" customFormat="1" ht="93" x14ac:dyDescent="0.35">
      <c r="A37" s="25" t="s">
        <v>38</v>
      </c>
      <c r="B37" s="25" t="s">
        <v>5</v>
      </c>
      <c r="C37" s="26" t="s">
        <v>84</v>
      </c>
      <c r="D37" s="27">
        <v>46259.833333333299</v>
      </c>
      <c r="E37" s="27">
        <v>46260.25</v>
      </c>
      <c r="F37" s="26" t="s">
        <v>79</v>
      </c>
    </row>
    <row r="38" spans="1:6" s="24" customFormat="1" ht="93" x14ac:dyDescent="0.35">
      <c r="A38" s="25" t="s">
        <v>38</v>
      </c>
      <c r="B38" s="25" t="s">
        <v>5</v>
      </c>
      <c r="C38" s="26" t="s">
        <v>85</v>
      </c>
      <c r="D38" s="27">
        <v>46259.833333333299</v>
      </c>
      <c r="E38" s="27">
        <v>46260.25</v>
      </c>
      <c r="F38" s="26" t="s">
        <v>79</v>
      </c>
    </row>
    <row r="39" spans="1:6" s="24" customFormat="1" ht="93" x14ac:dyDescent="0.35">
      <c r="A39" s="25" t="s">
        <v>38</v>
      </c>
      <c r="B39" s="25" t="s">
        <v>5</v>
      </c>
      <c r="C39" s="26" t="s">
        <v>86</v>
      </c>
      <c r="D39" s="27">
        <v>46259.833333333299</v>
      </c>
      <c r="E39" s="27">
        <v>46260.25</v>
      </c>
      <c r="F39" s="26" t="s">
        <v>79</v>
      </c>
    </row>
    <row r="40" spans="1:6" s="24" customFormat="1" ht="46.5" x14ac:dyDescent="0.35">
      <c r="A40" s="25" t="s">
        <v>38</v>
      </c>
      <c r="B40" s="25" t="s">
        <v>4</v>
      </c>
      <c r="C40" s="26" t="s">
        <v>549</v>
      </c>
      <c r="D40" s="27">
        <v>46259.541666666701</v>
      </c>
      <c r="E40" s="27">
        <v>46260.25</v>
      </c>
      <c r="F40" s="26" t="s">
        <v>550</v>
      </c>
    </row>
    <row r="41" spans="1:6" s="24" customFormat="1" ht="77.5" x14ac:dyDescent="0.35">
      <c r="A41" s="25" t="s">
        <v>184</v>
      </c>
      <c r="B41" s="25" t="s">
        <v>6</v>
      </c>
      <c r="C41" s="26" t="s">
        <v>185</v>
      </c>
      <c r="D41" s="27">
        <v>46259.833333333299</v>
      </c>
      <c r="E41" s="27">
        <v>46260.25</v>
      </c>
      <c r="F41" s="26" t="s">
        <v>186</v>
      </c>
    </row>
    <row r="42" spans="1:6" s="24" customFormat="1" ht="77.5" x14ac:dyDescent="0.35">
      <c r="A42" s="25" t="s">
        <v>184</v>
      </c>
      <c r="B42" s="25" t="s">
        <v>2</v>
      </c>
      <c r="C42" s="26" t="s">
        <v>187</v>
      </c>
      <c r="D42" s="27">
        <v>46259.833333333299</v>
      </c>
      <c r="E42" s="27">
        <v>46260.25</v>
      </c>
      <c r="F42" s="26" t="s">
        <v>186</v>
      </c>
    </row>
    <row r="43" spans="1:6" s="24" customFormat="1" ht="46.5" x14ac:dyDescent="0.35">
      <c r="A43" s="25" t="s">
        <v>184</v>
      </c>
      <c r="B43" s="25" t="s">
        <v>6</v>
      </c>
      <c r="C43" s="26" t="s">
        <v>188</v>
      </c>
      <c r="D43" s="27">
        <v>46259.833333333299</v>
      </c>
      <c r="E43" s="27">
        <v>46260.25</v>
      </c>
      <c r="F43" s="26" t="s">
        <v>189</v>
      </c>
    </row>
    <row r="44" spans="1:6" s="24" customFormat="1" ht="46.5" x14ac:dyDescent="0.35">
      <c r="A44" s="25" t="s">
        <v>184</v>
      </c>
      <c r="B44" s="25" t="s">
        <v>2</v>
      </c>
      <c r="C44" s="26" t="s">
        <v>572</v>
      </c>
      <c r="D44" s="27">
        <v>46259.833333333299</v>
      </c>
      <c r="E44" s="27">
        <v>46260.25</v>
      </c>
      <c r="F44" s="26" t="s">
        <v>573</v>
      </c>
    </row>
    <row r="45" spans="1:6" s="24" customFormat="1" ht="31" x14ac:dyDescent="0.35">
      <c r="A45" s="25" t="s">
        <v>184</v>
      </c>
      <c r="B45" s="25" t="s">
        <v>2</v>
      </c>
      <c r="C45" s="26" t="s">
        <v>190</v>
      </c>
      <c r="D45" s="27">
        <v>46259.833333333299</v>
      </c>
      <c r="E45" s="27">
        <v>46260.25</v>
      </c>
      <c r="F45" s="26" t="s">
        <v>191</v>
      </c>
    </row>
    <row r="46" spans="1:6" s="24" customFormat="1" ht="46.5" x14ac:dyDescent="0.35">
      <c r="A46" s="25" t="s">
        <v>297</v>
      </c>
      <c r="B46" s="25" t="s">
        <v>5</v>
      </c>
      <c r="C46" s="26" t="s">
        <v>298</v>
      </c>
      <c r="D46" s="27">
        <v>46259.833333333299</v>
      </c>
      <c r="E46" s="27">
        <v>46260.25</v>
      </c>
      <c r="F46" s="26" t="s">
        <v>299</v>
      </c>
    </row>
    <row r="47" spans="1:6" s="24" customFormat="1" ht="62" x14ac:dyDescent="0.35">
      <c r="A47" s="25" t="s">
        <v>297</v>
      </c>
      <c r="B47" s="25" t="s">
        <v>4</v>
      </c>
      <c r="C47" s="26" t="s">
        <v>485</v>
      </c>
      <c r="D47" s="27">
        <v>46259.875</v>
      </c>
      <c r="E47" s="27">
        <v>46260.25</v>
      </c>
      <c r="F47" s="26" t="s">
        <v>486</v>
      </c>
    </row>
    <row r="48" spans="1:6" s="24" customFormat="1" ht="62" x14ac:dyDescent="0.35">
      <c r="A48" s="25" t="s">
        <v>297</v>
      </c>
      <c r="B48" s="25" t="s">
        <v>5</v>
      </c>
      <c r="C48" s="26" t="s">
        <v>610</v>
      </c>
      <c r="D48" s="27">
        <v>46259.916666666701</v>
      </c>
      <c r="E48" s="27">
        <v>46260.229166666701</v>
      </c>
      <c r="F48" s="26" t="s">
        <v>334</v>
      </c>
    </row>
    <row r="49" spans="1:6" s="24" customFormat="1" ht="62" x14ac:dyDescent="0.35">
      <c r="A49" s="25" t="s">
        <v>606</v>
      </c>
      <c r="B49" s="25" t="s">
        <v>44</v>
      </c>
      <c r="C49" s="26" t="s">
        <v>607</v>
      </c>
      <c r="D49" s="27">
        <v>46259.916666666701</v>
      </c>
      <c r="E49" s="27">
        <v>46260.229166666701</v>
      </c>
      <c r="F49" s="26" t="s">
        <v>608</v>
      </c>
    </row>
    <row r="50" spans="1:6" s="24" customFormat="1" ht="62" x14ac:dyDescent="0.35">
      <c r="A50" s="25" t="s">
        <v>606</v>
      </c>
      <c r="B50" s="25" t="s">
        <v>44</v>
      </c>
      <c r="C50" s="26" t="s">
        <v>609</v>
      </c>
      <c r="D50" s="27">
        <v>46259.916666666701</v>
      </c>
      <c r="E50" s="27">
        <v>46260.229166666701</v>
      </c>
      <c r="F50" s="26" t="s">
        <v>608</v>
      </c>
    </row>
    <row r="51" spans="1:6" s="24" customFormat="1" ht="62" x14ac:dyDescent="0.35">
      <c r="A51" s="25" t="s">
        <v>294</v>
      </c>
      <c r="B51" s="25" t="s">
        <v>44</v>
      </c>
      <c r="C51" s="26" t="s">
        <v>295</v>
      </c>
      <c r="D51" s="27">
        <v>46259.833333333299</v>
      </c>
      <c r="E51" s="27">
        <v>46260.25</v>
      </c>
      <c r="F51" s="26" t="s">
        <v>296</v>
      </c>
    </row>
    <row r="52" spans="1:6" s="24" customFormat="1" ht="46.5" x14ac:dyDescent="0.35">
      <c r="A52" s="25" t="s">
        <v>310</v>
      </c>
      <c r="B52" s="25" t="s">
        <v>2</v>
      </c>
      <c r="C52" s="26" t="s">
        <v>311</v>
      </c>
      <c r="D52" s="27">
        <v>46259.833333333299</v>
      </c>
      <c r="E52" s="27">
        <v>46260.25</v>
      </c>
      <c r="F52" s="26" t="s">
        <v>312</v>
      </c>
    </row>
    <row r="53" spans="1:6" s="24" customFormat="1" ht="31" x14ac:dyDescent="0.35">
      <c r="A53" s="25" t="s">
        <v>307</v>
      </c>
      <c r="B53" s="25" t="s">
        <v>5</v>
      </c>
      <c r="C53" s="26" t="s">
        <v>596</v>
      </c>
      <c r="D53" s="27">
        <v>46259.875</v>
      </c>
      <c r="E53" s="27">
        <v>46260.25</v>
      </c>
      <c r="F53" s="26" t="s">
        <v>476</v>
      </c>
    </row>
    <row r="54" spans="1:6" s="24" customFormat="1" ht="46.5" x14ac:dyDescent="0.35">
      <c r="A54" s="25" t="s">
        <v>307</v>
      </c>
      <c r="B54" s="25" t="s">
        <v>4</v>
      </c>
      <c r="C54" s="26" t="s">
        <v>481</v>
      </c>
      <c r="D54" s="27">
        <v>46259.833333333299</v>
      </c>
      <c r="E54" s="27">
        <v>46260.25</v>
      </c>
      <c r="F54" s="26" t="s">
        <v>482</v>
      </c>
    </row>
    <row r="55" spans="1:6" s="24" customFormat="1" ht="46.5" x14ac:dyDescent="0.35">
      <c r="A55" s="25" t="s">
        <v>307</v>
      </c>
      <c r="B55" s="25" t="s">
        <v>4</v>
      </c>
      <c r="C55" s="26" t="s">
        <v>308</v>
      </c>
      <c r="D55" s="27">
        <v>46259.833333333299</v>
      </c>
      <c r="E55" s="27">
        <v>46260.25</v>
      </c>
      <c r="F55" s="26" t="s">
        <v>309</v>
      </c>
    </row>
    <row r="56" spans="1:6" s="24" customFormat="1" ht="62" x14ac:dyDescent="0.35">
      <c r="A56" s="25" t="s">
        <v>271</v>
      </c>
      <c r="B56" s="25" t="s">
        <v>2</v>
      </c>
      <c r="C56" s="26" t="s">
        <v>272</v>
      </c>
      <c r="D56" s="27">
        <v>46259.875</v>
      </c>
      <c r="E56" s="27">
        <v>46260.25</v>
      </c>
      <c r="F56" s="26" t="s">
        <v>273</v>
      </c>
    </row>
    <row r="57" spans="1:6" s="24" customFormat="1" ht="62" x14ac:dyDescent="0.35">
      <c r="A57" s="25" t="s">
        <v>271</v>
      </c>
      <c r="B57" s="25" t="s">
        <v>2</v>
      </c>
      <c r="C57" s="26" t="s">
        <v>594</v>
      </c>
      <c r="D57" s="27">
        <v>46259.875</v>
      </c>
      <c r="E57" s="27">
        <v>46260.25</v>
      </c>
      <c r="F57" s="26" t="s">
        <v>595</v>
      </c>
    </row>
    <row r="58" spans="1:6" s="24" customFormat="1" ht="46.5" x14ac:dyDescent="0.35">
      <c r="A58" s="25" t="s">
        <v>271</v>
      </c>
      <c r="B58" s="25" t="s">
        <v>2</v>
      </c>
      <c r="C58" s="26" t="s">
        <v>477</v>
      </c>
      <c r="D58" s="27">
        <v>46259.875</v>
      </c>
      <c r="E58" s="27">
        <v>46260.25</v>
      </c>
      <c r="F58" s="26" t="s">
        <v>478</v>
      </c>
    </row>
    <row r="59" spans="1:6" s="24" customFormat="1" ht="31" x14ac:dyDescent="0.35">
      <c r="A59" s="25" t="s">
        <v>271</v>
      </c>
      <c r="B59" s="25" t="s">
        <v>6</v>
      </c>
      <c r="C59" s="26" t="s">
        <v>479</v>
      </c>
      <c r="D59" s="27">
        <v>46259.875</v>
      </c>
      <c r="E59" s="27">
        <v>46260.25</v>
      </c>
      <c r="F59" s="26" t="s">
        <v>480</v>
      </c>
    </row>
    <row r="60" spans="1:6" s="24" customFormat="1" ht="31" x14ac:dyDescent="0.35">
      <c r="A60" s="25" t="s">
        <v>271</v>
      </c>
      <c r="B60" s="25" t="s">
        <v>44</v>
      </c>
      <c r="C60" s="26" t="s">
        <v>287</v>
      </c>
      <c r="D60" s="27">
        <v>46259.875</v>
      </c>
      <c r="E60" s="27">
        <v>46260.25</v>
      </c>
      <c r="F60" s="26" t="s">
        <v>288</v>
      </c>
    </row>
    <row r="61" spans="1:6" s="24" customFormat="1" ht="108.5" x14ac:dyDescent="0.35">
      <c r="A61" s="25" t="s">
        <v>271</v>
      </c>
      <c r="B61" s="25" t="s">
        <v>2</v>
      </c>
      <c r="C61" s="26" t="s">
        <v>335</v>
      </c>
      <c r="D61" s="27">
        <v>46259.916666666701</v>
      </c>
      <c r="E61" s="27">
        <v>46260.229166666701</v>
      </c>
      <c r="F61" s="26" t="s">
        <v>336</v>
      </c>
    </row>
    <row r="62" spans="1:6" s="24" customFormat="1" ht="124" x14ac:dyDescent="0.35">
      <c r="A62" s="25" t="s">
        <v>348</v>
      </c>
      <c r="B62" s="25" t="s">
        <v>5</v>
      </c>
      <c r="C62" s="26" t="s">
        <v>349</v>
      </c>
      <c r="D62" s="27">
        <v>46259.833333333299</v>
      </c>
      <c r="E62" s="27">
        <v>46260.25</v>
      </c>
      <c r="F62" s="26" t="s">
        <v>350</v>
      </c>
    </row>
    <row r="63" spans="1:6" s="24" customFormat="1" ht="124" x14ac:dyDescent="0.35">
      <c r="A63" s="25" t="s">
        <v>348</v>
      </c>
      <c r="B63" s="25" t="s">
        <v>5</v>
      </c>
      <c r="C63" s="26" t="s">
        <v>351</v>
      </c>
      <c r="D63" s="27">
        <v>46259.833333333299</v>
      </c>
      <c r="E63" s="27">
        <v>46260.25</v>
      </c>
      <c r="F63" s="26" t="s">
        <v>350</v>
      </c>
    </row>
    <row r="64" spans="1:6" s="24" customFormat="1" ht="31" x14ac:dyDescent="0.35">
      <c r="A64" s="25" t="s">
        <v>348</v>
      </c>
      <c r="B64" s="25" t="s">
        <v>44</v>
      </c>
      <c r="C64" s="26" t="s">
        <v>503</v>
      </c>
      <c r="D64" s="27">
        <v>46259.833333333299</v>
      </c>
      <c r="E64" s="27">
        <v>46260.25</v>
      </c>
      <c r="F64" s="26" t="s">
        <v>504</v>
      </c>
    </row>
    <row r="65" spans="1:6" s="24" customFormat="1" ht="46.5" x14ac:dyDescent="0.35">
      <c r="A65" s="25" t="s">
        <v>283</v>
      </c>
      <c r="B65" s="25" t="s">
        <v>4</v>
      </c>
      <c r="C65" s="26" t="s">
        <v>599</v>
      </c>
      <c r="D65" s="27">
        <v>46259.875</v>
      </c>
      <c r="E65" s="27">
        <v>46260.25</v>
      </c>
      <c r="F65" s="26" t="s">
        <v>598</v>
      </c>
    </row>
    <row r="66" spans="1:6" s="24" customFormat="1" ht="46.5" x14ac:dyDescent="0.35">
      <c r="A66" s="25" t="s">
        <v>283</v>
      </c>
      <c r="B66" s="25" t="s">
        <v>5</v>
      </c>
      <c r="C66" s="26" t="s">
        <v>284</v>
      </c>
      <c r="D66" s="27">
        <v>46259.875</v>
      </c>
      <c r="E66" s="27">
        <v>46260.25</v>
      </c>
      <c r="F66" s="26" t="s">
        <v>285</v>
      </c>
    </row>
    <row r="67" spans="1:6" s="24" customFormat="1" ht="46.5" x14ac:dyDescent="0.35">
      <c r="A67" s="25" t="s">
        <v>283</v>
      </c>
      <c r="B67" s="25" t="s">
        <v>4</v>
      </c>
      <c r="C67" s="26" t="s">
        <v>286</v>
      </c>
      <c r="D67" s="27">
        <v>46259.875</v>
      </c>
      <c r="E67" s="27">
        <v>46260.25</v>
      </c>
      <c r="F67" s="26" t="s">
        <v>285</v>
      </c>
    </row>
    <row r="68" spans="1:6" s="24" customFormat="1" ht="62" x14ac:dyDescent="0.35">
      <c r="A68" s="25" t="s">
        <v>283</v>
      </c>
      <c r="B68" s="25" t="s">
        <v>44</v>
      </c>
      <c r="C68" s="26" t="s">
        <v>356</v>
      </c>
      <c r="D68" s="27">
        <v>46259.833333333299</v>
      </c>
      <c r="E68" s="27">
        <v>46260.25</v>
      </c>
      <c r="F68" s="26" t="s">
        <v>357</v>
      </c>
    </row>
    <row r="69" spans="1:6" s="24" customFormat="1" ht="108.5" x14ac:dyDescent="0.35">
      <c r="A69" s="25" t="s">
        <v>283</v>
      </c>
      <c r="B69" s="25" t="s">
        <v>44</v>
      </c>
      <c r="C69" s="26" t="s">
        <v>358</v>
      </c>
      <c r="D69" s="27">
        <v>46259.875</v>
      </c>
      <c r="E69" s="27">
        <v>46260.25</v>
      </c>
      <c r="F69" s="26" t="s">
        <v>359</v>
      </c>
    </row>
    <row r="70" spans="1:6" s="24" customFormat="1" ht="46.5" x14ac:dyDescent="0.35">
      <c r="A70" s="25" t="s">
        <v>274</v>
      </c>
      <c r="B70" s="25" t="s">
        <v>2</v>
      </c>
      <c r="C70" s="26" t="s">
        <v>275</v>
      </c>
      <c r="D70" s="27">
        <v>46259.875</v>
      </c>
      <c r="E70" s="27">
        <v>46260.25</v>
      </c>
      <c r="F70" s="26" t="s">
        <v>276</v>
      </c>
    </row>
    <row r="71" spans="1:6" s="24" customFormat="1" ht="31" x14ac:dyDescent="0.35">
      <c r="A71" s="25" t="s">
        <v>274</v>
      </c>
      <c r="B71" s="25" t="s">
        <v>6</v>
      </c>
      <c r="C71" s="26" t="s">
        <v>600</v>
      </c>
      <c r="D71" s="27">
        <v>46259.875</v>
      </c>
      <c r="E71" s="27">
        <v>46260.25</v>
      </c>
      <c r="F71" s="26" t="s">
        <v>601</v>
      </c>
    </row>
    <row r="72" spans="1:6" s="24" customFormat="1" ht="46.5" x14ac:dyDescent="0.35">
      <c r="A72" s="25" t="s">
        <v>372</v>
      </c>
      <c r="B72" s="25" t="s">
        <v>44</v>
      </c>
      <c r="C72" s="26" t="s">
        <v>373</v>
      </c>
      <c r="D72" s="27">
        <v>46259.833333333299</v>
      </c>
      <c r="E72" s="27">
        <v>46260.25</v>
      </c>
      <c r="F72" s="26" t="s">
        <v>374</v>
      </c>
    </row>
    <row r="73" spans="1:6" s="24" customFormat="1" ht="139.5" x14ac:dyDescent="0.35">
      <c r="A73" s="25" t="s">
        <v>363</v>
      </c>
      <c r="B73" s="25" t="s">
        <v>44</v>
      </c>
      <c r="C73" s="26" t="s">
        <v>364</v>
      </c>
      <c r="D73" s="27">
        <v>46259.833333333299</v>
      </c>
      <c r="E73" s="27">
        <v>46260.25</v>
      </c>
      <c r="F73" s="26" t="s">
        <v>365</v>
      </c>
    </row>
    <row r="74" spans="1:6" s="24" customFormat="1" ht="46.5" x14ac:dyDescent="0.35">
      <c r="A74" s="25" t="s">
        <v>87</v>
      </c>
      <c r="B74" s="25" t="s">
        <v>4</v>
      </c>
      <c r="C74" s="26" t="s">
        <v>352</v>
      </c>
      <c r="D74" s="27">
        <v>46259.8125</v>
      </c>
      <c r="E74" s="27">
        <v>46260.25</v>
      </c>
      <c r="F74" s="26" t="s">
        <v>353</v>
      </c>
    </row>
    <row r="75" spans="1:6" s="24" customFormat="1" ht="62" x14ac:dyDescent="0.35">
      <c r="A75" s="25" t="s">
        <v>87</v>
      </c>
      <c r="B75" s="25" t="s">
        <v>5</v>
      </c>
      <c r="C75" s="26" t="s">
        <v>354</v>
      </c>
      <c r="D75" s="27">
        <v>46259.8125</v>
      </c>
      <c r="E75" s="27">
        <v>46260.25</v>
      </c>
      <c r="F75" s="26" t="s">
        <v>355</v>
      </c>
    </row>
    <row r="76" spans="1:6" s="24" customFormat="1" ht="108.5" x14ac:dyDescent="0.35">
      <c r="A76" s="25" t="s">
        <v>87</v>
      </c>
      <c r="B76" s="25" t="s">
        <v>6</v>
      </c>
      <c r="C76" s="26" t="s">
        <v>380</v>
      </c>
      <c r="D76" s="27">
        <v>46202.875</v>
      </c>
      <c r="E76" s="27">
        <v>46508.208333333299</v>
      </c>
      <c r="F76" s="26" t="s">
        <v>381</v>
      </c>
    </row>
    <row r="77" spans="1:6" s="24" customFormat="1" ht="77.5" x14ac:dyDescent="0.35">
      <c r="A77" s="25" t="s">
        <v>87</v>
      </c>
      <c r="B77" s="25" t="s">
        <v>6</v>
      </c>
      <c r="C77" s="26" t="s">
        <v>388</v>
      </c>
      <c r="D77" s="27">
        <v>46259.875</v>
      </c>
      <c r="E77" s="27">
        <v>46260.25</v>
      </c>
      <c r="F77" s="26" t="s">
        <v>389</v>
      </c>
    </row>
    <row r="78" spans="1:6" s="24" customFormat="1" ht="77.5" x14ac:dyDescent="0.35">
      <c r="A78" s="25" t="s">
        <v>611</v>
      </c>
      <c r="B78" s="25" t="s">
        <v>4</v>
      </c>
      <c r="C78" s="26" t="s">
        <v>612</v>
      </c>
      <c r="D78" s="27">
        <v>46259.916666666701</v>
      </c>
      <c r="E78" s="27">
        <v>46260.229166666701</v>
      </c>
      <c r="F78" s="26" t="s">
        <v>613</v>
      </c>
    </row>
    <row r="79" spans="1:6" s="24" customFormat="1" ht="62" x14ac:dyDescent="0.35">
      <c r="A79" s="25" t="s">
        <v>412</v>
      </c>
      <c r="B79" s="25" t="s">
        <v>5</v>
      </c>
      <c r="C79" s="26" t="s">
        <v>413</v>
      </c>
      <c r="D79" s="27">
        <v>46259.833333333299</v>
      </c>
      <c r="E79" s="27">
        <v>46260.25</v>
      </c>
      <c r="F79" s="26" t="s">
        <v>414</v>
      </c>
    </row>
    <row r="80" spans="1:6" s="24" customFormat="1" ht="77.5" x14ac:dyDescent="0.35">
      <c r="A80" s="25" t="s">
        <v>375</v>
      </c>
      <c r="B80" s="25" t="s">
        <v>2</v>
      </c>
      <c r="C80" s="26" t="s">
        <v>376</v>
      </c>
      <c r="D80" s="27">
        <v>46259.875</v>
      </c>
      <c r="E80" s="27">
        <v>46260.25</v>
      </c>
      <c r="F80" s="26" t="s">
        <v>377</v>
      </c>
    </row>
    <row r="81" spans="1:6" s="24" customFormat="1" ht="77.5" x14ac:dyDescent="0.35">
      <c r="A81" s="25" t="s">
        <v>375</v>
      </c>
      <c r="B81" s="25" t="s">
        <v>6</v>
      </c>
      <c r="C81" s="26" t="s">
        <v>378</v>
      </c>
      <c r="D81" s="27">
        <v>46259.875</v>
      </c>
      <c r="E81" s="27">
        <v>46260.25</v>
      </c>
      <c r="F81" s="26" t="s">
        <v>379</v>
      </c>
    </row>
    <row r="82" spans="1:6" s="24" customFormat="1" ht="93" x14ac:dyDescent="0.35">
      <c r="A82" s="25" t="s">
        <v>71</v>
      </c>
      <c r="B82" s="25" t="s">
        <v>6</v>
      </c>
      <c r="C82" s="26" t="s">
        <v>535</v>
      </c>
      <c r="D82" s="27">
        <v>46259.833333333299</v>
      </c>
      <c r="E82" s="27">
        <v>46260.25</v>
      </c>
      <c r="F82" s="26" t="s">
        <v>73</v>
      </c>
    </row>
    <row r="83" spans="1:6" s="24" customFormat="1" ht="77.5" x14ac:dyDescent="0.35">
      <c r="A83" s="25" t="s">
        <v>71</v>
      </c>
      <c r="B83" s="25" t="s">
        <v>44</v>
      </c>
      <c r="C83" s="26" t="s">
        <v>623</v>
      </c>
      <c r="D83" s="27">
        <v>46259.875</v>
      </c>
      <c r="E83" s="27">
        <v>46260.25</v>
      </c>
      <c r="F83" s="26" t="s">
        <v>624</v>
      </c>
    </row>
    <row r="84" spans="1:6" s="24" customFormat="1" ht="93" x14ac:dyDescent="0.35">
      <c r="A84" s="25" t="s">
        <v>71</v>
      </c>
      <c r="B84" s="25" t="s">
        <v>7</v>
      </c>
      <c r="C84" s="26" t="s">
        <v>395</v>
      </c>
      <c r="D84" s="27">
        <v>46217.625</v>
      </c>
      <c r="E84" s="27">
        <v>46387.875</v>
      </c>
      <c r="F84" s="26" t="s">
        <v>396</v>
      </c>
    </row>
    <row r="85" spans="1:6" s="24" customFormat="1" ht="77.5" x14ac:dyDescent="0.35">
      <c r="A85" s="25" t="s">
        <v>93</v>
      </c>
      <c r="B85" s="25" t="s">
        <v>2</v>
      </c>
      <c r="C85" s="26" t="s">
        <v>393</v>
      </c>
      <c r="D85" s="27">
        <v>46259.833333333299</v>
      </c>
      <c r="E85" s="27">
        <v>46260.25</v>
      </c>
      <c r="F85" s="26" t="s">
        <v>394</v>
      </c>
    </row>
    <row r="86" spans="1:6" s="24" customFormat="1" ht="77.5" x14ac:dyDescent="0.35">
      <c r="A86" s="25" t="s">
        <v>93</v>
      </c>
      <c r="B86" s="25" t="s">
        <v>44</v>
      </c>
      <c r="C86" s="26" t="s">
        <v>397</v>
      </c>
      <c r="D86" s="27">
        <v>46259.875</v>
      </c>
      <c r="E86" s="27">
        <v>46260.25</v>
      </c>
      <c r="F86" s="26" t="s">
        <v>398</v>
      </c>
    </row>
    <row r="87" spans="1:6" s="24" customFormat="1" ht="77.5" x14ac:dyDescent="0.35">
      <c r="A87" s="25" t="s">
        <v>20</v>
      </c>
      <c r="B87" s="25" t="s">
        <v>4</v>
      </c>
      <c r="C87" s="26" t="s">
        <v>21</v>
      </c>
      <c r="D87" s="27">
        <v>46259.833333333299</v>
      </c>
      <c r="E87" s="27">
        <v>46260.25</v>
      </c>
      <c r="F87" s="26" t="s">
        <v>22</v>
      </c>
    </row>
    <row r="88" spans="1:6" s="24" customFormat="1" ht="77.5" x14ac:dyDescent="0.35">
      <c r="A88" s="25" t="s">
        <v>20</v>
      </c>
      <c r="B88" s="25" t="s">
        <v>44</v>
      </c>
      <c r="C88" s="26" t="s">
        <v>408</v>
      </c>
      <c r="D88" s="27">
        <v>46259.833333333299</v>
      </c>
      <c r="E88" s="27">
        <v>46260.25</v>
      </c>
      <c r="F88" s="26" t="s">
        <v>22</v>
      </c>
    </row>
    <row r="89" spans="1:6" s="24" customFormat="1" ht="77.5" x14ac:dyDescent="0.35">
      <c r="A89" s="25" t="s">
        <v>20</v>
      </c>
      <c r="B89" s="25" t="s">
        <v>4</v>
      </c>
      <c r="C89" s="26" t="s">
        <v>23</v>
      </c>
      <c r="D89" s="27">
        <v>46259.833333333299</v>
      </c>
      <c r="E89" s="27">
        <v>46260.25</v>
      </c>
      <c r="F89" s="26" t="s">
        <v>22</v>
      </c>
    </row>
    <row r="90" spans="1:6" s="24" customFormat="1" ht="62" x14ac:dyDescent="0.35">
      <c r="A90" s="25" t="s">
        <v>20</v>
      </c>
      <c r="B90" s="25" t="s">
        <v>5</v>
      </c>
      <c r="C90" s="26" t="s">
        <v>519</v>
      </c>
      <c r="D90" s="27">
        <v>46259.833333333299</v>
      </c>
      <c r="E90" s="27">
        <v>46260.041666666701</v>
      </c>
      <c r="F90" s="26" t="s">
        <v>520</v>
      </c>
    </row>
    <row r="91" spans="1:6" s="24" customFormat="1" ht="62" x14ac:dyDescent="0.35">
      <c r="A91" s="25" t="s">
        <v>20</v>
      </c>
      <c r="B91" s="25" t="s">
        <v>5</v>
      </c>
      <c r="C91" s="26" t="s">
        <v>521</v>
      </c>
      <c r="D91" s="27">
        <v>46260.041666666701</v>
      </c>
      <c r="E91" s="27">
        <v>46260.25</v>
      </c>
      <c r="F91" s="26" t="s">
        <v>520</v>
      </c>
    </row>
    <row r="92" spans="1:6" s="24" customFormat="1" ht="62" x14ac:dyDescent="0.35">
      <c r="A92" s="25" t="s">
        <v>20</v>
      </c>
      <c r="B92" s="25" t="s">
        <v>4</v>
      </c>
      <c r="C92" s="26" t="s">
        <v>522</v>
      </c>
      <c r="D92" s="27">
        <v>46260.041666666701</v>
      </c>
      <c r="E92" s="27">
        <v>46260.25</v>
      </c>
      <c r="F92" s="26" t="s">
        <v>520</v>
      </c>
    </row>
    <row r="93" spans="1:6" s="24" customFormat="1" ht="62" x14ac:dyDescent="0.35">
      <c r="A93" s="25" t="s">
        <v>20</v>
      </c>
      <c r="B93" s="25" t="s">
        <v>4</v>
      </c>
      <c r="C93" s="26" t="s">
        <v>523</v>
      </c>
      <c r="D93" s="27">
        <v>46259.833333333299</v>
      </c>
      <c r="E93" s="27">
        <v>46260.25</v>
      </c>
      <c r="F93" s="26" t="s">
        <v>524</v>
      </c>
    </row>
    <row r="94" spans="1:6" s="24" customFormat="1" ht="46.5" x14ac:dyDescent="0.35">
      <c r="A94" s="25" t="s">
        <v>580</v>
      </c>
      <c r="B94" s="25" t="s">
        <v>5</v>
      </c>
      <c r="C94" s="26" t="s">
        <v>581</v>
      </c>
      <c r="D94" s="27">
        <v>46259.875</v>
      </c>
      <c r="E94" s="27">
        <v>46260.208333333299</v>
      </c>
      <c r="F94" s="26" t="s">
        <v>463</v>
      </c>
    </row>
    <row r="95" spans="1:6" s="24" customFormat="1" ht="77.5" x14ac:dyDescent="0.35">
      <c r="A95" s="25" t="s">
        <v>542</v>
      </c>
      <c r="B95" s="25" t="s">
        <v>44</v>
      </c>
      <c r="C95" s="26" t="s">
        <v>543</v>
      </c>
      <c r="D95" s="27">
        <v>46259.833333333299</v>
      </c>
      <c r="E95" s="27">
        <v>46260.25</v>
      </c>
      <c r="F95" s="26" t="s">
        <v>544</v>
      </c>
    </row>
    <row r="96" spans="1:6" s="24" customFormat="1" ht="46.5" x14ac:dyDescent="0.35">
      <c r="A96" s="25" t="s">
        <v>401</v>
      </c>
      <c r="B96" s="25" t="s">
        <v>4</v>
      </c>
      <c r="C96" s="26" t="s">
        <v>402</v>
      </c>
      <c r="D96" s="27">
        <v>46259.833333333299</v>
      </c>
      <c r="E96" s="27">
        <v>46260.208333333299</v>
      </c>
      <c r="F96" s="26" t="s">
        <v>403</v>
      </c>
    </row>
    <row r="97" spans="1:6" s="24" customFormat="1" ht="46.5" x14ac:dyDescent="0.35">
      <c r="A97" s="25" t="s">
        <v>401</v>
      </c>
      <c r="B97" s="25" t="s">
        <v>4</v>
      </c>
      <c r="C97" s="26" t="s">
        <v>404</v>
      </c>
      <c r="D97" s="27">
        <v>46259.833333333299</v>
      </c>
      <c r="E97" s="27">
        <v>46260.208333333299</v>
      </c>
      <c r="F97" s="26" t="s">
        <v>403</v>
      </c>
    </row>
    <row r="98" spans="1:6" s="24" customFormat="1" ht="46.5" x14ac:dyDescent="0.35">
      <c r="A98" s="25" t="s">
        <v>401</v>
      </c>
      <c r="B98" s="25" t="s">
        <v>5</v>
      </c>
      <c r="C98" s="26" t="s">
        <v>629</v>
      </c>
      <c r="D98" s="27">
        <v>46259.833333333299</v>
      </c>
      <c r="E98" s="27">
        <v>46260.208333333299</v>
      </c>
      <c r="F98" s="26" t="s">
        <v>630</v>
      </c>
    </row>
    <row r="99" spans="1:6" s="24" customFormat="1" ht="77.5" x14ac:dyDescent="0.35">
      <c r="A99" s="25" t="s">
        <v>390</v>
      </c>
      <c r="B99" s="25" t="s">
        <v>44</v>
      </c>
      <c r="C99" s="26" t="s">
        <v>391</v>
      </c>
      <c r="D99" s="27">
        <v>46230.833333333299</v>
      </c>
      <c r="E99" s="27">
        <v>46403.25</v>
      </c>
      <c r="F99" s="26" t="s">
        <v>392</v>
      </c>
    </row>
    <row r="100" spans="1:6" s="24" customFormat="1" ht="77.5" x14ac:dyDescent="0.35">
      <c r="A100" s="25" t="s">
        <v>390</v>
      </c>
      <c r="B100" s="25" t="s">
        <v>2</v>
      </c>
      <c r="C100" s="26" t="s">
        <v>622</v>
      </c>
      <c r="D100" s="27">
        <v>46259.833333333299</v>
      </c>
      <c r="E100" s="27">
        <v>46260.25</v>
      </c>
      <c r="F100" s="26" t="s">
        <v>392</v>
      </c>
    </row>
    <row r="101" spans="1:6" s="24" customFormat="1" ht="77.5" x14ac:dyDescent="0.35">
      <c r="A101" s="25" t="s">
        <v>538</v>
      </c>
      <c r="B101" s="25" t="s">
        <v>6</v>
      </c>
      <c r="C101" s="26" t="s">
        <v>539</v>
      </c>
      <c r="D101" s="27">
        <v>46259.833333333299</v>
      </c>
      <c r="E101" s="27">
        <v>46260.25</v>
      </c>
      <c r="F101" s="26" t="s">
        <v>537</v>
      </c>
    </row>
    <row r="102" spans="1:6" s="24" customFormat="1" ht="77.5" x14ac:dyDescent="0.35">
      <c r="A102" s="25" t="s">
        <v>538</v>
      </c>
      <c r="B102" s="25" t="s">
        <v>6</v>
      </c>
      <c r="C102" s="26" t="s">
        <v>540</v>
      </c>
      <c r="D102" s="27">
        <v>46259.833333333299</v>
      </c>
      <c r="E102" s="27">
        <v>46260.25</v>
      </c>
      <c r="F102" s="26" t="s">
        <v>537</v>
      </c>
    </row>
    <row r="103" spans="1:6" s="24" customFormat="1" ht="77.5" x14ac:dyDescent="0.35">
      <c r="A103" s="25" t="s">
        <v>434</v>
      </c>
      <c r="B103" s="25" t="s">
        <v>5</v>
      </c>
      <c r="C103" s="26" t="s">
        <v>536</v>
      </c>
      <c r="D103" s="27">
        <v>46259.833333333299</v>
      </c>
      <c r="E103" s="27">
        <v>46260.25</v>
      </c>
      <c r="F103" s="26" t="s">
        <v>537</v>
      </c>
    </row>
    <row r="104" spans="1:6" s="24" customFormat="1" ht="93" x14ac:dyDescent="0.35">
      <c r="A104" s="25" t="s">
        <v>434</v>
      </c>
      <c r="B104" s="25" t="s">
        <v>4</v>
      </c>
      <c r="C104" s="26" t="s">
        <v>547</v>
      </c>
      <c r="D104" s="27">
        <v>46259.833333333299</v>
      </c>
      <c r="E104" s="27">
        <v>46260.25</v>
      </c>
      <c r="F104" s="26" t="s">
        <v>548</v>
      </c>
    </row>
    <row r="105" spans="1:6" s="24" customFormat="1" ht="46.5" x14ac:dyDescent="0.35">
      <c r="A105" s="25" t="s">
        <v>215</v>
      </c>
      <c r="B105" s="25" t="s">
        <v>6</v>
      </c>
      <c r="C105" s="26" t="s">
        <v>216</v>
      </c>
      <c r="D105" s="27">
        <v>46230.208333333299</v>
      </c>
      <c r="E105" s="27">
        <v>46265</v>
      </c>
      <c r="F105" s="26" t="s">
        <v>217</v>
      </c>
    </row>
    <row r="106" spans="1:6" s="24" customFormat="1" ht="93" x14ac:dyDescent="0.35">
      <c r="A106" s="25" t="s">
        <v>151</v>
      </c>
      <c r="B106" s="25" t="s">
        <v>6</v>
      </c>
      <c r="C106" s="26" t="s">
        <v>152</v>
      </c>
      <c r="D106" s="27">
        <v>46237.833333333299</v>
      </c>
      <c r="E106" s="27">
        <v>46326.25</v>
      </c>
      <c r="F106" s="26" t="s">
        <v>153</v>
      </c>
    </row>
    <row r="107" spans="1:6" s="24" customFormat="1" ht="93" x14ac:dyDescent="0.35">
      <c r="A107" s="25" t="s">
        <v>151</v>
      </c>
      <c r="B107" s="25" t="s">
        <v>2</v>
      </c>
      <c r="C107" s="26" t="s">
        <v>154</v>
      </c>
      <c r="D107" s="27">
        <v>46237.833333333299</v>
      </c>
      <c r="E107" s="27">
        <v>46326.25</v>
      </c>
      <c r="F107" s="26" t="s">
        <v>153</v>
      </c>
    </row>
    <row r="108" spans="1:6" s="24" customFormat="1" ht="77.5" x14ac:dyDescent="0.35">
      <c r="A108" s="25" t="s">
        <v>551</v>
      </c>
      <c r="B108" s="25" t="s">
        <v>44</v>
      </c>
      <c r="C108" s="26" t="s">
        <v>552</v>
      </c>
      <c r="D108" s="27">
        <v>46258.000694444403</v>
      </c>
      <c r="E108" s="27">
        <v>46260.25</v>
      </c>
      <c r="F108" s="26" t="s">
        <v>553</v>
      </c>
    </row>
    <row r="109" spans="1:6" s="24" customFormat="1" ht="46.5" x14ac:dyDescent="0.35">
      <c r="A109" s="25" t="s">
        <v>148</v>
      </c>
      <c r="B109" s="25" t="s">
        <v>5</v>
      </c>
      <c r="C109" s="26" t="s">
        <v>149</v>
      </c>
      <c r="D109" s="27">
        <v>46259.833333333299</v>
      </c>
      <c r="E109" s="27">
        <v>46260.25</v>
      </c>
      <c r="F109" s="26" t="s">
        <v>150</v>
      </c>
    </row>
    <row r="110" spans="1:6" s="24" customFormat="1" ht="62" x14ac:dyDescent="0.35">
      <c r="A110" s="25" t="s">
        <v>148</v>
      </c>
      <c r="B110" s="25" t="s">
        <v>5</v>
      </c>
      <c r="C110" s="26" t="s">
        <v>452</v>
      </c>
      <c r="D110" s="27">
        <v>46259.833333333299</v>
      </c>
      <c r="E110" s="27">
        <v>46260.208333333299</v>
      </c>
      <c r="F110" s="26" t="s">
        <v>453</v>
      </c>
    </row>
    <row r="111" spans="1:6" s="24" customFormat="1" ht="77.5" x14ac:dyDescent="0.35">
      <c r="A111" s="25" t="s">
        <v>161</v>
      </c>
      <c r="B111" s="25" t="s">
        <v>4</v>
      </c>
      <c r="C111" s="26" t="s">
        <v>560</v>
      </c>
      <c r="D111" s="27">
        <v>46259.833333333299</v>
      </c>
      <c r="E111" s="27">
        <v>46260.25</v>
      </c>
      <c r="F111" s="26" t="s">
        <v>163</v>
      </c>
    </row>
    <row r="112" spans="1:6" s="24" customFormat="1" ht="77.5" x14ac:dyDescent="0.35">
      <c r="A112" s="25" t="s">
        <v>161</v>
      </c>
      <c r="B112" s="25" t="s">
        <v>4</v>
      </c>
      <c r="C112" s="26" t="s">
        <v>561</v>
      </c>
      <c r="D112" s="27">
        <v>46259.833333333299</v>
      </c>
      <c r="E112" s="27">
        <v>46260.25</v>
      </c>
      <c r="F112" s="26" t="s">
        <v>163</v>
      </c>
    </row>
    <row r="113" spans="1:6" s="24" customFormat="1" ht="77.5" x14ac:dyDescent="0.35">
      <c r="A113" s="25" t="s">
        <v>161</v>
      </c>
      <c r="B113" s="25" t="s">
        <v>4</v>
      </c>
      <c r="C113" s="26" t="s">
        <v>562</v>
      </c>
      <c r="D113" s="27">
        <v>46259.833333333299</v>
      </c>
      <c r="E113" s="27">
        <v>46260.25</v>
      </c>
      <c r="F113" s="26" t="s">
        <v>163</v>
      </c>
    </row>
    <row r="114" spans="1:6" s="24" customFormat="1" ht="77.5" x14ac:dyDescent="0.35">
      <c r="A114" s="25" t="s">
        <v>170</v>
      </c>
      <c r="B114" s="25" t="s">
        <v>4</v>
      </c>
      <c r="C114" s="26" t="s">
        <v>171</v>
      </c>
      <c r="D114" s="27">
        <v>46259.833333333299</v>
      </c>
      <c r="E114" s="27">
        <v>46260.25</v>
      </c>
      <c r="F114" s="26" t="s">
        <v>172</v>
      </c>
    </row>
    <row r="115" spans="1:6" s="24" customFormat="1" ht="77.5" x14ac:dyDescent="0.35">
      <c r="A115" s="25" t="s">
        <v>170</v>
      </c>
      <c r="B115" s="25" t="s">
        <v>4</v>
      </c>
      <c r="C115" s="26" t="s">
        <v>173</v>
      </c>
      <c r="D115" s="27">
        <v>46259.833333333299</v>
      </c>
      <c r="E115" s="27">
        <v>46260.25</v>
      </c>
      <c r="F115" s="26" t="s">
        <v>172</v>
      </c>
    </row>
    <row r="116" spans="1:6" s="24" customFormat="1" ht="77.5" x14ac:dyDescent="0.35">
      <c r="A116" s="25" t="s">
        <v>170</v>
      </c>
      <c r="B116" s="25" t="s">
        <v>4</v>
      </c>
      <c r="C116" s="26" t="s">
        <v>174</v>
      </c>
      <c r="D116" s="27">
        <v>46259.833333333299</v>
      </c>
      <c r="E116" s="27">
        <v>46260.25</v>
      </c>
      <c r="F116" s="26" t="s">
        <v>172</v>
      </c>
    </row>
    <row r="117" spans="1:6" s="24" customFormat="1" ht="77.5" x14ac:dyDescent="0.35">
      <c r="A117" s="25" t="s">
        <v>170</v>
      </c>
      <c r="B117" s="25" t="s">
        <v>4</v>
      </c>
      <c r="C117" s="26" t="s">
        <v>175</v>
      </c>
      <c r="D117" s="27">
        <v>46259.833333333299</v>
      </c>
      <c r="E117" s="27">
        <v>46260.25</v>
      </c>
      <c r="F117" s="26" t="s">
        <v>172</v>
      </c>
    </row>
    <row r="118" spans="1:6" s="24" customFormat="1" ht="62" x14ac:dyDescent="0.35">
      <c r="A118" s="25" t="s">
        <v>230</v>
      </c>
      <c r="B118" s="25" t="s">
        <v>6</v>
      </c>
      <c r="C118" s="26" t="s">
        <v>231</v>
      </c>
      <c r="D118" s="27">
        <v>46259.875</v>
      </c>
      <c r="E118" s="27">
        <v>46260.208333333299</v>
      </c>
      <c r="F118" s="26" t="s">
        <v>232</v>
      </c>
    </row>
    <row r="119" spans="1:6" s="24" customFormat="1" ht="93" x14ac:dyDescent="0.35">
      <c r="A119" s="25" t="s">
        <v>75</v>
      </c>
      <c r="B119" s="25" t="s">
        <v>2</v>
      </c>
      <c r="C119" s="26" t="s">
        <v>541</v>
      </c>
      <c r="D119" s="27">
        <v>46259.833333333299</v>
      </c>
      <c r="E119" s="27">
        <v>46260.25</v>
      </c>
      <c r="F119" s="26" t="s">
        <v>77</v>
      </c>
    </row>
    <row r="120" spans="1:6" s="24" customFormat="1" ht="62" x14ac:dyDescent="0.35">
      <c r="A120" s="25" t="s">
        <v>75</v>
      </c>
      <c r="B120" s="25" t="s">
        <v>2</v>
      </c>
      <c r="C120" s="26" t="s">
        <v>545</v>
      </c>
      <c r="D120" s="27">
        <v>46259.833333333299</v>
      </c>
      <c r="E120" s="27">
        <v>46260.25</v>
      </c>
      <c r="F120" s="26" t="s">
        <v>546</v>
      </c>
    </row>
    <row r="121" spans="1:6" s="24" customFormat="1" ht="77.5" x14ac:dyDescent="0.35">
      <c r="A121" s="25" t="s">
        <v>75</v>
      </c>
      <c r="B121" s="25" t="s">
        <v>2</v>
      </c>
      <c r="C121" s="26" t="s">
        <v>554</v>
      </c>
      <c r="D121" s="27">
        <v>46259.833333333299</v>
      </c>
      <c r="E121" s="27">
        <v>46260.25</v>
      </c>
      <c r="F121" s="26" t="s">
        <v>555</v>
      </c>
    </row>
    <row r="122" spans="1:6" s="24" customFormat="1" ht="77.5" x14ac:dyDescent="0.35">
      <c r="A122" s="25" t="s">
        <v>75</v>
      </c>
      <c r="B122" s="25" t="s">
        <v>2</v>
      </c>
      <c r="C122" s="26" t="s">
        <v>556</v>
      </c>
      <c r="D122" s="27">
        <v>46259.833333333299</v>
      </c>
      <c r="E122" s="27">
        <v>46260.25</v>
      </c>
      <c r="F122" s="26" t="s">
        <v>555</v>
      </c>
    </row>
    <row r="123" spans="1:6" s="24" customFormat="1" ht="77.5" x14ac:dyDescent="0.35">
      <c r="A123" s="25" t="s">
        <v>75</v>
      </c>
      <c r="B123" s="25" t="s">
        <v>6</v>
      </c>
      <c r="C123" s="26" t="s">
        <v>567</v>
      </c>
      <c r="D123" s="27">
        <v>46259.875</v>
      </c>
      <c r="E123" s="27">
        <v>46260.208333333299</v>
      </c>
      <c r="F123" s="26" t="s">
        <v>568</v>
      </c>
    </row>
    <row r="124" spans="1:6" s="24" customFormat="1" ht="62" x14ac:dyDescent="0.35">
      <c r="A124" s="25" t="s">
        <v>27</v>
      </c>
      <c r="B124" s="25" t="s">
        <v>2</v>
      </c>
      <c r="C124" s="26" t="s">
        <v>28</v>
      </c>
      <c r="D124" s="27">
        <v>46259.875</v>
      </c>
      <c r="E124" s="27">
        <v>46260.208333333299</v>
      </c>
      <c r="F124" s="26" t="s">
        <v>29</v>
      </c>
    </row>
    <row r="125" spans="1:6" s="24" customFormat="1" ht="93" x14ac:dyDescent="0.35">
      <c r="A125" s="25" t="s">
        <v>133</v>
      </c>
      <c r="B125" s="25" t="s">
        <v>6</v>
      </c>
      <c r="C125" s="26" t="s">
        <v>134</v>
      </c>
      <c r="D125" s="27">
        <v>46259.916666666701</v>
      </c>
      <c r="E125" s="27">
        <v>46260.25</v>
      </c>
      <c r="F125" s="26" t="s">
        <v>131</v>
      </c>
    </row>
    <row r="126" spans="1:6" s="24" customFormat="1" ht="93" x14ac:dyDescent="0.35">
      <c r="A126" s="25" t="s">
        <v>133</v>
      </c>
      <c r="B126" s="25" t="s">
        <v>6</v>
      </c>
      <c r="C126" s="26" t="s">
        <v>135</v>
      </c>
      <c r="D126" s="27">
        <v>46259.916666666701</v>
      </c>
      <c r="E126" s="27">
        <v>46260.25</v>
      </c>
      <c r="F126" s="26" t="s">
        <v>131</v>
      </c>
    </row>
    <row r="127" spans="1:6" s="24" customFormat="1" ht="108.5" x14ac:dyDescent="0.35">
      <c r="A127" s="25" t="s">
        <v>119</v>
      </c>
      <c r="B127" s="25" t="s">
        <v>4</v>
      </c>
      <c r="C127" s="26" t="s">
        <v>120</v>
      </c>
      <c r="D127" s="27">
        <v>46259.833333333299</v>
      </c>
      <c r="E127" s="27">
        <v>46260.25</v>
      </c>
      <c r="F127" s="26" t="s">
        <v>121</v>
      </c>
    </row>
    <row r="128" spans="1:6" s="24" customFormat="1" ht="108.5" x14ac:dyDescent="0.35">
      <c r="A128" s="25" t="s">
        <v>119</v>
      </c>
      <c r="B128" s="25" t="s">
        <v>4</v>
      </c>
      <c r="C128" s="26" t="s">
        <v>122</v>
      </c>
      <c r="D128" s="27">
        <v>46259.833333333299</v>
      </c>
      <c r="E128" s="27">
        <v>46260.25</v>
      </c>
      <c r="F128" s="26" t="s">
        <v>121</v>
      </c>
    </row>
    <row r="129" spans="1:6" s="24" customFormat="1" ht="108.5" x14ac:dyDescent="0.35">
      <c r="A129" s="25" t="s">
        <v>119</v>
      </c>
      <c r="B129" s="25" t="s">
        <v>4</v>
      </c>
      <c r="C129" s="26" t="s">
        <v>123</v>
      </c>
      <c r="D129" s="27">
        <v>46259.833333333299</v>
      </c>
      <c r="E129" s="27">
        <v>46260.25</v>
      </c>
      <c r="F129" s="26" t="s">
        <v>121</v>
      </c>
    </row>
    <row r="130" spans="1:6" s="24" customFormat="1" ht="46.5" x14ac:dyDescent="0.35">
      <c r="A130" s="25" t="s">
        <v>304</v>
      </c>
      <c r="B130" s="25" t="s">
        <v>4</v>
      </c>
      <c r="C130" s="26" t="s">
        <v>305</v>
      </c>
      <c r="D130" s="27">
        <v>46259.833333333299</v>
      </c>
      <c r="E130" s="27">
        <v>46260.25</v>
      </c>
      <c r="F130" s="26" t="s">
        <v>306</v>
      </c>
    </row>
    <row r="131" spans="1:6" s="24" customFormat="1" ht="62" x14ac:dyDescent="0.35">
      <c r="A131" s="25" t="s">
        <v>300</v>
      </c>
      <c r="B131" s="25" t="s">
        <v>5</v>
      </c>
      <c r="C131" s="26" t="s">
        <v>483</v>
      </c>
      <c r="D131" s="27">
        <v>46259.875</v>
      </c>
      <c r="E131" s="27">
        <v>46260.25</v>
      </c>
      <c r="F131" s="26" t="s">
        <v>484</v>
      </c>
    </row>
    <row r="132" spans="1:6" s="24" customFormat="1" ht="46.5" x14ac:dyDescent="0.35">
      <c r="A132" s="25" t="s">
        <v>300</v>
      </c>
      <c r="B132" s="25" t="s">
        <v>4</v>
      </c>
      <c r="C132" s="26" t="s">
        <v>602</v>
      </c>
      <c r="D132" s="27">
        <v>46259.833333333299</v>
      </c>
      <c r="E132" s="27">
        <v>46260.25</v>
      </c>
      <c r="F132" s="26" t="s">
        <v>603</v>
      </c>
    </row>
    <row r="133" spans="1:6" s="24" customFormat="1" ht="77.5" x14ac:dyDescent="0.35">
      <c r="A133" s="25" t="s">
        <v>300</v>
      </c>
      <c r="B133" s="25" t="s">
        <v>5</v>
      </c>
      <c r="C133" s="26" t="s">
        <v>329</v>
      </c>
      <c r="D133" s="27">
        <v>46259.916666666701</v>
      </c>
      <c r="E133" s="27">
        <v>46260.229166666701</v>
      </c>
      <c r="F133" s="26" t="s">
        <v>330</v>
      </c>
    </row>
    <row r="134" spans="1:6" s="24" customFormat="1" ht="46.5" x14ac:dyDescent="0.35">
      <c r="A134" s="25" t="s">
        <v>487</v>
      </c>
      <c r="B134" s="25" t="s">
        <v>6</v>
      </c>
      <c r="C134" s="26" t="s">
        <v>488</v>
      </c>
      <c r="D134" s="27">
        <v>46259.875</v>
      </c>
      <c r="E134" s="27">
        <v>46260.25</v>
      </c>
      <c r="F134" s="26" t="s">
        <v>489</v>
      </c>
    </row>
    <row r="135" spans="1:6" s="24" customFormat="1" ht="77.5" x14ac:dyDescent="0.35">
      <c r="A135" s="25" t="s">
        <v>316</v>
      </c>
      <c r="B135" s="25" t="s">
        <v>8</v>
      </c>
      <c r="C135" s="26" t="s">
        <v>604</v>
      </c>
      <c r="D135" s="27">
        <v>46259.916666666701</v>
      </c>
      <c r="E135" s="27">
        <v>46260.229166666701</v>
      </c>
      <c r="F135" s="26" t="s">
        <v>605</v>
      </c>
    </row>
    <row r="136" spans="1:6" s="24" customFormat="1" ht="77.5" x14ac:dyDescent="0.35">
      <c r="A136" s="25" t="s">
        <v>316</v>
      </c>
      <c r="B136" s="25" t="s">
        <v>7</v>
      </c>
      <c r="C136" s="26" t="s">
        <v>325</v>
      </c>
      <c r="D136" s="27">
        <v>46259.916666666701</v>
      </c>
      <c r="E136" s="27">
        <v>46260.229166666701</v>
      </c>
      <c r="F136" s="26" t="s">
        <v>326</v>
      </c>
    </row>
    <row r="137" spans="1:6" s="24" customFormat="1" ht="77.5" x14ac:dyDescent="0.35">
      <c r="A137" s="25" t="s">
        <v>316</v>
      </c>
      <c r="B137" s="25" t="s">
        <v>7</v>
      </c>
      <c r="C137" s="26" t="s">
        <v>327</v>
      </c>
      <c r="D137" s="27">
        <v>46259.916666666701</v>
      </c>
      <c r="E137" s="27">
        <v>46260.229166666701</v>
      </c>
      <c r="F137" s="26" t="s">
        <v>328</v>
      </c>
    </row>
    <row r="138" spans="1:6" ht="62" x14ac:dyDescent="0.35">
      <c r="A138" s="25" t="s">
        <v>316</v>
      </c>
      <c r="B138" s="25" t="s">
        <v>8</v>
      </c>
      <c r="C138" s="26" t="s">
        <v>333</v>
      </c>
      <c r="D138" s="27">
        <v>46259.916666666701</v>
      </c>
      <c r="E138" s="27">
        <v>46260.229166666701</v>
      </c>
      <c r="F138" s="26" t="s">
        <v>334</v>
      </c>
    </row>
    <row r="139" spans="1:6" ht="31" x14ac:dyDescent="0.35">
      <c r="A139" s="25" t="s">
        <v>277</v>
      </c>
      <c r="B139" s="25" t="s">
        <v>5</v>
      </c>
      <c r="C139" s="26" t="s">
        <v>278</v>
      </c>
      <c r="D139" s="27">
        <v>46259.875</v>
      </c>
      <c r="E139" s="27">
        <v>46260.25</v>
      </c>
      <c r="F139" s="26" t="s">
        <v>279</v>
      </c>
    </row>
    <row r="140" spans="1:6" ht="62" x14ac:dyDescent="0.35">
      <c r="A140" s="25" t="s">
        <v>268</v>
      </c>
      <c r="B140" s="25" t="s">
        <v>2</v>
      </c>
      <c r="C140" s="26" t="s">
        <v>269</v>
      </c>
      <c r="D140" s="27">
        <v>46237.25</v>
      </c>
      <c r="E140" s="27">
        <v>46692.25</v>
      </c>
      <c r="F140" s="26" t="s">
        <v>270</v>
      </c>
    </row>
    <row r="141" spans="1:6" ht="46.5" x14ac:dyDescent="0.35">
      <c r="A141" s="25" t="s">
        <v>268</v>
      </c>
      <c r="B141" s="25" t="s">
        <v>2</v>
      </c>
      <c r="C141" s="26" t="s">
        <v>597</v>
      </c>
      <c r="D141" s="27">
        <v>46259.875</v>
      </c>
      <c r="E141" s="27">
        <v>46260.25</v>
      </c>
      <c r="F141" s="26" t="s">
        <v>598</v>
      </c>
    </row>
    <row r="142" spans="1:6" ht="124" x14ac:dyDescent="0.35">
      <c r="A142" s="25" t="s">
        <v>368</v>
      </c>
      <c r="B142" s="25" t="s">
        <v>2</v>
      </c>
      <c r="C142" s="26" t="s">
        <v>369</v>
      </c>
      <c r="D142" s="27">
        <v>46259.833333333299</v>
      </c>
      <c r="E142" s="27">
        <v>46260.25</v>
      </c>
      <c r="F142" s="26" t="s">
        <v>499</v>
      </c>
    </row>
    <row r="143" spans="1:6" ht="46.5" x14ac:dyDescent="0.35">
      <c r="A143" s="25" t="s">
        <v>368</v>
      </c>
      <c r="B143" s="25" t="s">
        <v>6</v>
      </c>
      <c r="C143" s="26" t="s">
        <v>614</v>
      </c>
      <c r="D143" s="27">
        <v>46259.833333333299</v>
      </c>
      <c r="E143" s="27">
        <v>46260.25</v>
      </c>
      <c r="F143" s="26" t="s">
        <v>615</v>
      </c>
    </row>
    <row r="144" spans="1:6" ht="46.5" x14ac:dyDescent="0.35">
      <c r="A144" s="25" t="s">
        <v>368</v>
      </c>
      <c r="B144" s="25" t="s">
        <v>6</v>
      </c>
      <c r="C144" s="26" t="s">
        <v>616</v>
      </c>
      <c r="D144" s="27">
        <v>46259.875</v>
      </c>
      <c r="E144" s="27">
        <v>46260.25</v>
      </c>
      <c r="F144" s="26" t="s">
        <v>615</v>
      </c>
    </row>
    <row r="145" spans="1:6" ht="31" x14ac:dyDescent="0.35">
      <c r="A145" s="25" t="s">
        <v>280</v>
      </c>
      <c r="B145" s="25" t="s">
        <v>5</v>
      </c>
      <c r="C145" s="26" t="s">
        <v>281</v>
      </c>
      <c r="D145" s="27">
        <v>46259.875</v>
      </c>
      <c r="E145" s="27">
        <v>46260.25</v>
      </c>
      <c r="F145" s="26" t="s">
        <v>282</v>
      </c>
    </row>
    <row r="146" spans="1:6" ht="62" x14ac:dyDescent="0.35">
      <c r="A146" s="25" t="s">
        <v>61</v>
      </c>
      <c r="B146" s="25" t="s">
        <v>2</v>
      </c>
      <c r="C146" s="26" t="s">
        <v>62</v>
      </c>
      <c r="D146" s="27">
        <v>46259.927083333299</v>
      </c>
      <c r="E146" s="27">
        <v>46260.25</v>
      </c>
      <c r="F146" s="26" t="s">
        <v>63</v>
      </c>
    </row>
    <row r="147" spans="1:6" ht="62" x14ac:dyDescent="0.35">
      <c r="A147" s="25" t="s">
        <v>61</v>
      </c>
      <c r="B147" s="25" t="s">
        <v>2</v>
      </c>
      <c r="C147" s="26" t="s">
        <v>64</v>
      </c>
      <c r="D147" s="27">
        <v>46259.927083333299</v>
      </c>
      <c r="E147" s="27">
        <v>46260.25</v>
      </c>
      <c r="F147" s="26" t="s">
        <v>63</v>
      </c>
    </row>
    <row r="148" spans="1:6" ht="62" x14ac:dyDescent="0.35">
      <c r="A148" s="25" t="s">
        <v>61</v>
      </c>
      <c r="B148" s="25" t="s">
        <v>2</v>
      </c>
      <c r="C148" s="26" t="s">
        <v>65</v>
      </c>
      <c r="D148" s="27">
        <v>46259.927083333299</v>
      </c>
      <c r="E148" s="27">
        <v>46260.25</v>
      </c>
      <c r="F148" s="26" t="s">
        <v>63</v>
      </c>
    </row>
    <row r="149" spans="1:6" ht="62" x14ac:dyDescent="0.35">
      <c r="A149" s="25" t="s">
        <v>61</v>
      </c>
      <c r="B149" s="25" t="s">
        <v>2</v>
      </c>
      <c r="C149" s="26" t="s">
        <v>66</v>
      </c>
      <c r="D149" s="27">
        <v>46259.927083333299</v>
      </c>
      <c r="E149" s="27">
        <v>46260.25</v>
      </c>
      <c r="F149" s="26" t="s">
        <v>63</v>
      </c>
    </row>
    <row r="150" spans="1:6" ht="62" x14ac:dyDescent="0.35">
      <c r="A150" s="25" t="s">
        <v>61</v>
      </c>
      <c r="B150" s="25" t="s">
        <v>2</v>
      </c>
      <c r="C150" s="26" t="s">
        <v>67</v>
      </c>
      <c r="D150" s="27">
        <v>46259.927083333299</v>
      </c>
      <c r="E150" s="27">
        <v>46260.25</v>
      </c>
      <c r="F150" s="26" t="s">
        <v>63</v>
      </c>
    </row>
    <row r="151" spans="1:6" ht="62" x14ac:dyDescent="0.35">
      <c r="A151" s="25" t="s">
        <v>61</v>
      </c>
      <c r="B151" s="25" t="s">
        <v>2</v>
      </c>
      <c r="C151" s="26" t="s">
        <v>68</v>
      </c>
      <c r="D151" s="27">
        <v>46259.927083333299</v>
      </c>
      <c r="E151" s="27">
        <v>46260.25</v>
      </c>
      <c r="F151" s="26" t="s">
        <v>63</v>
      </c>
    </row>
    <row r="152" spans="1:6" ht="77.5" x14ac:dyDescent="0.35">
      <c r="A152" s="25" t="s">
        <v>61</v>
      </c>
      <c r="B152" s="25" t="s">
        <v>2</v>
      </c>
      <c r="C152" s="26" t="s">
        <v>419</v>
      </c>
      <c r="D152" s="27">
        <v>46259.927083333299</v>
      </c>
      <c r="E152" s="27">
        <v>46260.25</v>
      </c>
      <c r="F152" s="26" t="s">
        <v>420</v>
      </c>
    </row>
    <row r="153" spans="1:6" ht="77.5" x14ac:dyDescent="0.35">
      <c r="A153" s="25" t="s">
        <v>61</v>
      </c>
      <c r="B153" s="25" t="s">
        <v>2</v>
      </c>
      <c r="C153" s="26" t="s">
        <v>421</v>
      </c>
      <c r="D153" s="27">
        <v>46259.927083333299</v>
      </c>
      <c r="E153" s="27">
        <v>46260.25</v>
      </c>
      <c r="F153" s="26" t="s">
        <v>420</v>
      </c>
    </row>
    <row r="154" spans="1:6" ht="93" x14ac:dyDescent="0.35">
      <c r="A154" s="25" t="s">
        <v>61</v>
      </c>
      <c r="B154" s="25" t="s">
        <v>2</v>
      </c>
      <c r="C154" s="26" t="s">
        <v>69</v>
      </c>
      <c r="D154" s="27">
        <v>46259.927083333299</v>
      </c>
      <c r="E154" s="27">
        <v>46260.25</v>
      </c>
      <c r="F154" s="26" t="s">
        <v>70</v>
      </c>
    </row>
    <row r="155" spans="1:6" ht="46.5" x14ac:dyDescent="0.35">
      <c r="A155" s="25" t="s">
        <v>61</v>
      </c>
      <c r="B155" s="25" t="s">
        <v>6</v>
      </c>
      <c r="C155" s="26" t="s">
        <v>532</v>
      </c>
      <c r="D155" s="27">
        <v>46259.927083333299</v>
      </c>
      <c r="E155" s="27">
        <v>46260.25</v>
      </c>
      <c r="F155" s="26" t="s">
        <v>533</v>
      </c>
    </row>
    <row r="156" spans="1:6" ht="46.5" x14ac:dyDescent="0.35">
      <c r="A156" s="25" t="s">
        <v>61</v>
      </c>
      <c r="B156" s="25" t="s">
        <v>6</v>
      </c>
      <c r="C156" s="26" t="s">
        <v>534</v>
      </c>
      <c r="D156" s="27">
        <v>46259.927083333299</v>
      </c>
      <c r="E156" s="27">
        <v>46260.25</v>
      </c>
      <c r="F156" s="26" t="s">
        <v>533</v>
      </c>
    </row>
    <row r="157" spans="1:6" ht="46.5" x14ac:dyDescent="0.35">
      <c r="A157" s="25" t="s">
        <v>507</v>
      </c>
      <c r="B157" s="25" t="s">
        <v>6</v>
      </c>
      <c r="C157" s="26" t="s">
        <v>508</v>
      </c>
      <c r="D157" s="27">
        <v>46258.875</v>
      </c>
      <c r="E157" s="27">
        <v>46261.25</v>
      </c>
      <c r="F157" s="26" t="s">
        <v>509</v>
      </c>
    </row>
    <row r="158" spans="1:6" ht="62" x14ac:dyDescent="0.35">
      <c r="A158" s="25" t="s">
        <v>507</v>
      </c>
      <c r="B158" s="25" t="s">
        <v>2</v>
      </c>
      <c r="C158" s="26" t="s">
        <v>625</v>
      </c>
      <c r="D158" s="27">
        <v>46259.875</v>
      </c>
      <c r="E158" s="27">
        <v>46260.25</v>
      </c>
      <c r="F158" s="26" t="s">
        <v>626</v>
      </c>
    </row>
    <row r="159" spans="1:6" ht="62" x14ac:dyDescent="0.35">
      <c r="A159" s="25" t="s">
        <v>507</v>
      </c>
      <c r="B159" s="25" t="s">
        <v>6</v>
      </c>
      <c r="C159" s="26" t="s">
        <v>627</v>
      </c>
      <c r="D159" s="27">
        <v>46259.875</v>
      </c>
      <c r="E159" s="27">
        <v>46260.25</v>
      </c>
      <c r="F159" s="26" t="s">
        <v>628</v>
      </c>
    </row>
    <row r="160" spans="1:6" ht="62" x14ac:dyDescent="0.35">
      <c r="A160" s="25" t="s">
        <v>360</v>
      </c>
      <c r="B160" s="25" t="s">
        <v>2</v>
      </c>
      <c r="C160" s="26" t="s">
        <v>497</v>
      </c>
      <c r="D160" s="27">
        <v>46259.833333333299</v>
      </c>
      <c r="E160" s="27">
        <v>46260.208333333299</v>
      </c>
      <c r="F160" s="26" t="s">
        <v>498</v>
      </c>
    </row>
    <row r="161" spans="1:6" ht="139.5" x14ac:dyDescent="0.35">
      <c r="A161" s="25" t="s">
        <v>360</v>
      </c>
      <c r="B161" s="25" t="s">
        <v>6</v>
      </c>
      <c r="C161" s="26" t="s">
        <v>501</v>
      </c>
      <c r="D161" s="27">
        <v>46259.916666666701</v>
      </c>
      <c r="E161" s="27">
        <v>46260.25</v>
      </c>
      <c r="F161" s="26" t="s">
        <v>502</v>
      </c>
    </row>
    <row r="162" spans="1:6" ht="62" x14ac:dyDescent="0.35">
      <c r="A162" s="25" t="s">
        <v>360</v>
      </c>
      <c r="B162" s="25" t="s">
        <v>2</v>
      </c>
      <c r="C162" s="26" t="s">
        <v>617</v>
      </c>
      <c r="D162" s="27">
        <v>46259.875</v>
      </c>
      <c r="E162" s="27">
        <v>46260.25</v>
      </c>
      <c r="F162" s="26" t="s">
        <v>618</v>
      </c>
    </row>
    <row r="163" spans="1:6" ht="46.5" x14ac:dyDescent="0.35">
      <c r="A163" s="25" t="s">
        <v>360</v>
      </c>
      <c r="B163" s="25" t="s">
        <v>6</v>
      </c>
      <c r="C163" s="26" t="s">
        <v>366</v>
      </c>
      <c r="D163" s="27">
        <v>46259.895833333299</v>
      </c>
      <c r="E163" s="27">
        <v>46260.25</v>
      </c>
      <c r="F163" s="26" t="s">
        <v>367</v>
      </c>
    </row>
    <row r="164" spans="1:6" ht="62" x14ac:dyDescent="0.35">
      <c r="A164" s="25" t="s">
        <v>360</v>
      </c>
      <c r="B164" s="25" t="s">
        <v>2</v>
      </c>
      <c r="C164" s="26" t="s">
        <v>505</v>
      </c>
      <c r="D164" s="27">
        <v>46259.875</v>
      </c>
      <c r="E164" s="27">
        <v>46260.25</v>
      </c>
      <c r="F164" s="26" t="s">
        <v>506</v>
      </c>
    </row>
    <row r="165" spans="1:6" ht="62" x14ac:dyDescent="0.35">
      <c r="A165" s="25" t="s">
        <v>360</v>
      </c>
      <c r="B165" s="25" t="s">
        <v>2</v>
      </c>
      <c r="C165" s="26" t="s">
        <v>382</v>
      </c>
      <c r="D165" s="27">
        <v>46259.916666666701</v>
      </c>
      <c r="E165" s="27">
        <v>46260.25</v>
      </c>
      <c r="F165" s="26" t="s">
        <v>383</v>
      </c>
    </row>
    <row r="166" spans="1:6" ht="46.5" x14ac:dyDescent="0.35">
      <c r="A166" s="25" t="s">
        <v>360</v>
      </c>
      <c r="B166" s="25" t="s">
        <v>2</v>
      </c>
      <c r="C166" s="26" t="s">
        <v>511</v>
      </c>
      <c r="D166" s="27">
        <v>46259.875</v>
      </c>
      <c r="E166" s="27">
        <v>46260.25</v>
      </c>
      <c r="F166" s="26" t="s">
        <v>512</v>
      </c>
    </row>
    <row r="167" spans="1:6" ht="62" x14ac:dyDescent="0.35">
      <c r="A167" s="25" t="s">
        <v>619</v>
      </c>
      <c r="B167" s="25" t="s">
        <v>4</v>
      </c>
      <c r="C167" s="26" t="s">
        <v>620</v>
      </c>
      <c r="D167" s="27">
        <v>46259.875</v>
      </c>
      <c r="E167" s="27">
        <v>46260.25</v>
      </c>
      <c r="F167" s="26" t="s">
        <v>621</v>
      </c>
    </row>
    <row r="168" spans="1:6" ht="46.5" x14ac:dyDescent="0.35">
      <c r="A168" s="25" t="s">
        <v>195</v>
      </c>
      <c r="B168" s="25" t="s">
        <v>6</v>
      </c>
      <c r="C168" s="26" t="s">
        <v>196</v>
      </c>
      <c r="D168" s="27">
        <v>46259.833333333299</v>
      </c>
      <c r="E168" s="27">
        <v>46260.25</v>
      </c>
      <c r="F168" s="26" t="s">
        <v>197</v>
      </c>
    </row>
    <row r="169" spans="1:6" ht="46.5" x14ac:dyDescent="0.35">
      <c r="A169" s="25" t="s">
        <v>195</v>
      </c>
      <c r="B169" s="25" t="s">
        <v>6</v>
      </c>
      <c r="C169" s="26" t="s">
        <v>198</v>
      </c>
      <c r="D169" s="27">
        <v>46259.833333333299</v>
      </c>
      <c r="E169" s="27">
        <v>46260.25</v>
      </c>
      <c r="F169" s="26" t="s">
        <v>197</v>
      </c>
    </row>
    <row r="170" spans="1:6" ht="46.5" x14ac:dyDescent="0.35">
      <c r="A170" s="25" t="s">
        <v>195</v>
      </c>
      <c r="B170" s="25" t="s">
        <v>6</v>
      </c>
      <c r="C170" s="26" t="s">
        <v>199</v>
      </c>
      <c r="D170" s="27">
        <v>46259.833333333299</v>
      </c>
      <c r="E170" s="27">
        <v>46260.25</v>
      </c>
      <c r="F170" s="26" t="s">
        <v>197</v>
      </c>
    </row>
    <row r="171" spans="1:6" ht="46.5" x14ac:dyDescent="0.35">
      <c r="A171" s="25" t="s">
        <v>195</v>
      </c>
      <c r="B171" s="25" t="s">
        <v>6</v>
      </c>
      <c r="C171" s="26" t="s">
        <v>200</v>
      </c>
      <c r="D171" s="27">
        <v>46259.833333333299</v>
      </c>
      <c r="E171" s="27">
        <v>46260.25</v>
      </c>
      <c r="F171" s="26" t="s">
        <v>197</v>
      </c>
    </row>
    <row r="172" spans="1:6" ht="46.5" x14ac:dyDescent="0.35">
      <c r="A172" s="25" t="s">
        <v>195</v>
      </c>
      <c r="B172" s="25" t="s">
        <v>6</v>
      </c>
      <c r="C172" s="26" t="s">
        <v>201</v>
      </c>
      <c r="D172" s="27">
        <v>46259.833333333299</v>
      </c>
      <c r="E172" s="27">
        <v>46260.25</v>
      </c>
      <c r="F172" s="26" t="s">
        <v>197</v>
      </c>
    </row>
    <row r="173" spans="1:6" ht="46.5" x14ac:dyDescent="0.35">
      <c r="A173" s="25" t="s">
        <v>195</v>
      </c>
      <c r="B173" s="25" t="s">
        <v>6</v>
      </c>
      <c r="C173" s="26" t="s">
        <v>202</v>
      </c>
      <c r="D173" s="27">
        <v>46259.833333333299</v>
      </c>
      <c r="E173" s="27">
        <v>46260.25</v>
      </c>
      <c r="F173" s="26" t="s">
        <v>197</v>
      </c>
    </row>
    <row r="174" spans="1:6" ht="46.5" x14ac:dyDescent="0.35">
      <c r="A174" s="25" t="s">
        <v>195</v>
      </c>
      <c r="B174" s="25" t="s">
        <v>6</v>
      </c>
      <c r="C174" s="26" t="s">
        <v>203</v>
      </c>
      <c r="D174" s="27">
        <v>46259.833333333299</v>
      </c>
      <c r="E174" s="27">
        <v>46260.25</v>
      </c>
      <c r="F174" s="26" t="s">
        <v>197</v>
      </c>
    </row>
    <row r="175" spans="1:6" ht="46.5" x14ac:dyDescent="0.35">
      <c r="A175" s="25" t="s">
        <v>195</v>
      </c>
      <c r="B175" s="25" t="s">
        <v>2</v>
      </c>
      <c r="C175" s="26" t="s">
        <v>590</v>
      </c>
      <c r="D175" s="27">
        <v>46259.875</v>
      </c>
      <c r="E175" s="27">
        <v>46260.25</v>
      </c>
      <c r="F175" s="26" t="s">
        <v>591</v>
      </c>
    </row>
    <row r="176" spans="1:6" ht="46.5" x14ac:dyDescent="0.35">
      <c r="A176" s="25" t="s">
        <v>195</v>
      </c>
      <c r="B176" s="25" t="s">
        <v>2</v>
      </c>
      <c r="C176" s="26" t="s">
        <v>592</v>
      </c>
      <c r="D176" s="27">
        <v>46259.875</v>
      </c>
      <c r="E176" s="27">
        <v>46260.25</v>
      </c>
      <c r="F176" s="26" t="s">
        <v>591</v>
      </c>
    </row>
    <row r="177" spans="1:6" ht="46.5" x14ac:dyDescent="0.35">
      <c r="A177" s="25" t="s">
        <v>195</v>
      </c>
      <c r="B177" s="25" t="s">
        <v>2</v>
      </c>
      <c r="C177" s="26" t="s">
        <v>593</v>
      </c>
      <c r="D177" s="27">
        <v>46259.875</v>
      </c>
      <c r="E177" s="27">
        <v>46260.25</v>
      </c>
      <c r="F177" s="26" t="s">
        <v>591</v>
      </c>
    </row>
    <row r="178" spans="1:6" ht="46.5" x14ac:dyDescent="0.35">
      <c r="A178" s="25" t="s">
        <v>221</v>
      </c>
      <c r="B178" s="25" t="s">
        <v>5</v>
      </c>
      <c r="C178" s="26" t="s">
        <v>577</v>
      </c>
      <c r="D178" s="27">
        <v>46259.875</v>
      </c>
      <c r="E178" s="27">
        <v>46260.208333333299</v>
      </c>
      <c r="F178" s="26" t="s">
        <v>463</v>
      </c>
    </row>
    <row r="179" spans="1:6" ht="46.5" x14ac:dyDescent="0.35">
      <c r="A179" s="25" t="s">
        <v>221</v>
      </c>
      <c r="B179" s="25" t="s">
        <v>5</v>
      </c>
      <c r="C179" s="26" t="s">
        <v>462</v>
      </c>
      <c r="D179" s="27">
        <v>46259.875</v>
      </c>
      <c r="E179" s="27">
        <v>46260.208333333299</v>
      </c>
      <c r="F179" s="26" t="s">
        <v>463</v>
      </c>
    </row>
    <row r="180" spans="1:6" ht="46.5" x14ac:dyDescent="0.35">
      <c r="A180" s="25" t="s">
        <v>221</v>
      </c>
      <c r="B180" s="25" t="s">
        <v>5</v>
      </c>
      <c r="C180" s="26" t="s">
        <v>578</v>
      </c>
      <c r="D180" s="27">
        <v>46259.875</v>
      </c>
      <c r="E180" s="27">
        <v>46260.208333333299</v>
      </c>
      <c r="F180" s="26" t="s">
        <v>463</v>
      </c>
    </row>
    <row r="181" spans="1:6" ht="46.5" x14ac:dyDescent="0.35">
      <c r="A181" s="25" t="s">
        <v>221</v>
      </c>
      <c r="B181" s="25" t="s">
        <v>5</v>
      </c>
      <c r="C181" s="26" t="s">
        <v>579</v>
      </c>
      <c r="D181" s="27">
        <v>46259.875</v>
      </c>
      <c r="E181" s="27">
        <v>46260.208333333299</v>
      </c>
      <c r="F181" s="26" t="s">
        <v>463</v>
      </c>
    </row>
    <row r="182" spans="1:6" ht="46.5" x14ac:dyDescent="0.35">
      <c r="A182" s="25" t="s">
        <v>221</v>
      </c>
      <c r="B182" s="25" t="s">
        <v>5</v>
      </c>
      <c r="C182" s="26" t="s">
        <v>467</v>
      </c>
      <c r="D182" s="27">
        <v>46259.875</v>
      </c>
      <c r="E182" s="27">
        <v>46260.25</v>
      </c>
      <c r="F182" s="26" t="s">
        <v>246</v>
      </c>
    </row>
    <row r="183" spans="1:6" ht="46.5" x14ac:dyDescent="0.35">
      <c r="A183" s="25" t="s">
        <v>192</v>
      </c>
      <c r="B183" s="25" t="s">
        <v>6</v>
      </c>
      <c r="C183" s="26" t="s">
        <v>193</v>
      </c>
      <c r="D183" s="27">
        <v>45804.208333333299</v>
      </c>
      <c r="E183" s="27">
        <v>46418.208333333299</v>
      </c>
      <c r="F183" s="26" t="s">
        <v>194</v>
      </c>
    </row>
    <row r="184" spans="1:6" ht="46.5" x14ac:dyDescent="0.35">
      <c r="A184" s="25" t="s">
        <v>226</v>
      </c>
      <c r="B184" s="25" t="s">
        <v>5</v>
      </c>
      <c r="C184" s="26" t="s">
        <v>227</v>
      </c>
      <c r="D184" s="27">
        <v>46259.875</v>
      </c>
      <c r="E184" s="27">
        <v>46260.208333333299</v>
      </c>
      <c r="F184" s="26" t="s">
        <v>228</v>
      </c>
    </row>
    <row r="185" spans="1:6" ht="46.5" x14ac:dyDescent="0.35">
      <c r="A185" s="25" t="s">
        <v>226</v>
      </c>
      <c r="B185" s="25" t="s">
        <v>5</v>
      </c>
      <c r="C185" s="26" t="s">
        <v>229</v>
      </c>
      <c r="D185" s="27">
        <v>46259.875</v>
      </c>
      <c r="E185" s="27">
        <v>46260.208333333299</v>
      </c>
      <c r="F185" s="26" t="s">
        <v>228</v>
      </c>
    </row>
    <row r="186" spans="1:6" ht="46.5" x14ac:dyDescent="0.35">
      <c r="A186" s="25" t="s">
        <v>211</v>
      </c>
      <c r="B186" s="25" t="s">
        <v>6</v>
      </c>
      <c r="C186" s="26" t="s">
        <v>212</v>
      </c>
      <c r="D186" s="27">
        <v>46259.875</v>
      </c>
      <c r="E186" s="27">
        <v>46260.208333333299</v>
      </c>
      <c r="F186" s="26" t="s">
        <v>213</v>
      </c>
    </row>
    <row r="187" spans="1:6" ht="46.5" x14ac:dyDescent="0.35">
      <c r="A187" s="25" t="s">
        <v>211</v>
      </c>
      <c r="B187" s="25" t="s">
        <v>6</v>
      </c>
      <c r="C187" s="26" t="s">
        <v>214</v>
      </c>
      <c r="D187" s="27">
        <v>46259.875</v>
      </c>
      <c r="E187" s="27">
        <v>46260.208333333299</v>
      </c>
      <c r="F187" s="26" t="s">
        <v>213</v>
      </c>
    </row>
    <row r="188" spans="1:6" ht="62" x14ac:dyDescent="0.35">
      <c r="A188" s="25" t="s">
        <v>211</v>
      </c>
      <c r="B188" s="25" t="s">
        <v>2</v>
      </c>
      <c r="C188" s="26" t="s">
        <v>266</v>
      </c>
      <c r="D188" s="27">
        <v>46259.916666666701</v>
      </c>
      <c r="E188" s="27">
        <v>46260.25</v>
      </c>
      <c r="F188" s="26" t="s">
        <v>267</v>
      </c>
    </row>
    <row r="189" spans="1:6" ht="31" x14ac:dyDescent="0.35">
      <c r="A189" s="25" t="s">
        <v>235</v>
      </c>
      <c r="B189" s="25" t="s">
        <v>8</v>
      </c>
      <c r="C189" s="26" t="s">
        <v>582</v>
      </c>
      <c r="D189" s="27">
        <v>46259.916666666701</v>
      </c>
      <c r="E189" s="27">
        <v>46260.208333333299</v>
      </c>
      <c r="F189" s="26" t="s">
        <v>583</v>
      </c>
    </row>
    <row r="190" spans="1:6" ht="31" x14ac:dyDescent="0.35">
      <c r="A190" s="25" t="s">
        <v>235</v>
      </c>
      <c r="B190" s="25" t="s">
        <v>7</v>
      </c>
      <c r="C190" s="26" t="s">
        <v>584</v>
      </c>
      <c r="D190" s="27">
        <v>46259.916666666701</v>
      </c>
      <c r="E190" s="27">
        <v>46260.208333333299</v>
      </c>
      <c r="F190" s="26" t="s">
        <v>583</v>
      </c>
    </row>
    <row r="191" spans="1:6" ht="46.5" x14ac:dyDescent="0.35">
      <c r="A191" s="25" t="s">
        <v>235</v>
      </c>
      <c r="B191" s="25" t="s">
        <v>8</v>
      </c>
      <c r="C191" s="26" t="s">
        <v>585</v>
      </c>
      <c r="D191" s="27">
        <v>46259.875</v>
      </c>
      <c r="E191" s="27">
        <v>46260.25</v>
      </c>
      <c r="F191" s="26" t="s">
        <v>586</v>
      </c>
    </row>
    <row r="192" spans="1:6" ht="46.5" x14ac:dyDescent="0.35">
      <c r="A192" s="25" t="s">
        <v>235</v>
      </c>
      <c r="B192" s="25" t="s">
        <v>8</v>
      </c>
      <c r="C192" s="26" t="s">
        <v>587</v>
      </c>
      <c r="D192" s="27">
        <v>46259.875</v>
      </c>
      <c r="E192" s="27">
        <v>46260.25</v>
      </c>
      <c r="F192" s="26" t="s">
        <v>586</v>
      </c>
    </row>
    <row r="193" spans="1:6" ht="46.5" x14ac:dyDescent="0.35">
      <c r="A193" s="25" t="s">
        <v>235</v>
      </c>
      <c r="B193" s="25" t="s">
        <v>7</v>
      </c>
      <c r="C193" s="26" t="s">
        <v>236</v>
      </c>
      <c r="D193" s="27">
        <v>46259.833333333299</v>
      </c>
      <c r="E193" s="27">
        <v>46260.25</v>
      </c>
      <c r="F193" s="26" t="s">
        <v>237</v>
      </c>
    </row>
    <row r="194" spans="1:6" ht="46.5" x14ac:dyDescent="0.35">
      <c r="A194" s="25" t="s">
        <v>235</v>
      </c>
      <c r="B194" s="25" t="s">
        <v>7</v>
      </c>
      <c r="C194" s="26" t="s">
        <v>238</v>
      </c>
      <c r="D194" s="27">
        <v>46259.833333333299</v>
      </c>
      <c r="E194" s="27">
        <v>46260.25</v>
      </c>
      <c r="F194" s="26" t="s">
        <v>237</v>
      </c>
    </row>
    <row r="195" spans="1:6" ht="46.5" x14ac:dyDescent="0.35">
      <c r="A195" s="25" t="s">
        <v>235</v>
      </c>
      <c r="B195" s="25" t="s">
        <v>8</v>
      </c>
      <c r="C195" s="26" t="s">
        <v>239</v>
      </c>
      <c r="D195" s="27">
        <v>46259.833333333299</v>
      </c>
      <c r="E195" s="27">
        <v>46260.25</v>
      </c>
      <c r="F195" s="26" t="s">
        <v>237</v>
      </c>
    </row>
    <row r="196" spans="1:6" ht="46.5" x14ac:dyDescent="0.35">
      <c r="A196" s="25" t="s">
        <v>235</v>
      </c>
      <c r="B196" s="25" t="s">
        <v>8</v>
      </c>
      <c r="C196" s="26" t="s">
        <v>240</v>
      </c>
      <c r="D196" s="27">
        <v>46259.833333333299</v>
      </c>
      <c r="E196" s="27">
        <v>46260.25</v>
      </c>
      <c r="F196" s="26" t="s">
        <v>237</v>
      </c>
    </row>
    <row r="197" spans="1:6" ht="77.5" x14ac:dyDescent="0.35">
      <c r="A197" s="25" t="s">
        <v>140</v>
      </c>
      <c r="B197" s="25" t="s">
        <v>6</v>
      </c>
      <c r="C197" s="26" t="s">
        <v>141</v>
      </c>
      <c r="D197" s="27">
        <v>46259.833333333299</v>
      </c>
      <c r="E197" s="27">
        <v>46260.25</v>
      </c>
      <c r="F197" s="26" t="s">
        <v>142</v>
      </c>
    </row>
    <row r="198" spans="1:6" ht="77.5" x14ac:dyDescent="0.35">
      <c r="A198" s="25" t="s">
        <v>140</v>
      </c>
      <c r="B198" s="25" t="s">
        <v>6</v>
      </c>
      <c r="C198" s="26" t="s">
        <v>143</v>
      </c>
      <c r="D198" s="27">
        <v>46259.833333333299</v>
      </c>
      <c r="E198" s="27">
        <v>46260.25</v>
      </c>
      <c r="F198" s="26" t="s">
        <v>142</v>
      </c>
    </row>
    <row r="199" spans="1:6" ht="77.5" x14ac:dyDescent="0.35">
      <c r="A199" s="25" t="s">
        <v>140</v>
      </c>
      <c r="B199" s="25" t="s">
        <v>6</v>
      </c>
      <c r="C199" s="26" t="s">
        <v>144</v>
      </c>
      <c r="D199" s="27">
        <v>46259.833333333299</v>
      </c>
      <c r="E199" s="27">
        <v>46260.25</v>
      </c>
      <c r="F199" s="26" t="s">
        <v>142</v>
      </c>
    </row>
    <row r="200" spans="1:6" ht="77.5" x14ac:dyDescent="0.35">
      <c r="A200" s="25" t="s">
        <v>140</v>
      </c>
      <c r="B200" s="25" t="s">
        <v>6</v>
      </c>
      <c r="C200" s="26" t="s">
        <v>145</v>
      </c>
      <c r="D200" s="27">
        <v>46259.833333333299</v>
      </c>
      <c r="E200" s="27">
        <v>46260.25</v>
      </c>
      <c r="F200" s="26" t="s">
        <v>142</v>
      </c>
    </row>
    <row r="201" spans="1:6" ht="77.5" x14ac:dyDescent="0.35">
      <c r="A201" s="25" t="s">
        <v>140</v>
      </c>
      <c r="B201" s="25" t="s">
        <v>6</v>
      </c>
      <c r="C201" s="26" t="s">
        <v>146</v>
      </c>
      <c r="D201" s="27">
        <v>46259.833333333299</v>
      </c>
      <c r="E201" s="27">
        <v>46260.25</v>
      </c>
      <c r="F201" s="26" t="s">
        <v>142</v>
      </c>
    </row>
    <row r="202" spans="1:6" ht="77.5" x14ac:dyDescent="0.35">
      <c r="A202" s="25" t="s">
        <v>140</v>
      </c>
      <c r="B202" s="25" t="s">
        <v>6</v>
      </c>
      <c r="C202" s="26" t="s">
        <v>147</v>
      </c>
      <c r="D202" s="27">
        <v>46259.833333333299</v>
      </c>
      <c r="E202" s="27">
        <v>46260.25</v>
      </c>
      <c r="F202" s="26" t="s">
        <v>142</v>
      </c>
    </row>
    <row r="203" spans="1:6" ht="62" x14ac:dyDescent="0.35">
      <c r="A203" s="25" t="s">
        <v>204</v>
      </c>
      <c r="B203" s="25" t="s">
        <v>2</v>
      </c>
      <c r="C203" s="26" t="s">
        <v>574</v>
      </c>
      <c r="D203" s="27">
        <v>46259.875</v>
      </c>
      <c r="E203" s="27">
        <v>46260.25</v>
      </c>
      <c r="F203" s="26" t="s">
        <v>206</v>
      </c>
    </row>
    <row r="204" spans="1:6" ht="62" x14ac:dyDescent="0.35">
      <c r="A204" s="25" t="s">
        <v>204</v>
      </c>
      <c r="B204" s="25" t="s">
        <v>2</v>
      </c>
      <c r="C204" s="26" t="s">
        <v>575</v>
      </c>
      <c r="D204" s="27">
        <v>46259.875</v>
      </c>
      <c r="E204" s="27">
        <v>46260.25</v>
      </c>
      <c r="F204" s="26" t="s">
        <v>206</v>
      </c>
    </row>
    <row r="205" spans="1:6" ht="62" x14ac:dyDescent="0.35">
      <c r="A205" s="25" t="s">
        <v>204</v>
      </c>
      <c r="B205" s="25" t="s">
        <v>2</v>
      </c>
      <c r="C205" s="26" t="s">
        <v>576</v>
      </c>
      <c r="D205" s="27">
        <v>46259.875</v>
      </c>
      <c r="E205" s="27">
        <v>46260.25</v>
      </c>
      <c r="F205" s="26" t="s">
        <v>206</v>
      </c>
    </row>
    <row r="206" spans="1:6" ht="93" x14ac:dyDescent="0.35">
      <c r="A206" s="25" t="s">
        <v>109</v>
      </c>
      <c r="B206" s="25" t="s">
        <v>5</v>
      </c>
      <c r="C206" s="26" t="s">
        <v>130</v>
      </c>
      <c r="D206" s="27">
        <v>46259.916666666701</v>
      </c>
      <c r="E206" s="27">
        <v>46260.25</v>
      </c>
      <c r="F206" s="26" t="s">
        <v>131</v>
      </c>
    </row>
    <row r="207" spans="1:6" ht="93" x14ac:dyDescent="0.35">
      <c r="A207" s="25" t="s">
        <v>109</v>
      </c>
      <c r="B207" s="25" t="s">
        <v>4</v>
      </c>
      <c r="C207" s="26" t="s">
        <v>132</v>
      </c>
      <c r="D207" s="27">
        <v>46259.916666666701</v>
      </c>
      <c r="E207" s="27">
        <v>46260.25</v>
      </c>
      <c r="F207" s="26" t="s">
        <v>131</v>
      </c>
    </row>
    <row r="208" spans="1:6" ht="93" x14ac:dyDescent="0.35">
      <c r="A208" s="25" t="s">
        <v>109</v>
      </c>
      <c r="B208" s="25" t="s">
        <v>4</v>
      </c>
      <c r="C208" s="26" t="s">
        <v>449</v>
      </c>
      <c r="D208" s="27">
        <v>46259.833333333299</v>
      </c>
      <c r="E208" s="27">
        <v>46260.25</v>
      </c>
      <c r="F208" s="26" t="s">
        <v>153</v>
      </c>
    </row>
    <row r="209" spans="1:6" ht="93" x14ac:dyDescent="0.35">
      <c r="A209" s="25" t="s">
        <v>109</v>
      </c>
      <c r="B209" s="25" t="s">
        <v>4</v>
      </c>
      <c r="C209" s="26" t="s">
        <v>563</v>
      </c>
      <c r="D209" s="27">
        <v>46259.875</v>
      </c>
      <c r="E209" s="27">
        <v>46260.25</v>
      </c>
      <c r="F209" s="26" t="s">
        <v>564</v>
      </c>
    </row>
    <row r="210" spans="1:6" ht="93" x14ac:dyDescent="0.35">
      <c r="A210" s="25" t="s">
        <v>109</v>
      </c>
      <c r="B210" s="25" t="s">
        <v>4</v>
      </c>
      <c r="C210" s="26" t="s">
        <v>565</v>
      </c>
      <c r="D210" s="27">
        <v>46259.875</v>
      </c>
      <c r="E210" s="27">
        <v>46260.25</v>
      </c>
      <c r="F210" s="26" t="s">
        <v>564</v>
      </c>
    </row>
    <row r="211" spans="1:6" ht="46.5" x14ac:dyDescent="0.35">
      <c r="A211" s="25" t="s">
        <v>109</v>
      </c>
      <c r="B211" s="25" t="s">
        <v>5</v>
      </c>
      <c r="C211" s="26" t="s">
        <v>588</v>
      </c>
      <c r="D211" s="27">
        <v>46259.875</v>
      </c>
      <c r="E211" s="27">
        <v>46260.208333333299</v>
      </c>
      <c r="F211" s="26" t="s">
        <v>589</v>
      </c>
    </row>
    <row r="212" spans="1:6" ht="93" x14ac:dyDescent="0.35">
      <c r="A212" s="25" t="s">
        <v>447</v>
      </c>
      <c r="B212" s="25" t="s">
        <v>7</v>
      </c>
      <c r="C212" s="26" t="s">
        <v>448</v>
      </c>
      <c r="D212" s="27">
        <v>46259.833333333299</v>
      </c>
      <c r="E212" s="27">
        <v>46260.25</v>
      </c>
      <c r="F212" s="26" t="s">
        <v>153</v>
      </c>
    </row>
    <row r="213" spans="1:6" ht="46.5" x14ac:dyDescent="0.35">
      <c r="A213" s="25" t="s">
        <v>207</v>
      </c>
      <c r="B213" s="25" t="s">
        <v>5</v>
      </c>
      <c r="C213" s="26" t="s">
        <v>208</v>
      </c>
      <c r="D213" s="27">
        <v>46259.875</v>
      </c>
      <c r="E213" s="27">
        <v>46260.25</v>
      </c>
      <c r="F213" s="26" t="s">
        <v>209</v>
      </c>
    </row>
    <row r="214" spans="1:6" ht="46.5" x14ac:dyDescent="0.35">
      <c r="A214" s="25" t="s">
        <v>207</v>
      </c>
      <c r="B214" s="25" t="s">
        <v>5</v>
      </c>
      <c r="C214" s="26" t="s">
        <v>210</v>
      </c>
      <c r="D214" s="27">
        <v>46259.875</v>
      </c>
      <c r="E214" s="27">
        <v>46260.25</v>
      </c>
      <c r="F214" s="26" t="s">
        <v>209</v>
      </c>
    </row>
    <row r="215" spans="1:6" x14ac:dyDescent="0.35">
      <c r="A215" s="21"/>
      <c r="B215" s="21"/>
      <c r="C215" s="21"/>
      <c r="D215" s="22"/>
      <c r="E215" s="22"/>
      <c r="F215" s="21"/>
    </row>
    <row r="216" spans="1:6" x14ac:dyDescent="0.35">
      <c r="A216" s="21"/>
      <c r="B216" s="21"/>
      <c r="C216" s="21"/>
      <c r="D216" s="22"/>
      <c r="E216" s="22"/>
      <c r="F216" s="21"/>
    </row>
    <row r="217" spans="1:6" x14ac:dyDescent="0.35">
      <c r="A217" s="21"/>
      <c r="B217" s="21"/>
      <c r="C217" s="21"/>
      <c r="D217" s="22"/>
      <c r="E217" s="22"/>
      <c r="F217" s="21"/>
    </row>
    <row r="218" spans="1:6" x14ac:dyDescent="0.35">
      <c r="A218" s="21"/>
      <c r="B218" s="21"/>
      <c r="C218" s="21"/>
      <c r="D218" s="22"/>
      <c r="E218" s="22"/>
      <c r="F218" s="21"/>
    </row>
    <row r="219" spans="1:6" x14ac:dyDescent="0.35">
      <c r="A219" s="21"/>
      <c r="B219" s="21"/>
      <c r="C219" s="21"/>
      <c r="D219" s="22"/>
      <c r="E219" s="22"/>
      <c r="F219" s="21"/>
    </row>
    <row r="220" spans="1:6" x14ac:dyDescent="0.35">
      <c r="A220" s="21"/>
      <c r="B220" s="21"/>
      <c r="C220" s="21"/>
      <c r="D220" s="22"/>
      <c r="E220" s="22"/>
      <c r="F220" s="21"/>
    </row>
    <row r="221" spans="1:6" x14ac:dyDescent="0.35">
      <c r="A221" s="21"/>
      <c r="B221" s="21"/>
      <c r="C221" s="21"/>
      <c r="D221" s="22"/>
      <c r="E221" s="22"/>
      <c r="F221" s="21"/>
    </row>
    <row r="222" spans="1:6" x14ac:dyDescent="0.35">
      <c r="A222" s="21"/>
      <c r="B222" s="21"/>
      <c r="C222" s="21"/>
      <c r="D222" s="22"/>
      <c r="E222" s="22"/>
      <c r="F222" s="21"/>
    </row>
    <row r="223" spans="1:6" x14ac:dyDescent="0.35">
      <c r="A223" s="21"/>
      <c r="B223" s="21"/>
      <c r="C223" s="21"/>
      <c r="D223" s="22"/>
      <c r="E223" s="22"/>
      <c r="F223" s="21"/>
    </row>
    <row r="224" spans="1:6" x14ac:dyDescent="0.35">
      <c r="A224" s="21"/>
      <c r="B224" s="21"/>
      <c r="C224" s="21"/>
      <c r="D224" s="22"/>
      <c r="E224" s="22"/>
      <c r="F224" s="21"/>
    </row>
    <row r="225" spans="1:6" x14ac:dyDescent="0.35">
      <c r="A225" s="21"/>
      <c r="B225" s="21"/>
      <c r="C225" s="21"/>
      <c r="D225" s="22"/>
      <c r="E225" s="22"/>
      <c r="F225" s="21"/>
    </row>
    <row r="226" spans="1:6" x14ac:dyDescent="0.35">
      <c r="A226" s="21"/>
      <c r="B226" s="21"/>
      <c r="C226" s="21"/>
      <c r="D226" s="22"/>
      <c r="E226" s="22"/>
      <c r="F226" s="21"/>
    </row>
    <row r="227" spans="1:6" x14ac:dyDescent="0.35">
      <c r="A227" s="21"/>
      <c r="B227" s="21"/>
      <c r="C227" s="21"/>
      <c r="D227" s="22"/>
      <c r="E227" s="22"/>
      <c r="F227" s="21"/>
    </row>
  </sheetData>
  <autoFilter ref="A2:F190" xr:uid="{296437B8-68A1-4AA4-99A5-E75D04C904AB}">
    <sortState xmlns:xlrd2="http://schemas.microsoft.com/office/spreadsheetml/2017/richdata2" ref="A3:F214">
      <sortCondition ref="A2:A190"/>
    </sortState>
  </autoFilter>
  <mergeCells count="1">
    <mergeCell ref="A1:F1"/>
  </mergeCells>
  <conditionalFormatting sqref="A3:F214">
    <cfRule type="expression" dxfId="6"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236"/>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5" t="str">
        <f>"Daily closure report: "&amp;'Front page'!A9</f>
        <v>Daily closure report: Wednesday, 26 August</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24</v>
      </c>
      <c r="B3" s="25" t="s">
        <v>2</v>
      </c>
      <c r="C3" s="26" t="s">
        <v>25</v>
      </c>
      <c r="D3" s="27">
        <v>46260.875</v>
      </c>
      <c r="E3" s="27">
        <v>46261.208333333299</v>
      </c>
      <c r="F3" s="26" t="s">
        <v>26</v>
      </c>
    </row>
    <row r="4" spans="1:6" s="5" customFormat="1" ht="77.5" x14ac:dyDescent="0.35">
      <c r="A4" s="25" t="s">
        <v>24</v>
      </c>
      <c r="B4" s="25" t="s">
        <v>2</v>
      </c>
      <c r="C4" s="26" t="s">
        <v>34</v>
      </c>
      <c r="D4" s="27">
        <v>46260.833333333299</v>
      </c>
      <c r="E4" s="27">
        <v>46261.25</v>
      </c>
      <c r="F4" s="26" t="s">
        <v>35</v>
      </c>
    </row>
    <row r="5" spans="1:6" s="5" customFormat="1" ht="77.5" x14ac:dyDescent="0.35">
      <c r="A5" s="25" t="s">
        <v>24</v>
      </c>
      <c r="B5" s="25" t="s">
        <v>44</v>
      </c>
      <c r="C5" s="26" t="s">
        <v>45</v>
      </c>
      <c r="D5" s="27">
        <v>45847.208333333299</v>
      </c>
      <c r="E5" s="27">
        <v>46507.999305555597</v>
      </c>
      <c r="F5" s="26" t="s">
        <v>46</v>
      </c>
    </row>
    <row r="6" spans="1:6" s="5" customFormat="1" ht="77.5" x14ac:dyDescent="0.35">
      <c r="A6" s="25" t="s">
        <v>24</v>
      </c>
      <c r="B6" s="25" t="s">
        <v>6</v>
      </c>
      <c r="C6" s="26" t="s">
        <v>417</v>
      </c>
      <c r="D6" s="27">
        <v>46260.833333333299</v>
      </c>
      <c r="E6" s="27">
        <v>46261.25</v>
      </c>
      <c r="F6" s="26" t="s">
        <v>418</v>
      </c>
    </row>
    <row r="7" spans="1:6" s="5" customFormat="1" ht="62" x14ac:dyDescent="0.35">
      <c r="A7" s="25" t="s">
        <v>24</v>
      </c>
      <c r="B7" s="25" t="s">
        <v>6</v>
      </c>
      <c r="C7" s="26" t="s">
        <v>97</v>
      </c>
      <c r="D7" s="27">
        <v>46260.833333333299</v>
      </c>
      <c r="E7" s="27">
        <v>46261.25</v>
      </c>
      <c r="F7" s="26" t="s">
        <v>98</v>
      </c>
    </row>
    <row r="8" spans="1:6" s="5" customFormat="1" ht="62" x14ac:dyDescent="0.35">
      <c r="A8" s="25" t="s">
        <v>24</v>
      </c>
      <c r="B8" s="25" t="s">
        <v>6</v>
      </c>
      <c r="C8" s="26" t="s">
        <v>99</v>
      </c>
      <c r="D8" s="27">
        <v>46260.833333333299</v>
      </c>
      <c r="E8" s="27">
        <v>46261.25</v>
      </c>
      <c r="F8" s="26" t="s">
        <v>98</v>
      </c>
    </row>
    <row r="9" spans="1:6" s="5" customFormat="1" ht="46.5" x14ac:dyDescent="0.35">
      <c r="A9" s="25" t="s">
        <v>24</v>
      </c>
      <c r="B9" s="25" t="s">
        <v>6</v>
      </c>
      <c r="C9" s="26" t="s">
        <v>100</v>
      </c>
      <c r="D9" s="27">
        <v>46260.833333333299</v>
      </c>
      <c r="E9" s="27">
        <v>46261.25</v>
      </c>
      <c r="F9" s="26" t="s">
        <v>98</v>
      </c>
    </row>
    <row r="10" spans="1:6" s="5" customFormat="1" ht="46.5" x14ac:dyDescent="0.35">
      <c r="A10" s="25" t="s">
        <v>24</v>
      </c>
      <c r="B10" s="25" t="s">
        <v>6</v>
      </c>
      <c r="C10" s="26" t="s">
        <v>101</v>
      </c>
      <c r="D10" s="27">
        <v>46260.833333333299</v>
      </c>
      <c r="E10" s="27">
        <v>46261.25</v>
      </c>
      <c r="F10" s="26" t="s">
        <v>98</v>
      </c>
    </row>
    <row r="11" spans="1:6" s="5" customFormat="1" ht="77.5" x14ac:dyDescent="0.35">
      <c r="A11" s="25" t="s">
        <v>24</v>
      </c>
      <c r="B11" s="25" t="s">
        <v>6</v>
      </c>
      <c r="C11" s="26" t="s">
        <v>102</v>
      </c>
      <c r="D11" s="27">
        <v>46260.833333333299</v>
      </c>
      <c r="E11" s="27">
        <v>46261.25</v>
      </c>
      <c r="F11" s="26" t="s">
        <v>98</v>
      </c>
    </row>
    <row r="12" spans="1:6" s="5" customFormat="1" ht="93" x14ac:dyDescent="0.35">
      <c r="A12" s="25" t="s">
        <v>24</v>
      </c>
      <c r="B12" s="25" t="s">
        <v>6</v>
      </c>
      <c r="C12" s="26" t="s">
        <v>103</v>
      </c>
      <c r="D12" s="27">
        <v>46260.833333333299</v>
      </c>
      <c r="E12" s="27">
        <v>46261.25</v>
      </c>
      <c r="F12" s="26" t="s">
        <v>98</v>
      </c>
    </row>
    <row r="13" spans="1:6" s="5" customFormat="1" ht="46.5" x14ac:dyDescent="0.35">
      <c r="A13" s="25" t="s">
        <v>24</v>
      </c>
      <c r="B13" s="25" t="s">
        <v>2</v>
      </c>
      <c r="C13" s="26" t="s">
        <v>458</v>
      </c>
      <c r="D13" s="27">
        <v>46260.833333333299</v>
      </c>
      <c r="E13" s="27">
        <v>46261.25</v>
      </c>
      <c r="F13" s="26" t="s">
        <v>179</v>
      </c>
    </row>
    <row r="14" spans="1:6" s="5" customFormat="1" ht="46.5" x14ac:dyDescent="0.35">
      <c r="A14" s="25" t="s">
        <v>24</v>
      </c>
      <c r="B14" s="25" t="s">
        <v>2</v>
      </c>
      <c r="C14" s="26" t="s">
        <v>459</v>
      </c>
      <c r="D14" s="27">
        <v>46260.833333333299</v>
      </c>
      <c r="E14" s="27">
        <v>46261.25</v>
      </c>
      <c r="F14" s="26" t="s">
        <v>179</v>
      </c>
    </row>
    <row r="15" spans="1:6" s="5" customFormat="1" ht="62" x14ac:dyDescent="0.35">
      <c r="A15" s="25" t="s">
        <v>47</v>
      </c>
      <c r="B15" s="25" t="s">
        <v>2</v>
      </c>
      <c r="C15" s="26" t="s">
        <v>48</v>
      </c>
      <c r="D15" s="27">
        <v>46260.875</v>
      </c>
      <c r="E15" s="27">
        <v>46261.208333333299</v>
      </c>
      <c r="F15" s="26" t="s">
        <v>49</v>
      </c>
    </row>
    <row r="16" spans="1:6" s="5" customFormat="1" ht="62" x14ac:dyDescent="0.35">
      <c r="A16" s="25" t="s">
        <v>47</v>
      </c>
      <c r="B16" s="25" t="s">
        <v>6</v>
      </c>
      <c r="C16" s="26" t="s">
        <v>454</v>
      </c>
      <c r="D16" s="27">
        <v>46260.875</v>
      </c>
      <c r="E16" s="27">
        <v>46261.208333333299</v>
      </c>
      <c r="F16" s="26" t="s">
        <v>455</v>
      </c>
    </row>
    <row r="17" spans="1:6" s="5" customFormat="1" ht="62" x14ac:dyDescent="0.35">
      <c r="A17" s="25" t="s">
        <v>47</v>
      </c>
      <c r="B17" s="25" t="s">
        <v>2</v>
      </c>
      <c r="C17" s="26" t="s">
        <v>164</v>
      </c>
      <c r="D17" s="27">
        <v>46260.833333333299</v>
      </c>
      <c r="E17" s="27">
        <v>46261.25</v>
      </c>
      <c r="F17" s="26" t="s">
        <v>165</v>
      </c>
    </row>
    <row r="18" spans="1:6" s="5" customFormat="1" ht="62" x14ac:dyDescent="0.35">
      <c r="A18" s="25" t="s">
        <v>47</v>
      </c>
      <c r="B18" s="25" t="s">
        <v>2</v>
      </c>
      <c r="C18" s="26" t="s">
        <v>166</v>
      </c>
      <c r="D18" s="27">
        <v>46260.833333333299</v>
      </c>
      <c r="E18" s="27">
        <v>46261.25</v>
      </c>
      <c r="F18" s="26" t="s">
        <v>165</v>
      </c>
    </row>
    <row r="19" spans="1:6" s="5" customFormat="1" ht="62" x14ac:dyDescent="0.35">
      <c r="A19" s="25" t="s">
        <v>47</v>
      </c>
      <c r="B19" s="25" t="s">
        <v>2</v>
      </c>
      <c r="C19" s="26" t="s">
        <v>167</v>
      </c>
      <c r="D19" s="27">
        <v>46260.833333333299</v>
      </c>
      <c r="E19" s="27">
        <v>46261.25</v>
      </c>
      <c r="F19" s="26" t="s">
        <v>165</v>
      </c>
    </row>
    <row r="20" spans="1:6" s="5" customFormat="1" ht="62" x14ac:dyDescent="0.35">
      <c r="A20" s="25" t="s">
        <v>47</v>
      </c>
      <c r="B20" s="25" t="s">
        <v>2</v>
      </c>
      <c r="C20" s="26" t="s">
        <v>168</v>
      </c>
      <c r="D20" s="27">
        <v>46260.833333333299</v>
      </c>
      <c r="E20" s="27">
        <v>46261.25</v>
      </c>
      <c r="F20" s="26" t="s">
        <v>165</v>
      </c>
    </row>
    <row r="21" spans="1:6" s="5" customFormat="1" ht="62" x14ac:dyDescent="0.35">
      <c r="A21" s="25" t="s">
        <v>47</v>
      </c>
      <c r="B21" s="25" t="s">
        <v>2</v>
      </c>
      <c r="C21" s="26" t="s">
        <v>169</v>
      </c>
      <c r="D21" s="27">
        <v>46260.833333333299</v>
      </c>
      <c r="E21" s="27">
        <v>46261.25</v>
      </c>
      <c r="F21" s="26" t="s">
        <v>165</v>
      </c>
    </row>
    <row r="22" spans="1:6" s="5" customFormat="1" ht="46.5" x14ac:dyDescent="0.35">
      <c r="A22" s="25" t="s">
        <v>47</v>
      </c>
      <c r="B22" s="25" t="s">
        <v>2</v>
      </c>
      <c r="C22" s="26" t="s">
        <v>460</v>
      </c>
      <c r="D22" s="27">
        <v>46260.833333333299</v>
      </c>
      <c r="E22" s="27">
        <v>46261.25</v>
      </c>
      <c r="F22" s="26" t="s">
        <v>182</v>
      </c>
    </row>
    <row r="23" spans="1:6" s="5" customFormat="1" ht="46.5" x14ac:dyDescent="0.35">
      <c r="A23" s="25" t="s">
        <v>47</v>
      </c>
      <c r="B23" s="25" t="s">
        <v>2</v>
      </c>
      <c r="C23" s="26" t="s">
        <v>461</v>
      </c>
      <c r="D23" s="27">
        <v>46260.833333333299</v>
      </c>
      <c r="E23" s="27">
        <v>46261.25</v>
      </c>
      <c r="F23" s="26" t="s">
        <v>182</v>
      </c>
    </row>
    <row r="24" spans="1:6" s="5" customFormat="1" ht="93" x14ac:dyDescent="0.35">
      <c r="A24" s="25" t="s">
        <v>339</v>
      </c>
      <c r="B24" s="25" t="s">
        <v>6</v>
      </c>
      <c r="C24" s="26" t="s">
        <v>340</v>
      </c>
      <c r="D24" s="27">
        <v>46260.833333333299</v>
      </c>
      <c r="E24" s="27">
        <v>46261.166666666701</v>
      </c>
      <c r="F24" s="26" t="s">
        <v>341</v>
      </c>
    </row>
    <row r="25" spans="1:6" s="5" customFormat="1" ht="46.5" x14ac:dyDescent="0.35">
      <c r="A25" s="25" t="s">
        <v>53</v>
      </c>
      <c r="B25" s="25" t="s">
        <v>2</v>
      </c>
      <c r="C25" s="26" t="s">
        <v>415</v>
      </c>
      <c r="D25" s="27">
        <v>46260.875</v>
      </c>
      <c r="E25" s="27">
        <v>46261.208333333299</v>
      </c>
      <c r="F25" s="26" t="s">
        <v>55</v>
      </c>
    </row>
    <row r="26" spans="1:6" s="5" customFormat="1" ht="46.5" x14ac:dyDescent="0.35">
      <c r="A26" s="25" t="s">
        <v>53</v>
      </c>
      <c r="B26" s="25" t="s">
        <v>2</v>
      </c>
      <c r="C26" s="26" t="s">
        <v>416</v>
      </c>
      <c r="D26" s="27">
        <v>46260.875</v>
      </c>
      <c r="E26" s="27">
        <v>46261.208333333299</v>
      </c>
      <c r="F26" s="26" t="s">
        <v>55</v>
      </c>
    </row>
    <row r="27" spans="1:6" s="5" customFormat="1" ht="62" x14ac:dyDescent="0.35">
      <c r="A27" s="25" t="s">
        <v>17</v>
      </c>
      <c r="B27" s="25" t="s">
        <v>6</v>
      </c>
      <c r="C27" s="26" t="s">
        <v>18</v>
      </c>
      <c r="D27" s="27">
        <v>46260.875</v>
      </c>
      <c r="E27" s="27">
        <v>46261.208333333299</v>
      </c>
      <c r="F27" s="26" t="s">
        <v>19</v>
      </c>
    </row>
    <row r="28" spans="1:6" s="5" customFormat="1" ht="46.5" x14ac:dyDescent="0.35">
      <c r="A28" s="25" t="s">
        <v>17</v>
      </c>
      <c r="B28" s="25" t="s">
        <v>2</v>
      </c>
      <c r="C28" s="26" t="s">
        <v>30</v>
      </c>
      <c r="D28" s="27">
        <v>46260.875</v>
      </c>
      <c r="E28" s="27">
        <v>46261.208333333299</v>
      </c>
      <c r="F28" s="26" t="s">
        <v>31</v>
      </c>
    </row>
    <row r="29" spans="1:6" s="5" customFormat="1" ht="46.5" x14ac:dyDescent="0.35">
      <c r="A29" s="25" t="s">
        <v>17</v>
      </c>
      <c r="B29" s="25" t="s">
        <v>6</v>
      </c>
      <c r="C29" s="26" t="s">
        <v>32</v>
      </c>
      <c r="D29" s="27">
        <v>46260.875</v>
      </c>
      <c r="E29" s="27">
        <v>46261.208333333299</v>
      </c>
      <c r="F29" s="26" t="s">
        <v>33</v>
      </c>
    </row>
    <row r="30" spans="1:6" s="5" customFormat="1" ht="46.5" x14ac:dyDescent="0.35">
      <c r="A30" s="25" t="s">
        <v>17</v>
      </c>
      <c r="B30" s="25" t="s">
        <v>6</v>
      </c>
      <c r="C30" s="26" t="s">
        <v>36</v>
      </c>
      <c r="D30" s="27">
        <v>46260.875</v>
      </c>
      <c r="E30" s="27">
        <v>46261.208333333299</v>
      </c>
      <c r="F30" s="26" t="s">
        <v>37</v>
      </c>
    </row>
    <row r="31" spans="1:6" s="5" customFormat="1" ht="46.5" x14ac:dyDescent="0.35">
      <c r="A31" s="25" t="s">
        <v>38</v>
      </c>
      <c r="B31" s="25" t="s">
        <v>5</v>
      </c>
      <c r="C31" s="26" t="s">
        <v>409</v>
      </c>
      <c r="D31" s="27">
        <v>46260.833333333299</v>
      </c>
      <c r="E31" s="27">
        <v>46261.25</v>
      </c>
      <c r="F31" s="26" t="s">
        <v>410</v>
      </c>
    </row>
    <row r="32" spans="1:6" s="5" customFormat="1" ht="46.5" x14ac:dyDescent="0.35">
      <c r="A32" s="25" t="s">
        <v>38</v>
      </c>
      <c r="B32" s="25" t="s">
        <v>4</v>
      </c>
      <c r="C32" s="26" t="s">
        <v>411</v>
      </c>
      <c r="D32" s="27">
        <v>46260.833333333299</v>
      </c>
      <c r="E32" s="27">
        <v>46261.25</v>
      </c>
      <c r="F32" s="26" t="s">
        <v>410</v>
      </c>
    </row>
    <row r="33" spans="1:6" s="5" customFormat="1" ht="46.5" x14ac:dyDescent="0.35">
      <c r="A33" s="25" t="s">
        <v>38</v>
      </c>
      <c r="B33" s="25" t="s">
        <v>5</v>
      </c>
      <c r="C33" s="26" t="s">
        <v>39</v>
      </c>
      <c r="D33" s="27">
        <v>46260.833333333299</v>
      </c>
      <c r="E33" s="27">
        <v>46261.25</v>
      </c>
      <c r="F33" s="26" t="s">
        <v>40</v>
      </c>
    </row>
    <row r="34" spans="1:6" s="5" customFormat="1" ht="46.5" x14ac:dyDescent="0.35">
      <c r="A34" s="25" t="s">
        <v>38</v>
      </c>
      <c r="B34" s="25" t="s">
        <v>5</v>
      </c>
      <c r="C34" s="26" t="s">
        <v>41</v>
      </c>
      <c r="D34" s="27">
        <v>46260.833333333299</v>
      </c>
      <c r="E34" s="27">
        <v>46261.25</v>
      </c>
      <c r="F34" s="26" t="s">
        <v>42</v>
      </c>
    </row>
    <row r="35" spans="1:6" s="5" customFormat="1" ht="46.5" x14ac:dyDescent="0.35">
      <c r="A35" s="25" t="s">
        <v>38</v>
      </c>
      <c r="B35" s="25" t="s">
        <v>5</v>
      </c>
      <c r="C35" s="26" t="s">
        <v>43</v>
      </c>
      <c r="D35" s="27">
        <v>46260.833333333299</v>
      </c>
      <c r="E35" s="27">
        <v>46261.25</v>
      </c>
      <c r="F35" s="26" t="s">
        <v>42</v>
      </c>
    </row>
    <row r="36" spans="1:6" s="5" customFormat="1" ht="46.5" x14ac:dyDescent="0.35">
      <c r="A36" s="25" t="s">
        <v>38</v>
      </c>
      <c r="B36" s="25" t="s">
        <v>5</v>
      </c>
      <c r="C36" s="26" t="s">
        <v>50</v>
      </c>
      <c r="D36" s="27">
        <v>46260.833333333299</v>
      </c>
      <c r="E36" s="27">
        <v>46261.25</v>
      </c>
      <c r="F36" s="26" t="s">
        <v>51</v>
      </c>
    </row>
    <row r="37" spans="1:6" s="5" customFormat="1" ht="46.5" x14ac:dyDescent="0.35">
      <c r="A37" s="25" t="s">
        <v>38</v>
      </c>
      <c r="B37" s="25" t="s">
        <v>4</v>
      </c>
      <c r="C37" s="26" t="s">
        <v>52</v>
      </c>
      <c r="D37" s="27">
        <v>46260.833333333299</v>
      </c>
      <c r="E37" s="27">
        <v>46261.25</v>
      </c>
      <c r="F37" s="26" t="s">
        <v>51</v>
      </c>
    </row>
    <row r="38" spans="1:6" s="5" customFormat="1" ht="93" x14ac:dyDescent="0.35">
      <c r="A38" s="25" t="s">
        <v>38</v>
      </c>
      <c r="B38" s="25" t="s">
        <v>5</v>
      </c>
      <c r="C38" s="26" t="s">
        <v>78</v>
      </c>
      <c r="D38" s="27">
        <v>46258.541666666701</v>
      </c>
      <c r="E38" s="27">
        <v>46262.25</v>
      </c>
      <c r="F38" s="26" t="s">
        <v>79</v>
      </c>
    </row>
    <row r="39" spans="1:6" s="5" customFormat="1" ht="93" x14ac:dyDescent="0.35">
      <c r="A39" s="25" t="s">
        <v>38</v>
      </c>
      <c r="B39" s="25" t="s">
        <v>5</v>
      </c>
      <c r="C39" s="26" t="s">
        <v>80</v>
      </c>
      <c r="D39" s="27">
        <v>46260.833333333299</v>
      </c>
      <c r="E39" s="27">
        <v>46261.25</v>
      </c>
      <c r="F39" s="26" t="s">
        <v>79</v>
      </c>
    </row>
    <row r="40" spans="1:6" s="5" customFormat="1" ht="93" x14ac:dyDescent="0.35">
      <c r="A40" s="25" t="s">
        <v>38</v>
      </c>
      <c r="B40" s="25" t="s">
        <v>5</v>
      </c>
      <c r="C40" s="26" t="s">
        <v>81</v>
      </c>
      <c r="D40" s="27">
        <v>46260.833333333299</v>
      </c>
      <c r="E40" s="27">
        <v>46261.25</v>
      </c>
      <c r="F40" s="26" t="s">
        <v>79</v>
      </c>
    </row>
    <row r="41" spans="1:6" s="5" customFormat="1" ht="93" x14ac:dyDescent="0.35">
      <c r="A41" s="25" t="s">
        <v>38</v>
      </c>
      <c r="B41" s="25" t="s">
        <v>5</v>
      </c>
      <c r="C41" s="26" t="s">
        <v>82</v>
      </c>
      <c r="D41" s="27">
        <v>46260.833333333299</v>
      </c>
      <c r="E41" s="27">
        <v>46261.25</v>
      </c>
      <c r="F41" s="26" t="s">
        <v>79</v>
      </c>
    </row>
    <row r="42" spans="1:6" s="5" customFormat="1" ht="93" x14ac:dyDescent="0.35">
      <c r="A42" s="25" t="s">
        <v>38</v>
      </c>
      <c r="B42" s="25" t="s">
        <v>5</v>
      </c>
      <c r="C42" s="26" t="s">
        <v>83</v>
      </c>
      <c r="D42" s="27">
        <v>46260.833333333299</v>
      </c>
      <c r="E42" s="27">
        <v>46261.25</v>
      </c>
      <c r="F42" s="26" t="s">
        <v>79</v>
      </c>
    </row>
    <row r="43" spans="1:6" s="5" customFormat="1" ht="93" x14ac:dyDescent="0.35">
      <c r="A43" s="25" t="s">
        <v>38</v>
      </c>
      <c r="B43" s="25" t="s">
        <v>5</v>
      </c>
      <c r="C43" s="26" t="s">
        <v>84</v>
      </c>
      <c r="D43" s="27">
        <v>46260.833333333299</v>
      </c>
      <c r="E43" s="27">
        <v>46261.25</v>
      </c>
      <c r="F43" s="26" t="s">
        <v>79</v>
      </c>
    </row>
    <row r="44" spans="1:6" s="5" customFormat="1" ht="93" x14ac:dyDescent="0.35">
      <c r="A44" s="25" t="s">
        <v>38</v>
      </c>
      <c r="B44" s="25" t="s">
        <v>5</v>
      </c>
      <c r="C44" s="26" t="s">
        <v>85</v>
      </c>
      <c r="D44" s="27">
        <v>46260.833333333299</v>
      </c>
      <c r="E44" s="27">
        <v>46261.25</v>
      </c>
      <c r="F44" s="26" t="s">
        <v>79</v>
      </c>
    </row>
    <row r="45" spans="1:6" s="5" customFormat="1" ht="93" x14ac:dyDescent="0.35">
      <c r="A45" s="25" t="s">
        <v>38</v>
      </c>
      <c r="B45" s="25" t="s">
        <v>5</v>
      </c>
      <c r="C45" s="26" t="s">
        <v>86</v>
      </c>
      <c r="D45" s="27">
        <v>46260.833333333299</v>
      </c>
      <c r="E45" s="27">
        <v>46261.25</v>
      </c>
      <c r="F45" s="26" t="s">
        <v>79</v>
      </c>
    </row>
    <row r="46" spans="1:6" s="5" customFormat="1" ht="46.5" x14ac:dyDescent="0.35">
      <c r="A46" s="25" t="s">
        <v>38</v>
      </c>
      <c r="B46" s="25" t="s">
        <v>5</v>
      </c>
      <c r="C46" s="26" t="s">
        <v>432</v>
      </c>
      <c r="D46" s="27">
        <v>46260.541666666701</v>
      </c>
      <c r="E46" s="27">
        <v>46261.25</v>
      </c>
      <c r="F46" s="26" t="s">
        <v>433</v>
      </c>
    </row>
    <row r="47" spans="1:6" s="5" customFormat="1" ht="77.5" x14ac:dyDescent="0.35">
      <c r="A47" s="25" t="s">
        <v>184</v>
      </c>
      <c r="B47" s="25" t="s">
        <v>6</v>
      </c>
      <c r="C47" s="26" t="s">
        <v>185</v>
      </c>
      <c r="D47" s="27">
        <v>46260.833333333299</v>
      </c>
      <c r="E47" s="27">
        <v>46261.25</v>
      </c>
      <c r="F47" s="26" t="s">
        <v>186</v>
      </c>
    </row>
    <row r="48" spans="1:6" s="5" customFormat="1" ht="77.5" x14ac:dyDescent="0.35">
      <c r="A48" s="25" t="s">
        <v>184</v>
      </c>
      <c r="B48" s="25" t="s">
        <v>2</v>
      </c>
      <c r="C48" s="26" t="s">
        <v>187</v>
      </c>
      <c r="D48" s="27">
        <v>46260.833333333299</v>
      </c>
      <c r="E48" s="27">
        <v>46261.25</v>
      </c>
      <c r="F48" s="26" t="s">
        <v>186</v>
      </c>
    </row>
    <row r="49" spans="1:6" s="5" customFormat="1" ht="46.5" x14ac:dyDescent="0.35">
      <c r="A49" s="25" t="s">
        <v>184</v>
      </c>
      <c r="B49" s="25" t="s">
        <v>6</v>
      </c>
      <c r="C49" s="26" t="s">
        <v>188</v>
      </c>
      <c r="D49" s="27">
        <v>46260.833333333299</v>
      </c>
      <c r="E49" s="27">
        <v>46261.25</v>
      </c>
      <c r="F49" s="26" t="s">
        <v>189</v>
      </c>
    </row>
    <row r="50" spans="1:6" s="5" customFormat="1" ht="31" x14ac:dyDescent="0.35">
      <c r="A50" s="25" t="s">
        <v>184</v>
      </c>
      <c r="B50" s="25" t="s">
        <v>2</v>
      </c>
      <c r="C50" s="26" t="s">
        <v>190</v>
      </c>
      <c r="D50" s="27">
        <v>46260.833333333299</v>
      </c>
      <c r="E50" s="27">
        <v>46261.25</v>
      </c>
      <c r="F50" s="26" t="s">
        <v>191</v>
      </c>
    </row>
    <row r="51" spans="1:6" s="5" customFormat="1" ht="46.5" x14ac:dyDescent="0.35">
      <c r="A51" s="25" t="s">
        <v>297</v>
      </c>
      <c r="B51" s="25" t="s">
        <v>5</v>
      </c>
      <c r="C51" s="26" t="s">
        <v>298</v>
      </c>
      <c r="D51" s="27">
        <v>46260.833333333299</v>
      </c>
      <c r="E51" s="27">
        <v>46261.25</v>
      </c>
      <c r="F51" s="26" t="s">
        <v>299</v>
      </c>
    </row>
    <row r="52" spans="1:6" s="5" customFormat="1" ht="62" x14ac:dyDescent="0.35">
      <c r="A52" s="25" t="s">
        <v>297</v>
      </c>
      <c r="B52" s="25" t="s">
        <v>4</v>
      </c>
      <c r="C52" s="26" t="s">
        <v>485</v>
      </c>
      <c r="D52" s="27">
        <v>46260.875</v>
      </c>
      <c r="E52" s="27">
        <v>46261.25</v>
      </c>
      <c r="F52" s="26" t="s">
        <v>486</v>
      </c>
    </row>
    <row r="53" spans="1:6" s="5" customFormat="1" ht="62" x14ac:dyDescent="0.35">
      <c r="A53" s="25" t="s">
        <v>297</v>
      </c>
      <c r="B53" s="25" t="s">
        <v>5</v>
      </c>
      <c r="C53" s="26" t="s">
        <v>493</v>
      </c>
      <c r="D53" s="27">
        <v>46260.916666666701</v>
      </c>
      <c r="E53" s="27">
        <v>46261.229166666701</v>
      </c>
      <c r="F53" s="26" t="s">
        <v>494</v>
      </c>
    </row>
    <row r="54" spans="1:6" s="5" customFormat="1" ht="62" x14ac:dyDescent="0.35">
      <c r="A54" s="25" t="s">
        <v>294</v>
      </c>
      <c r="B54" s="25" t="s">
        <v>44</v>
      </c>
      <c r="C54" s="26" t="s">
        <v>295</v>
      </c>
      <c r="D54" s="27">
        <v>46260.833333333299</v>
      </c>
      <c r="E54" s="27">
        <v>46261.25</v>
      </c>
      <c r="F54" s="26" t="s">
        <v>296</v>
      </c>
    </row>
    <row r="55" spans="1:6" s="5" customFormat="1" ht="46.5" x14ac:dyDescent="0.35">
      <c r="A55" s="25" t="s">
        <v>310</v>
      </c>
      <c r="B55" s="25" t="s">
        <v>2</v>
      </c>
      <c r="C55" s="26" t="s">
        <v>311</v>
      </c>
      <c r="D55" s="27">
        <v>46260.833333333299</v>
      </c>
      <c r="E55" s="27">
        <v>46261.25</v>
      </c>
      <c r="F55" s="26" t="s">
        <v>312</v>
      </c>
    </row>
    <row r="56" spans="1:6" s="5" customFormat="1" ht="62" x14ac:dyDescent="0.35">
      <c r="A56" s="25" t="s">
        <v>313</v>
      </c>
      <c r="B56" s="25" t="s">
        <v>44</v>
      </c>
      <c r="C56" s="26" t="s">
        <v>314</v>
      </c>
      <c r="D56" s="27">
        <v>46260.875</v>
      </c>
      <c r="E56" s="27">
        <v>46261.25</v>
      </c>
      <c r="F56" s="26" t="s">
        <v>315</v>
      </c>
    </row>
    <row r="57" spans="1:6" s="5" customFormat="1" ht="31" x14ac:dyDescent="0.35">
      <c r="A57" s="25" t="s">
        <v>307</v>
      </c>
      <c r="B57" s="25" t="s">
        <v>4</v>
      </c>
      <c r="C57" s="26" t="s">
        <v>475</v>
      </c>
      <c r="D57" s="27">
        <v>46260.875</v>
      </c>
      <c r="E57" s="27">
        <v>46261.25</v>
      </c>
      <c r="F57" s="26" t="s">
        <v>476</v>
      </c>
    </row>
    <row r="58" spans="1:6" s="5" customFormat="1" ht="46.5" x14ac:dyDescent="0.35">
      <c r="A58" s="25" t="s">
        <v>307</v>
      </c>
      <c r="B58" s="25" t="s">
        <v>4</v>
      </c>
      <c r="C58" s="26" t="s">
        <v>481</v>
      </c>
      <c r="D58" s="27">
        <v>46260.833333333299</v>
      </c>
      <c r="E58" s="27">
        <v>46261.25</v>
      </c>
      <c r="F58" s="26" t="s">
        <v>482</v>
      </c>
    </row>
    <row r="59" spans="1:6" s="5" customFormat="1" ht="46.5" x14ac:dyDescent="0.35">
      <c r="A59" s="25" t="s">
        <v>307</v>
      </c>
      <c r="B59" s="25" t="s">
        <v>4</v>
      </c>
      <c r="C59" s="26" t="s">
        <v>308</v>
      </c>
      <c r="D59" s="27">
        <v>46260.833333333299</v>
      </c>
      <c r="E59" s="27">
        <v>46261.25</v>
      </c>
      <c r="F59" s="26" t="s">
        <v>309</v>
      </c>
    </row>
    <row r="60" spans="1:6" s="5" customFormat="1" ht="62" x14ac:dyDescent="0.35">
      <c r="A60" s="25" t="s">
        <v>319</v>
      </c>
      <c r="B60" s="25" t="s">
        <v>2</v>
      </c>
      <c r="C60" s="26" t="s">
        <v>320</v>
      </c>
      <c r="D60" s="27">
        <v>46260.875</v>
      </c>
      <c r="E60" s="27">
        <v>46261.229166666701</v>
      </c>
      <c r="F60" s="26" t="s">
        <v>321</v>
      </c>
    </row>
    <row r="61" spans="1:6" s="5" customFormat="1" ht="62" x14ac:dyDescent="0.35">
      <c r="A61" s="25" t="s">
        <v>319</v>
      </c>
      <c r="B61" s="25" t="s">
        <v>8</v>
      </c>
      <c r="C61" s="26" t="s">
        <v>495</v>
      </c>
      <c r="D61" s="27">
        <v>46260.916666666701</v>
      </c>
      <c r="E61" s="27">
        <v>46261.229166666701</v>
      </c>
      <c r="F61" s="26" t="s">
        <v>496</v>
      </c>
    </row>
    <row r="62" spans="1:6" s="5" customFormat="1" ht="62" x14ac:dyDescent="0.35">
      <c r="A62" s="25" t="s">
        <v>271</v>
      </c>
      <c r="B62" s="25" t="s">
        <v>2</v>
      </c>
      <c r="C62" s="26" t="s">
        <v>272</v>
      </c>
      <c r="D62" s="27">
        <v>46260.875</v>
      </c>
      <c r="E62" s="27">
        <v>46261.25</v>
      </c>
      <c r="F62" s="26" t="s">
        <v>273</v>
      </c>
    </row>
    <row r="63" spans="1:6" s="5" customFormat="1" ht="46.5" x14ac:dyDescent="0.35">
      <c r="A63" s="25" t="s">
        <v>271</v>
      </c>
      <c r="B63" s="25" t="s">
        <v>2</v>
      </c>
      <c r="C63" s="26" t="s">
        <v>477</v>
      </c>
      <c r="D63" s="27">
        <v>46260.875</v>
      </c>
      <c r="E63" s="27">
        <v>46261.25</v>
      </c>
      <c r="F63" s="26" t="s">
        <v>478</v>
      </c>
    </row>
    <row r="64" spans="1:6" s="5" customFormat="1" ht="31" x14ac:dyDescent="0.35">
      <c r="A64" s="25" t="s">
        <v>271</v>
      </c>
      <c r="B64" s="25" t="s">
        <v>6</v>
      </c>
      <c r="C64" s="26" t="s">
        <v>479</v>
      </c>
      <c r="D64" s="27">
        <v>46260.875</v>
      </c>
      <c r="E64" s="27">
        <v>46261.25</v>
      </c>
      <c r="F64" s="26" t="s">
        <v>480</v>
      </c>
    </row>
    <row r="65" spans="1:6" s="5" customFormat="1" ht="31" x14ac:dyDescent="0.35">
      <c r="A65" s="25" t="s">
        <v>271</v>
      </c>
      <c r="B65" s="25" t="s">
        <v>44</v>
      </c>
      <c r="C65" s="26" t="s">
        <v>287</v>
      </c>
      <c r="D65" s="27">
        <v>46260.875</v>
      </c>
      <c r="E65" s="27">
        <v>46261.25</v>
      </c>
      <c r="F65" s="26" t="s">
        <v>288</v>
      </c>
    </row>
    <row r="66" spans="1:6" s="5" customFormat="1" ht="46.5" x14ac:dyDescent="0.35">
      <c r="A66" s="25" t="s">
        <v>271</v>
      </c>
      <c r="B66" s="25" t="s">
        <v>6</v>
      </c>
      <c r="C66" s="26" t="s">
        <v>289</v>
      </c>
      <c r="D66" s="27">
        <v>46260.875</v>
      </c>
      <c r="E66" s="27">
        <v>46261.25</v>
      </c>
      <c r="F66" s="26" t="s">
        <v>290</v>
      </c>
    </row>
    <row r="67" spans="1:6" s="5" customFormat="1" ht="46.5" x14ac:dyDescent="0.35">
      <c r="A67" s="25" t="s">
        <v>271</v>
      </c>
      <c r="B67" s="25" t="s">
        <v>6</v>
      </c>
      <c r="C67" s="26" t="s">
        <v>291</v>
      </c>
      <c r="D67" s="27">
        <v>46260.875</v>
      </c>
      <c r="E67" s="27">
        <v>46261.25</v>
      </c>
      <c r="F67" s="26" t="s">
        <v>290</v>
      </c>
    </row>
    <row r="68" spans="1:6" s="5" customFormat="1" ht="46.5" x14ac:dyDescent="0.35">
      <c r="A68" s="25" t="s">
        <v>271</v>
      </c>
      <c r="B68" s="25" t="s">
        <v>2</v>
      </c>
      <c r="C68" s="26" t="s">
        <v>292</v>
      </c>
      <c r="D68" s="27">
        <v>46260.875</v>
      </c>
      <c r="E68" s="27">
        <v>46261.25</v>
      </c>
      <c r="F68" s="26" t="s">
        <v>290</v>
      </c>
    </row>
    <row r="69" spans="1:6" s="5" customFormat="1" ht="46.5" x14ac:dyDescent="0.35">
      <c r="A69" s="25" t="s">
        <v>271</v>
      </c>
      <c r="B69" s="25" t="s">
        <v>2</v>
      </c>
      <c r="C69" s="26" t="s">
        <v>293</v>
      </c>
      <c r="D69" s="27">
        <v>46260.875</v>
      </c>
      <c r="E69" s="27">
        <v>46261.25</v>
      </c>
      <c r="F69" s="26" t="s">
        <v>290</v>
      </c>
    </row>
    <row r="70" spans="1:6" s="5" customFormat="1" ht="108.5" x14ac:dyDescent="0.35">
      <c r="A70" s="25" t="s">
        <v>271</v>
      </c>
      <c r="B70" s="25" t="s">
        <v>2</v>
      </c>
      <c r="C70" s="26" t="s">
        <v>335</v>
      </c>
      <c r="D70" s="27">
        <v>46260.916666666701</v>
      </c>
      <c r="E70" s="27">
        <v>46261.229166666701</v>
      </c>
      <c r="F70" s="26" t="s">
        <v>336</v>
      </c>
    </row>
    <row r="71" spans="1:6" s="5" customFormat="1" ht="124" x14ac:dyDescent="0.35">
      <c r="A71" s="25" t="s">
        <v>348</v>
      </c>
      <c r="B71" s="25" t="s">
        <v>5</v>
      </c>
      <c r="C71" s="26" t="s">
        <v>349</v>
      </c>
      <c r="D71" s="27">
        <v>46260.833333333299</v>
      </c>
      <c r="E71" s="27">
        <v>46261.25</v>
      </c>
      <c r="F71" s="26" t="s">
        <v>350</v>
      </c>
    </row>
    <row r="72" spans="1:6" s="5" customFormat="1" ht="124" x14ac:dyDescent="0.35">
      <c r="A72" s="25" t="s">
        <v>348</v>
      </c>
      <c r="B72" s="25" t="s">
        <v>5</v>
      </c>
      <c r="C72" s="26" t="s">
        <v>351</v>
      </c>
      <c r="D72" s="27">
        <v>46260.833333333299</v>
      </c>
      <c r="E72" s="27">
        <v>46261.25</v>
      </c>
      <c r="F72" s="26" t="s">
        <v>350</v>
      </c>
    </row>
    <row r="73" spans="1:6" s="5" customFormat="1" ht="31" x14ac:dyDescent="0.35">
      <c r="A73" s="25" t="s">
        <v>348</v>
      </c>
      <c r="B73" s="25" t="s">
        <v>44</v>
      </c>
      <c r="C73" s="26" t="s">
        <v>503</v>
      </c>
      <c r="D73" s="27">
        <v>46260.833333333299</v>
      </c>
      <c r="E73" s="27">
        <v>46261.25</v>
      </c>
      <c r="F73" s="26" t="s">
        <v>504</v>
      </c>
    </row>
    <row r="74" spans="1:6" s="5" customFormat="1" ht="46.5" x14ac:dyDescent="0.35">
      <c r="A74" s="25" t="s">
        <v>283</v>
      </c>
      <c r="B74" s="25" t="s">
        <v>5</v>
      </c>
      <c r="C74" s="26" t="s">
        <v>284</v>
      </c>
      <c r="D74" s="27">
        <v>46260.875</v>
      </c>
      <c r="E74" s="27">
        <v>46261.25</v>
      </c>
      <c r="F74" s="26" t="s">
        <v>285</v>
      </c>
    </row>
    <row r="75" spans="1:6" s="5" customFormat="1" ht="46.5" x14ac:dyDescent="0.35">
      <c r="A75" s="25" t="s">
        <v>283</v>
      </c>
      <c r="B75" s="25" t="s">
        <v>4</v>
      </c>
      <c r="C75" s="26" t="s">
        <v>286</v>
      </c>
      <c r="D75" s="27">
        <v>46260.875</v>
      </c>
      <c r="E75" s="27">
        <v>46261.25</v>
      </c>
      <c r="F75" s="26" t="s">
        <v>285</v>
      </c>
    </row>
    <row r="76" spans="1:6" s="5" customFormat="1" ht="62" x14ac:dyDescent="0.35">
      <c r="A76" s="25" t="s">
        <v>283</v>
      </c>
      <c r="B76" s="25" t="s">
        <v>44</v>
      </c>
      <c r="C76" s="26" t="s">
        <v>356</v>
      </c>
      <c r="D76" s="27">
        <v>46260.833333333299</v>
      </c>
      <c r="E76" s="27">
        <v>46261.25</v>
      </c>
      <c r="F76" s="26" t="s">
        <v>357</v>
      </c>
    </row>
    <row r="77" spans="1:6" s="5" customFormat="1" ht="108.5" x14ac:dyDescent="0.35">
      <c r="A77" s="25" t="s">
        <v>283</v>
      </c>
      <c r="B77" s="25" t="s">
        <v>44</v>
      </c>
      <c r="C77" s="26" t="s">
        <v>358</v>
      </c>
      <c r="D77" s="27">
        <v>46260.875</v>
      </c>
      <c r="E77" s="27">
        <v>46261.25</v>
      </c>
      <c r="F77" s="26" t="s">
        <v>359</v>
      </c>
    </row>
    <row r="78" spans="1:6" s="5" customFormat="1" ht="46.5" x14ac:dyDescent="0.35">
      <c r="A78" s="25" t="s">
        <v>274</v>
      </c>
      <c r="B78" s="25" t="s">
        <v>2</v>
      </c>
      <c r="C78" s="26" t="s">
        <v>275</v>
      </c>
      <c r="D78" s="27">
        <v>46260.875</v>
      </c>
      <c r="E78" s="27">
        <v>46261.25</v>
      </c>
      <c r="F78" s="26" t="s">
        <v>276</v>
      </c>
    </row>
    <row r="79" spans="1:6" s="5" customFormat="1" ht="46.5" x14ac:dyDescent="0.35">
      <c r="A79" s="25" t="s">
        <v>372</v>
      </c>
      <c r="B79" s="25" t="s">
        <v>44</v>
      </c>
      <c r="C79" s="26" t="s">
        <v>373</v>
      </c>
      <c r="D79" s="27">
        <v>46260.833333333299</v>
      </c>
      <c r="E79" s="27">
        <v>46261.25</v>
      </c>
      <c r="F79" s="26" t="s">
        <v>374</v>
      </c>
    </row>
    <row r="80" spans="1:6" s="5" customFormat="1" ht="139.5" x14ac:dyDescent="0.35">
      <c r="A80" s="25" t="s">
        <v>363</v>
      </c>
      <c r="B80" s="25" t="s">
        <v>44</v>
      </c>
      <c r="C80" s="26" t="s">
        <v>364</v>
      </c>
      <c r="D80" s="27">
        <v>46260.833333333299</v>
      </c>
      <c r="E80" s="27">
        <v>46261.25</v>
      </c>
      <c r="F80" s="26" t="s">
        <v>365</v>
      </c>
    </row>
    <row r="81" spans="1:6" s="5" customFormat="1" ht="93" x14ac:dyDescent="0.35">
      <c r="A81" s="25" t="s">
        <v>87</v>
      </c>
      <c r="B81" s="25" t="s">
        <v>6</v>
      </c>
      <c r="C81" s="26" t="s">
        <v>425</v>
      </c>
      <c r="D81" s="27">
        <v>46260.833333333299</v>
      </c>
      <c r="E81" s="27">
        <v>46261.25</v>
      </c>
      <c r="F81" s="26" t="s">
        <v>89</v>
      </c>
    </row>
    <row r="82" spans="1:6" s="5" customFormat="1" ht="93" x14ac:dyDescent="0.35">
      <c r="A82" s="25" t="s">
        <v>87</v>
      </c>
      <c r="B82" s="25" t="s">
        <v>6</v>
      </c>
      <c r="C82" s="26" t="s">
        <v>429</v>
      </c>
      <c r="D82" s="27">
        <v>46260.833333333299</v>
      </c>
      <c r="E82" s="27">
        <v>46261.25</v>
      </c>
      <c r="F82" s="26" t="s">
        <v>89</v>
      </c>
    </row>
    <row r="83" spans="1:6" s="5" customFormat="1" ht="46.5" x14ac:dyDescent="0.35">
      <c r="A83" s="25" t="s">
        <v>87</v>
      </c>
      <c r="B83" s="25" t="s">
        <v>4</v>
      </c>
      <c r="C83" s="26" t="s">
        <v>352</v>
      </c>
      <c r="D83" s="27">
        <v>46260.8125</v>
      </c>
      <c r="E83" s="27">
        <v>46261.25</v>
      </c>
      <c r="F83" s="26" t="s">
        <v>353</v>
      </c>
    </row>
    <row r="84" spans="1:6" s="5" customFormat="1" ht="62" x14ac:dyDescent="0.35">
      <c r="A84" s="25" t="s">
        <v>87</v>
      </c>
      <c r="B84" s="25" t="s">
        <v>5</v>
      </c>
      <c r="C84" s="26" t="s">
        <v>354</v>
      </c>
      <c r="D84" s="27">
        <v>46260.8125</v>
      </c>
      <c r="E84" s="27">
        <v>46261.25</v>
      </c>
      <c r="F84" s="26" t="s">
        <v>355</v>
      </c>
    </row>
    <row r="85" spans="1:6" s="5" customFormat="1" ht="108.5" x14ac:dyDescent="0.35">
      <c r="A85" s="25" t="s">
        <v>87</v>
      </c>
      <c r="B85" s="25" t="s">
        <v>6</v>
      </c>
      <c r="C85" s="26" t="s">
        <v>380</v>
      </c>
      <c r="D85" s="27">
        <v>46202.875</v>
      </c>
      <c r="E85" s="27">
        <v>46508.208333333299</v>
      </c>
      <c r="F85" s="26" t="s">
        <v>381</v>
      </c>
    </row>
    <row r="86" spans="1:6" s="5" customFormat="1" ht="77.5" x14ac:dyDescent="0.35">
      <c r="A86" s="25" t="s">
        <v>87</v>
      </c>
      <c r="B86" s="25" t="s">
        <v>6</v>
      </c>
      <c r="C86" s="26" t="s">
        <v>388</v>
      </c>
      <c r="D86" s="27">
        <v>46260.875</v>
      </c>
      <c r="E86" s="27">
        <v>46261.25</v>
      </c>
      <c r="F86" s="26" t="s">
        <v>389</v>
      </c>
    </row>
    <row r="87" spans="1:6" s="5" customFormat="1" ht="62" x14ac:dyDescent="0.35">
      <c r="A87" s="25" t="s">
        <v>412</v>
      </c>
      <c r="B87" s="25" t="s">
        <v>5</v>
      </c>
      <c r="C87" s="26" t="s">
        <v>413</v>
      </c>
      <c r="D87" s="27">
        <v>46260.833333333299</v>
      </c>
      <c r="E87" s="27">
        <v>46261.25</v>
      </c>
      <c r="F87" s="26" t="s">
        <v>414</v>
      </c>
    </row>
    <row r="88" spans="1:6" s="5" customFormat="1" ht="77.5" x14ac:dyDescent="0.35">
      <c r="A88" s="25" t="s">
        <v>375</v>
      </c>
      <c r="B88" s="25" t="s">
        <v>2</v>
      </c>
      <c r="C88" s="26" t="s">
        <v>376</v>
      </c>
      <c r="D88" s="27">
        <v>46260.875</v>
      </c>
      <c r="E88" s="27">
        <v>46261.25</v>
      </c>
      <c r="F88" s="26" t="s">
        <v>377</v>
      </c>
    </row>
    <row r="89" spans="1:6" s="5" customFormat="1" ht="77.5" x14ac:dyDescent="0.35">
      <c r="A89" s="25" t="s">
        <v>375</v>
      </c>
      <c r="B89" s="25" t="s">
        <v>6</v>
      </c>
      <c r="C89" s="26" t="s">
        <v>378</v>
      </c>
      <c r="D89" s="27">
        <v>46260.875</v>
      </c>
      <c r="E89" s="27">
        <v>46261.25</v>
      </c>
      <c r="F89" s="26" t="s">
        <v>379</v>
      </c>
    </row>
    <row r="90" spans="1:6" s="5" customFormat="1" ht="93" x14ac:dyDescent="0.35">
      <c r="A90" s="25" t="s">
        <v>71</v>
      </c>
      <c r="B90" s="25" t="s">
        <v>2</v>
      </c>
      <c r="C90" s="26" t="s">
        <v>422</v>
      </c>
      <c r="D90" s="27">
        <v>46260.833333333299</v>
      </c>
      <c r="E90" s="27">
        <v>46261.25</v>
      </c>
      <c r="F90" s="26" t="s">
        <v>73</v>
      </c>
    </row>
    <row r="91" spans="1:6" s="5" customFormat="1" ht="93" x14ac:dyDescent="0.35">
      <c r="A91" s="25" t="s">
        <v>71</v>
      </c>
      <c r="B91" s="25" t="s">
        <v>2</v>
      </c>
      <c r="C91" s="26" t="s">
        <v>423</v>
      </c>
      <c r="D91" s="27">
        <v>46260.833333333299</v>
      </c>
      <c r="E91" s="27">
        <v>46261.25</v>
      </c>
      <c r="F91" s="26" t="s">
        <v>73</v>
      </c>
    </row>
    <row r="92" spans="1:6" s="5" customFormat="1" ht="93" x14ac:dyDescent="0.35">
      <c r="A92" s="25" t="s">
        <v>71</v>
      </c>
      <c r="B92" s="25" t="s">
        <v>7</v>
      </c>
      <c r="C92" s="26" t="s">
        <v>395</v>
      </c>
      <c r="D92" s="27">
        <v>46217.625</v>
      </c>
      <c r="E92" s="27">
        <v>46387.875</v>
      </c>
      <c r="F92" s="26" t="s">
        <v>396</v>
      </c>
    </row>
    <row r="93" spans="1:6" s="5" customFormat="1" ht="77.5" x14ac:dyDescent="0.35">
      <c r="A93" s="25" t="s">
        <v>93</v>
      </c>
      <c r="B93" s="25" t="s">
        <v>2</v>
      </c>
      <c r="C93" s="26" t="s">
        <v>94</v>
      </c>
      <c r="D93" s="27">
        <v>46260.833333333299</v>
      </c>
      <c r="E93" s="27">
        <v>46266.25</v>
      </c>
      <c r="F93" s="26" t="s">
        <v>95</v>
      </c>
    </row>
    <row r="94" spans="1:6" s="5" customFormat="1" ht="77.5" x14ac:dyDescent="0.35">
      <c r="A94" s="25" t="s">
        <v>93</v>
      </c>
      <c r="B94" s="25" t="s">
        <v>6</v>
      </c>
      <c r="C94" s="26" t="s">
        <v>96</v>
      </c>
      <c r="D94" s="27">
        <v>46260.833333333299</v>
      </c>
      <c r="E94" s="27">
        <v>46266.25</v>
      </c>
      <c r="F94" s="26" t="s">
        <v>95</v>
      </c>
    </row>
    <row r="95" spans="1:6" s="5" customFormat="1" ht="77.5" x14ac:dyDescent="0.35">
      <c r="A95" s="25" t="s">
        <v>93</v>
      </c>
      <c r="B95" s="25" t="s">
        <v>44</v>
      </c>
      <c r="C95" s="26" t="s">
        <v>397</v>
      </c>
      <c r="D95" s="27">
        <v>46260.875</v>
      </c>
      <c r="E95" s="27">
        <v>46261.25</v>
      </c>
      <c r="F95" s="26" t="s">
        <v>398</v>
      </c>
    </row>
    <row r="96" spans="1:6" s="5" customFormat="1" ht="77.5" x14ac:dyDescent="0.35">
      <c r="A96" s="25" t="s">
        <v>20</v>
      </c>
      <c r="B96" s="25" t="s">
        <v>4</v>
      </c>
      <c r="C96" s="26" t="s">
        <v>21</v>
      </c>
      <c r="D96" s="27">
        <v>46260.833333333299</v>
      </c>
      <c r="E96" s="27">
        <v>46261.25</v>
      </c>
      <c r="F96" s="26" t="s">
        <v>22</v>
      </c>
    </row>
    <row r="97" spans="1:6" s="5" customFormat="1" ht="77.5" x14ac:dyDescent="0.35">
      <c r="A97" s="25" t="s">
        <v>20</v>
      </c>
      <c r="B97" s="25" t="s">
        <v>44</v>
      </c>
      <c r="C97" s="26" t="s">
        <v>408</v>
      </c>
      <c r="D97" s="27">
        <v>46260.833333333299</v>
      </c>
      <c r="E97" s="27">
        <v>46261.25</v>
      </c>
      <c r="F97" s="26" t="s">
        <v>22</v>
      </c>
    </row>
    <row r="98" spans="1:6" s="5" customFormat="1" ht="77.5" x14ac:dyDescent="0.35">
      <c r="A98" s="25" t="s">
        <v>20</v>
      </c>
      <c r="B98" s="25" t="s">
        <v>4</v>
      </c>
      <c r="C98" s="26" t="s">
        <v>23</v>
      </c>
      <c r="D98" s="27">
        <v>46260.833333333299</v>
      </c>
      <c r="E98" s="27">
        <v>46261.25</v>
      </c>
      <c r="F98" s="26" t="s">
        <v>22</v>
      </c>
    </row>
    <row r="99" spans="1:6" s="5" customFormat="1" ht="46.5" x14ac:dyDescent="0.35">
      <c r="A99" s="25" t="s">
        <v>401</v>
      </c>
      <c r="B99" s="25" t="s">
        <v>4</v>
      </c>
      <c r="C99" s="26" t="s">
        <v>402</v>
      </c>
      <c r="D99" s="27">
        <v>46260.833333333299</v>
      </c>
      <c r="E99" s="27">
        <v>46261.208333333299</v>
      </c>
      <c r="F99" s="26" t="s">
        <v>403</v>
      </c>
    </row>
    <row r="100" spans="1:6" s="5" customFormat="1" ht="46.5" x14ac:dyDescent="0.35">
      <c r="A100" s="25" t="s">
        <v>401</v>
      </c>
      <c r="B100" s="25" t="s">
        <v>4</v>
      </c>
      <c r="C100" s="26" t="s">
        <v>404</v>
      </c>
      <c r="D100" s="27">
        <v>46260.833333333299</v>
      </c>
      <c r="E100" s="27">
        <v>46261.208333333299</v>
      </c>
      <c r="F100" s="26" t="s">
        <v>403</v>
      </c>
    </row>
    <row r="101" spans="1:6" s="5" customFormat="1" ht="77.5" x14ac:dyDescent="0.35">
      <c r="A101" s="25" t="s">
        <v>390</v>
      </c>
      <c r="B101" s="25" t="s">
        <v>44</v>
      </c>
      <c r="C101" s="26" t="s">
        <v>391</v>
      </c>
      <c r="D101" s="27">
        <v>46230.833333333299</v>
      </c>
      <c r="E101" s="27">
        <v>46403.25</v>
      </c>
      <c r="F101" s="26" t="s">
        <v>392</v>
      </c>
    </row>
    <row r="102" spans="1:6" s="5" customFormat="1" ht="77.5" x14ac:dyDescent="0.35">
      <c r="A102" s="25" t="s">
        <v>390</v>
      </c>
      <c r="B102" s="25" t="s">
        <v>6</v>
      </c>
      <c r="C102" s="26" t="s">
        <v>510</v>
      </c>
      <c r="D102" s="27">
        <v>46260.833333333299</v>
      </c>
      <c r="E102" s="27">
        <v>46261.25</v>
      </c>
      <c r="F102" s="26" t="s">
        <v>392</v>
      </c>
    </row>
    <row r="103" spans="1:6" s="5" customFormat="1" ht="77.5" x14ac:dyDescent="0.35">
      <c r="A103" s="25" t="s">
        <v>390</v>
      </c>
      <c r="B103" s="25" t="s">
        <v>6</v>
      </c>
      <c r="C103" s="26" t="s">
        <v>516</v>
      </c>
      <c r="D103" s="27">
        <v>46260.875</v>
      </c>
      <c r="E103" s="27">
        <v>46261.25</v>
      </c>
      <c r="F103" s="26" t="s">
        <v>400</v>
      </c>
    </row>
    <row r="104" spans="1:6" s="5" customFormat="1" ht="77.5" x14ac:dyDescent="0.35">
      <c r="A104" s="25" t="s">
        <v>513</v>
      </c>
      <c r="B104" s="25" t="s">
        <v>2</v>
      </c>
      <c r="C104" s="26" t="s">
        <v>514</v>
      </c>
      <c r="D104" s="27">
        <v>46260.875</v>
      </c>
      <c r="E104" s="27">
        <v>46261.25</v>
      </c>
      <c r="F104" s="26" t="s">
        <v>515</v>
      </c>
    </row>
    <row r="105" spans="1:6" s="5" customFormat="1" ht="93" x14ac:dyDescent="0.35">
      <c r="A105" s="25" t="s">
        <v>426</v>
      </c>
      <c r="B105" s="25" t="s">
        <v>6</v>
      </c>
      <c r="C105" s="26" t="s">
        <v>427</v>
      </c>
      <c r="D105" s="27">
        <v>46260.833333333299</v>
      </c>
      <c r="E105" s="27">
        <v>46261.25</v>
      </c>
      <c r="F105" s="26" t="s">
        <v>89</v>
      </c>
    </row>
    <row r="106" spans="1:6" s="5" customFormat="1" ht="93" x14ac:dyDescent="0.35">
      <c r="A106" s="25" t="s">
        <v>426</v>
      </c>
      <c r="B106" s="25" t="s">
        <v>6</v>
      </c>
      <c r="C106" s="26" t="s">
        <v>428</v>
      </c>
      <c r="D106" s="27">
        <v>46260.833333333299</v>
      </c>
      <c r="E106" s="27">
        <v>46261.25</v>
      </c>
      <c r="F106" s="26" t="s">
        <v>89</v>
      </c>
    </row>
    <row r="107" spans="1:6" s="5" customFormat="1" ht="77.5" x14ac:dyDescent="0.35">
      <c r="A107" s="25" t="s">
        <v>434</v>
      </c>
      <c r="B107" s="25" t="s">
        <v>4</v>
      </c>
      <c r="C107" s="26" t="s">
        <v>435</v>
      </c>
      <c r="D107" s="27">
        <v>46260.833333333299</v>
      </c>
      <c r="E107" s="27">
        <v>46261.25</v>
      </c>
      <c r="F107" s="26" t="s">
        <v>436</v>
      </c>
    </row>
    <row r="108" spans="1:6" s="5" customFormat="1" ht="77.5" x14ac:dyDescent="0.35">
      <c r="A108" s="25" t="s">
        <v>434</v>
      </c>
      <c r="B108" s="25" t="s">
        <v>5</v>
      </c>
      <c r="C108" s="26" t="s">
        <v>437</v>
      </c>
      <c r="D108" s="27">
        <v>46260.833333333299</v>
      </c>
      <c r="E108" s="27">
        <v>46261.25</v>
      </c>
      <c r="F108" s="26" t="s">
        <v>436</v>
      </c>
    </row>
    <row r="109" spans="1:6" s="5" customFormat="1" ht="77.5" x14ac:dyDescent="0.35">
      <c r="A109" s="25" t="s">
        <v>434</v>
      </c>
      <c r="B109" s="25" t="s">
        <v>5</v>
      </c>
      <c r="C109" s="26" t="s">
        <v>438</v>
      </c>
      <c r="D109" s="27">
        <v>46260.833333333299</v>
      </c>
      <c r="E109" s="27">
        <v>46261.25</v>
      </c>
      <c r="F109" s="26" t="s">
        <v>436</v>
      </c>
    </row>
    <row r="110" spans="1:6" s="5" customFormat="1" ht="46.5" x14ac:dyDescent="0.35">
      <c r="A110" s="25" t="s">
        <v>215</v>
      </c>
      <c r="B110" s="25" t="s">
        <v>6</v>
      </c>
      <c r="C110" s="26" t="s">
        <v>216</v>
      </c>
      <c r="D110" s="27">
        <v>46230.208333333299</v>
      </c>
      <c r="E110" s="27">
        <v>46265</v>
      </c>
      <c r="F110" s="26" t="s">
        <v>217</v>
      </c>
    </row>
    <row r="111" spans="1:6" s="5" customFormat="1" ht="62" x14ac:dyDescent="0.35">
      <c r="A111" s="25" t="s">
        <v>262</v>
      </c>
      <c r="B111" s="25" t="s">
        <v>44</v>
      </c>
      <c r="C111" s="26" t="s">
        <v>263</v>
      </c>
      <c r="D111" s="27">
        <v>46260.875</v>
      </c>
      <c r="E111" s="27">
        <v>46261.25</v>
      </c>
      <c r="F111" s="26" t="s">
        <v>256</v>
      </c>
    </row>
    <row r="112" spans="1:6" s="5" customFormat="1" ht="93" x14ac:dyDescent="0.35">
      <c r="A112" s="25" t="s">
        <v>151</v>
      </c>
      <c r="B112" s="25" t="s">
        <v>6</v>
      </c>
      <c r="C112" s="26" t="s">
        <v>152</v>
      </c>
      <c r="D112" s="27">
        <v>46237.833333333299</v>
      </c>
      <c r="E112" s="27">
        <v>46326.25</v>
      </c>
      <c r="F112" s="26" t="s">
        <v>153</v>
      </c>
    </row>
    <row r="113" spans="1:6" s="5" customFormat="1" ht="93" x14ac:dyDescent="0.35">
      <c r="A113" s="25" t="s">
        <v>151</v>
      </c>
      <c r="B113" s="25" t="s">
        <v>2</v>
      </c>
      <c r="C113" s="26" t="s">
        <v>154</v>
      </c>
      <c r="D113" s="27">
        <v>46237.833333333299</v>
      </c>
      <c r="E113" s="27">
        <v>46326.25</v>
      </c>
      <c r="F113" s="26" t="s">
        <v>153</v>
      </c>
    </row>
    <row r="114" spans="1:6" s="5" customFormat="1" ht="46.5" x14ac:dyDescent="0.35">
      <c r="A114" s="25" t="s">
        <v>148</v>
      </c>
      <c r="B114" s="25" t="s">
        <v>5</v>
      </c>
      <c r="C114" s="26" t="s">
        <v>149</v>
      </c>
      <c r="D114" s="27">
        <v>46260.833333333299</v>
      </c>
      <c r="E114" s="27">
        <v>46261.25</v>
      </c>
      <c r="F114" s="26" t="s">
        <v>150</v>
      </c>
    </row>
    <row r="115" spans="1:6" s="5" customFormat="1" ht="62" x14ac:dyDescent="0.35">
      <c r="A115" s="25" t="s">
        <v>148</v>
      </c>
      <c r="B115" s="25" t="s">
        <v>5</v>
      </c>
      <c r="C115" s="26" t="s">
        <v>452</v>
      </c>
      <c r="D115" s="27">
        <v>46260.833333333299</v>
      </c>
      <c r="E115" s="27">
        <v>46261.208333333299</v>
      </c>
      <c r="F115" s="26" t="s">
        <v>453</v>
      </c>
    </row>
    <row r="116" spans="1:6" ht="77.5" x14ac:dyDescent="0.35">
      <c r="A116" s="25" t="s">
        <v>161</v>
      </c>
      <c r="B116" s="25" t="s">
        <v>44</v>
      </c>
      <c r="C116" s="26" t="s">
        <v>162</v>
      </c>
      <c r="D116" s="27">
        <v>46260.833333333299</v>
      </c>
      <c r="E116" s="27">
        <v>46261.25</v>
      </c>
      <c r="F116" s="26" t="s">
        <v>163</v>
      </c>
    </row>
    <row r="117" spans="1:6" ht="77.5" x14ac:dyDescent="0.35">
      <c r="A117" s="25" t="s">
        <v>170</v>
      </c>
      <c r="B117" s="25" t="s">
        <v>4</v>
      </c>
      <c r="C117" s="26" t="s">
        <v>171</v>
      </c>
      <c r="D117" s="27">
        <v>46260.833333333299</v>
      </c>
      <c r="E117" s="27">
        <v>46261.25</v>
      </c>
      <c r="F117" s="26" t="s">
        <v>172</v>
      </c>
    </row>
    <row r="118" spans="1:6" ht="77.5" x14ac:dyDescent="0.35">
      <c r="A118" s="25" t="s">
        <v>170</v>
      </c>
      <c r="B118" s="25" t="s">
        <v>4</v>
      </c>
      <c r="C118" s="26" t="s">
        <v>173</v>
      </c>
      <c r="D118" s="27">
        <v>46260.833333333299</v>
      </c>
      <c r="E118" s="27">
        <v>46261.25</v>
      </c>
      <c r="F118" s="26" t="s">
        <v>172</v>
      </c>
    </row>
    <row r="119" spans="1:6" ht="77.5" x14ac:dyDescent="0.35">
      <c r="A119" s="25" t="s">
        <v>170</v>
      </c>
      <c r="B119" s="25" t="s">
        <v>4</v>
      </c>
      <c r="C119" s="26" t="s">
        <v>174</v>
      </c>
      <c r="D119" s="27">
        <v>46260.833333333299</v>
      </c>
      <c r="E119" s="27">
        <v>46261.25</v>
      </c>
      <c r="F119" s="26" t="s">
        <v>172</v>
      </c>
    </row>
    <row r="120" spans="1:6" ht="77.5" x14ac:dyDescent="0.35">
      <c r="A120" s="25" t="s">
        <v>170</v>
      </c>
      <c r="B120" s="25" t="s">
        <v>4</v>
      </c>
      <c r="C120" s="26" t="s">
        <v>175</v>
      </c>
      <c r="D120" s="27">
        <v>46260.833333333299</v>
      </c>
      <c r="E120" s="27">
        <v>46261.25</v>
      </c>
      <c r="F120" s="26" t="s">
        <v>172</v>
      </c>
    </row>
    <row r="121" spans="1:6" ht="62" x14ac:dyDescent="0.35">
      <c r="A121" s="25" t="s">
        <v>230</v>
      </c>
      <c r="B121" s="25" t="s">
        <v>2</v>
      </c>
      <c r="C121" s="26" t="s">
        <v>464</v>
      </c>
      <c r="D121" s="27">
        <v>46260.875</v>
      </c>
      <c r="E121" s="27">
        <v>46261.208333333299</v>
      </c>
      <c r="F121" s="26" t="s">
        <v>232</v>
      </c>
    </row>
    <row r="122" spans="1:6" ht="93" x14ac:dyDescent="0.35">
      <c r="A122" s="25" t="s">
        <v>75</v>
      </c>
      <c r="B122" s="25" t="s">
        <v>2</v>
      </c>
      <c r="C122" s="26" t="s">
        <v>424</v>
      </c>
      <c r="D122" s="27">
        <v>46260.833333333299</v>
      </c>
      <c r="E122" s="27">
        <v>46261.25</v>
      </c>
      <c r="F122" s="26" t="s">
        <v>77</v>
      </c>
    </row>
    <row r="123" spans="1:6" ht="77.5" x14ac:dyDescent="0.35">
      <c r="A123" s="25" t="s">
        <v>75</v>
      </c>
      <c r="B123" s="25" t="s">
        <v>6</v>
      </c>
      <c r="C123" s="26" t="s">
        <v>104</v>
      </c>
      <c r="D123" s="27">
        <v>46260.833333333299</v>
      </c>
      <c r="E123" s="27">
        <v>46261.25</v>
      </c>
      <c r="F123" s="26" t="s">
        <v>105</v>
      </c>
    </row>
    <row r="124" spans="1:6" ht="77.5" x14ac:dyDescent="0.35">
      <c r="A124" s="25" t="s">
        <v>75</v>
      </c>
      <c r="B124" s="25" t="s">
        <v>6</v>
      </c>
      <c r="C124" s="26" t="s">
        <v>106</v>
      </c>
      <c r="D124" s="27">
        <v>46260.833333333299</v>
      </c>
      <c r="E124" s="27">
        <v>46261.25</v>
      </c>
      <c r="F124" s="26" t="s">
        <v>105</v>
      </c>
    </row>
    <row r="125" spans="1:6" ht="77.5" x14ac:dyDescent="0.35">
      <c r="A125" s="25" t="s">
        <v>75</v>
      </c>
      <c r="B125" s="25" t="s">
        <v>2</v>
      </c>
      <c r="C125" s="26" t="s">
        <v>442</v>
      </c>
      <c r="D125" s="27">
        <v>46260.833333333299</v>
      </c>
      <c r="E125" s="27">
        <v>46261.25</v>
      </c>
      <c r="F125" s="26" t="s">
        <v>443</v>
      </c>
    </row>
    <row r="126" spans="1:6" ht="77.5" x14ac:dyDescent="0.35">
      <c r="A126" s="25" t="s">
        <v>75</v>
      </c>
      <c r="B126" s="25" t="s">
        <v>2</v>
      </c>
      <c r="C126" s="26" t="s">
        <v>444</v>
      </c>
      <c r="D126" s="27">
        <v>46260.833333333299</v>
      </c>
      <c r="E126" s="27">
        <v>46261.25</v>
      </c>
      <c r="F126" s="26" t="s">
        <v>443</v>
      </c>
    </row>
    <row r="127" spans="1:6" ht="77.5" x14ac:dyDescent="0.35">
      <c r="A127" s="25" t="s">
        <v>75</v>
      </c>
      <c r="B127" s="25" t="s">
        <v>2</v>
      </c>
      <c r="C127" s="26" t="s">
        <v>445</v>
      </c>
      <c r="D127" s="27">
        <v>46260.833333333299</v>
      </c>
      <c r="E127" s="27">
        <v>46261.25</v>
      </c>
      <c r="F127" s="26" t="s">
        <v>443</v>
      </c>
    </row>
    <row r="128" spans="1:6" ht="77.5" x14ac:dyDescent="0.35">
      <c r="A128" s="25" t="s">
        <v>75</v>
      </c>
      <c r="B128" s="25" t="s">
        <v>2</v>
      </c>
      <c r="C128" s="26" t="s">
        <v>446</v>
      </c>
      <c r="D128" s="27">
        <v>46260.833333333299</v>
      </c>
      <c r="E128" s="27">
        <v>46261.25</v>
      </c>
      <c r="F128" s="26" t="s">
        <v>443</v>
      </c>
    </row>
    <row r="129" spans="1:6" ht="62" x14ac:dyDescent="0.35">
      <c r="A129" s="25" t="s">
        <v>27</v>
      </c>
      <c r="B129" s="25" t="s">
        <v>2</v>
      </c>
      <c r="C129" s="26" t="s">
        <v>28</v>
      </c>
      <c r="D129" s="27">
        <v>46260.875</v>
      </c>
      <c r="E129" s="27">
        <v>46261.208333333299</v>
      </c>
      <c r="F129" s="26" t="s">
        <v>29</v>
      </c>
    </row>
    <row r="130" spans="1:6" ht="93" x14ac:dyDescent="0.35">
      <c r="A130" s="25" t="s">
        <v>133</v>
      </c>
      <c r="B130" s="25" t="s">
        <v>6</v>
      </c>
      <c r="C130" s="26" t="s">
        <v>134</v>
      </c>
      <c r="D130" s="27">
        <v>46260.833333333299</v>
      </c>
      <c r="E130" s="27">
        <v>46261.25</v>
      </c>
      <c r="F130" s="26" t="s">
        <v>131</v>
      </c>
    </row>
    <row r="131" spans="1:6" ht="93" x14ac:dyDescent="0.35">
      <c r="A131" s="25" t="s">
        <v>133</v>
      </c>
      <c r="B131" s="25" t="s">
        <v>6</v>
      </c>
      <c r="C131" s="26" t="s">
        <v>135</v>
      </c>
      <c r="D131" s="27">
        <v>46260.833333333299</v>
      </c>
      <c r="E131" s="27">
        <v>46261.25</v>
      </c>
      <c r="F131" s="26" t="s">
        <v>131</v>
      </c>
    </row>
    <row r="132" spans="1:6" ht="46.5" x14ac:dyDescent="0.35">
      <c r="A132" s="25" t="s">
        <v>133</v>
      </c>
      <c r="B132" s="25" t="s">
        <v>2</v>
      </c>
      <c r="C132" s="26" t="s">
        <v>456</v>
      </c>
      <c r="D132" s="27">
        <v>46260.875</v>
      </c>
      <c r="E132" s="27">
        <v>46261.25</v>
      </c>
      <c r="F132" s="26" t="s">
        <v>457</v>
      </c>
    </row>
    <row r="133" spans="1:6" ht="108.5" x14ac:dyDescent="0.35">
      <c r="A133" s="25" t="s">
        <v>119</v>
      </c>
      <c r="B133" s="25" t="s">
        <v>4</v>
      </c>
      <c r="C133" s="26" t="s">
        <v>120</v>
      </c>
      <c r="D133" s="27">
        <v>46260.833333333299</v>
      </c>
      <c r="E133" s="27">
        <v>46261.25</v>
      </c>
      <c r="F133" s="26" t="s">
        <v>121</v>
      </c>
    </row>
    <row r="134" spans="1:6" ht="108.5" x14ac:dyDescent="0.35">
      <c r="A134" s="25" t="s">
        <v>119</v>
      </c>
      <c r="B134" s="25" t="s">
        <v>4</v>
      </c>
      <c r="C134" s="26" t="s">
        <v>122</v>
      </c>
      <c r="D134" s="27">
        <v>46260.833333333299</v>
      </c>
      <c r="E134" s="27">
        <v>46261.25</v>
      </c>
      <c r="F134" s="26" t="s">
        <v>121</v>
      </c>
    </row>
    <row r="135" spans="1:6" ht="108.5" x14ac:dyDescent="0.35">
      <c r="A135" s="25" t="s">
        <v>119</v>
      </c>
      <c r="B135" s="25" t="s">
        <v>4</v>
      </c>
      <c r="C135" s="26" t="s">
        <v>123</v>
      </c>
      <c r="D135" s="27">
        <v>46260.833333333299</v>
      </c>
      <c r="E135" s="27">
        <v>46261.25</v>
      </c>
      <c r="F135" s="26" t="s">
        <v>121</v>
      </c>
    </row>
    <row r="136" spans="1:6" ht="46.5" x14ac:dyDescent="0.35">
      <c r="A136" s="25" t="s">
        <v>304</v>
      </c>
      <c r="B136" s="25" t="s">
        <v>4</v>
      </c>
      <c r="C136" s="26" t="s">
        <v>305</v>
      </c>
      <c r="D136" s="27">
        <v>46260.833333333299</v>
      </c>
      <c r="E136" s="27">
        <v>46261.25</v>
      </c>
      <c r="F136" s="26" t="s">
        <v>306</v>
      </c>
    </row>
    <row r="137" spans="1:6" ht="46.5" x14ac:dyDescent="0.35">
      <c r="A137" s="25" t="s">
        <v>300</v>
      </c>
      <c r="B137" s="25" t="s">
        <v>4</v>
      </c>
      <c r="C137" s="26" t="s">
        <v>301</v>
      </c>
      <c r="D137" s="27">
        <v>46260.833333333299</v>
      </c>
      <c r="E137" s="27">
        <v>46261.25</v>
      </c>
      <c r="F137" s="26" t="s">
        <v>302</v>
      </c>
    </row>
    <row r="138" spans="1:6" ht="46.5" x14ac:dyDescent="0.35">
      <c r="A138" s="25" t="s">
        <v>300</v>
      </c>
      <c r="B138" s="25" t="s">
        <v>5</v>
      </c>
      <c r="C138" s="26" t="s">
        <v>303</v>
      </c>
      <c r="D138" s="27">
        <v>46260.833333333299</v>
      </c>
      <c r="E138" s="27">
        <v>46261.25</v>
      </c>
      <c r="F138" s="26" t="s">
        <v>302</v>
      </c>
    </row>
    <row r="139" spans="1:6" ht="62" x14ac:dyDescent="0.35">
      <c r="A139" s="25" t="s">
        <v>300</v>
      </c>
      <c r="B139" s="25" t="s">
        <v>5</v>
      </c>
      <c r="C139" s="26" t="s">
        <v>483</v>
      </c>
      <c r="D139" s="27">
        <v>46260.875</v>
      </c>
      <c r="E139" s="27">
        <v>46261.25</v>
      </c>
      <c r="F139" s="26" t="s">
        <v>484</v>
      </c>
    </row>
    <row r="140" spans="1:6" ht="77.5" x14ac:dyDescent="0.35">
      <c r="A140" s="25" t="s">
        <v>300</v>
      </c>
      <c r="B140" s="25" t="s">
        <v>5</v>
      </c>
      <c r="C140" s="26" t="s">
        <v>329</v>
      </c>
      <c r="D140" s="27">
        <v>46260.916666666701</v>
      </c>
      <c r="E140" s="27">
        <v>46261.229166666701</v>
      </c>
      <c r="F140" s="26" t="s">
        <v>330</v>
      </c>
    </row>
    <row r="141" spans="1:6" ht="46.5" x14ac:dyDescent="0.35">
      <c r="A141" s="25" t="s">
        <v>487</v>
      </c>
      <c r="B141" s="25" t="s">
        <v>6</v>
      </c>
      <c r="C141" s="26" t="s">
        <v>488</v>
      </c>
      <c r="D141" s="27">
        <v>46260.875</v>
      </c>
      <c r="E141" s="27">
        <v>46261.25</v>
      </c>
      <c r="F141" s="26" t="s">
        <v>489</v>
      </c>
    </row>
    <row r="142" spans="1:6" ht="93" x14ac:dyDescent="0.35">
      <c r="A142" s="25" t="s">
        <v>316</v>
      </c>
      <c r="B142" s="25" t="s">
        <v>7</v>
      </c>
      <c r="C142" s="26" t="s">
        <v>490</v>
      </c>
      <c r="D142" s="27">
        <v>46260.916666666701</v>
      </c>
      <c r="E142" s="27">
        <v>46261.229166666701</v>
      </c>
      <c r="F142" s="26" t="s">
        <v>491</v>
      </c>
    </row>
    <row r="143" spans="1:6" ht="77.5" x14ac:dyDescent="0.35">
      <c r="A143" s="25" t="s">
        <v>316</v>
      </c>
      <c r="B143" s="25" t="s">
        <v>8</v>
      </c>
      <c r="C143" s="26" t="s">
        <v>324</v>
      </c>
      <c r="D143" s="27">
        <v>46260.916666666701</v>
      </c>
      <c r="E143" s="27">
        <v>46261.229166666701</v>
      </c>
      <c r="F143" s="26" t="s">
        <v>323</v>
      </c>
    </row>
    <row r="144" spans="1:6" ht="77.5" x14ac:dyDescent="0.35">
      <c r="A144" s="25" t="s">
        <v>316</v>
      </c>
      <c r="B144" s="25" t="s">
        <v>7</v>
      </c>
      <c r="C144" s="26" t="s">
        <v>325</v>
      </c>
      <c r="D144" s="27">
        <v>46260.916666666701</v>
      </c>
      <c r="E144" s="27">
        <v>46261.229166666701</v>
      </c>
      <c r="F144" s="26" t="s">
        <v>326</v>
      </c>
    </row>
    <row r="145" spans="1:6" ht="77.5" x14ac:dyDescent="0.35">
      <c r="A145" s="25" t="s">
        <v>316</v>
      </c>
      <c r="B145" s="25" t="s">
        <v>7</v>
      </c>
      <c r="C145" s="26" t="s">
        <v>327</v>
      </c>
      <c r="D145" s="27">
        <v>46260.916666666701</v>
      </c>
      <c r="E145" s="27">
        <v>46261.229166666701</v>
      </c>
      <c r="F145" s="26" t="s">
        <v>328</v>
      </c>
    </row>
    <row r="146" spans="1:6" ht="93" x14ac:dyDescent="0.35">
      <c r="A146" s="25" t="s">
        <v>316</v>
      </c>
      <c r="B146" s="25" t="s">
        <v>8</v>
      </c>
      <c r="C146" s="26" t="s">
        <v>331</v>
      </c>
      <c r="D146" s="27">
        <v>46260.916666666701</v>
      </c>
      <c r="E146" s="27">
        <v>46261.229166666701</v>
      </c>
      <c r="F146" s="26" t="s">
        <v>332</v>
      </c>
    </row>
    <row r="147" spans="1:6" ht="62" x14ac:dyDescent="0.35">
      <c r="A147" s="25" t="s">
        <v>316</v>
      </c>
      <c r="B147" s="25" t="s">
        <v>8</v>
      </c>
      <c r="C147" s="26" t="s">
        <v>333</v>
      </c>
      <c r="D147" s="27">
        <v>46260.916666666701</v>
      </c>
      <c r="E147" s="27">
        <v>46261.229166666701</v>
      </c>
      <c r="F147" s="26" t="s">
        <v>334</v>
      </c>
    </row>
    <row r="148" spans="1:6" ht="31" x14ac:dyDescent="0.35">
      <c r="A148" s="25" t="s">
        <v>277</v>
      </c>
      <c r="B148" s="25" t="s">
        <v>5</v>
      </c>
      <c r="C148" s="26" t="s">
        <v>278</v>
      </c>
      <c r="D148" s="27">
        <v>46260.875</v>
      </c>
      <c r="E148" s="27">
        <v>46261.25</v>
      </c>
      <c r="F148" s="26" t="s">
        <v>279</v>
      </c>
    </row>
    <row r="149" spans="1:6" ht="62" x14ac:dyDescent="0.35">
      <c r="A149" s="25" t="s">
        <v>268</v>
      </c>
      <c r="B149" s="25" t="s">
        <v>2</v>
      </c>
      <c r="C149" s="26" t="s">
        <v>269</v>
      </c>
      <c r="D149" s="27">
        <v>46237.25</v>
      </c>
      <c r="E149" s="27">
        <v>46692.25</v>
      </c>
      <c r="F149" s="26" t="s">
        <v>270</v>
      </c>
    </row>
    <row r="150" spans="1:6" ht="77.5" x14ac:dyDescent="0.35">
      <c r="A150" s="25" t="s">
        <v>268</v>
      </c>
      <c r="B150" s="25" t="s">
        <v>4</v>
      </c>
      <c r="C150" s="26" t="s">
        <v>322</v>
      </c>
      <c r="D150" s="27">
        <v>46260.916666666701</v>
      </c>
      <c r="E150" s="27">
        <v>46261.229166666701</v>
      </c>
      <c r="F150" s="26" t="s">
        <v>323</v>
      </c>
    </row>
    <row r="151" spans="1:6" ht="124" x14ac:dyDescent="0.35">
      <c r="A151" s="25" t="s">
        <v>368</v>
      </c>
      <c r="B151" s="25" t="s">
        <v>2</v>
      </c>
      <c r="C151" s="26" t="s">
        <v>369</v>
      </c>
      <c r="D151" s="27">
        <v>46260.833333333299</v>
      </c>
      <c r="E151" s="27">
        <v>46261.25</v>
      </c>
      <c r="F151" s="26" t="s">
        <v>499</v>
      </c>
    </row>
    <row r="152" spans="1:6" ht="124" x14ac:dyDescent="0.35">
      <c r="A152" s="25" t="s">
        <v>368</v>
      </c>
      <c r="B152" s="25" t="s">
        <v>2</v>
      </c>
      <c r="C152" s="26" t="s">
        <v>500</v>
      </c>
      <c r="D152" s="27">
        <v>46260.854166666701</v>
      </c>
      <c r="E152" s="27">
        <v>46261.25</v>
      </c>
      <c r="F152" s="26" t="s">
        <v>499</v>
      </c>
    </row>
    <row r="153" spans="1:6" ht="31" x14ac:dyDescent="0.35">
      <c r="A153" s="25" t="s">
        <v>280</v>
      </c>
      <c r="B153" s="25" t="s">
        <v>5</v>
      </c>
      <c r="C153" s="26" t="s">
        <v>281</v>
      </c>
      <c r="D153" s="27">
        <v>46260.875</v>
      </c>
      <c r="E153" s="27">
        <v>46261.25</v>
      </c>
      <c r="F153" s="26" t="s">
        <v>282</v>
      </c>
    </row>
    <row r="154" spans="1:6" ht="62" x14ac:dyDescent="0.35">
      <c r="A154" s="25" t="s">
        <v>61</v>
      </c>
      <c r="B154" s="25" t="s">
        <v>2</v>
      </c>
      <c r="C154" s="26" t="s">
        <v>62</v>
      </c>
      <c r="D154" s="27">
        <v>46260.927083333299</v>
      </c>
      <c r="E154" s="27">
        <v>46261.25</v>
      </c>
      <c r="F154" s="26" t="s">
        <v>63</v>
      </c>
    </row>
    <row r="155" spans="1:6" ht="62" x14ac:dyDescent="0.35">
      <c r="A155" s="25" t="s">
        <v>61</v>
      </c>
      <c r="B155" s="25" t="s">
        <v>2</v>
      </c>
      <c r="C155" s="26" t="s">
        <v>64</v>
      </c>
      <c r="D155" s="27">
        <v>46260.927083333299</v>
      </c>
      <c r="E155" s="27">
        <v>46261.25</v>
      </c>
      <c r="F155" s="26" t="s">
        <v>63</v>
      </c>
    </row>
    <row r="156" spans="1:6" ht="62" x14ac:dyDescent="0.35">
      <c r="A156" s="25" t="s">
        <v>61</v>
      </c>
      <c r="B156" s="25" t="s">
        <v>2</v>
      </c>
      <c r="C156" s="26" t="s">
        <v>65</v>
      </c>
      <c r="D156" s="27">
        <v>46260.927083333299</v>
      </c>
      <c r="E156" s="27">
        <v>46261.25</v>
      </c>
      <c r="F156" s="26" t="s">
        <v>63</v>
      </c>
    </row>
    <row r="157" spans="1:6" ht="62" x14ac:dyDescent="0.35">
      <c r="A157" s="25" t="s">
        <v>61</v>
      </c>
      <c r="B157" s="25" t="s">
        <v>2</v>
      </c>
      <c r="C157" s="26" t="s">
        <v>66</v>
      </c>
      <c r="D157" s="27">
        <v>46260.927083333299</v>
      </c>
      <c r="E157" s="27">
        <v>46261.25</v>
      </c>
      <c r="F157" s="26" t="s">
        <v>63</v>
      </c>
    </row>
    <row r="158" spans="1:6" ht="62" x14ac:dyDescent="0.35">
      <c r="A158" s="25" t="s">
        <v>61</v>
      </c>
      <c r="B158" s="25" t="s">
        <v>2</v>
      </c>
      <c r="C158" s="26" t="s">
        <v>67</v>
      </c>
      <c r="D158" s="27">
        <v>46260.927083333299</v>
      </c>
      <c r="E158" s="27">
        <v>46261.25</v>
      </c>
      <c r="F158" s="26" t="s">
        <v>63</v>
      </c>
    </row>
    <row r="159" spans="1:6" ht="62" x14ac:dyDescent="0.35">
      <c r="A159" s="25" t="s">
        <v>61</v>
      </c>
      <c r="B159" s="25" t="s">
        <v>2</v>
      </c>
      <c r="C159" s="26" t="s">
        <v>68</v>
      </c>
      <c r="D159" s="27">
        <v>46260.927083333299</v>
      </c>
      <c r="E159" s="27">
        <v>46261.25</v>
      </c>
      <c r="F159" s="26" t="s">
        <v>63</v>
      </c>
    </row>
    <row r="160" spans="1:6" ht="77.5" x14ac:dyDescent="0.35">
      <c r="A160" s="25" t="s">
        <v>61</v>
      </c>
      <c r="B160" s="25" t="s">
        <v>2</v>
      </c>
      <c r="C160" s="26" t="s">
        <v>419</v>
      </c>
      <c r="D160" s="27">
        <v>46260.927083333299</v>
      </c>
      <c r="E160" s="27">
        <v>46261.25</v>
      </c>
      <c r="F160" s="26" t="s">
        <v>420</v>
      </c>
    </row>
    <row r="161" spans="1:6" ht="77.5" x14ac:dyDescent="0.35">
      <c r="A161" s="25" t="s">
        <v>61</v>
      </c>
      <c r="B161" s="25" t="s">
        <v>2</v>
      </c>
      <c r="C161" s="26" t="s">
        <v>421</v>
      </c>
      <c r="D161" s="27">
        <v>46260.927083333299</v>
      </c>
      <c r="E161" s="27">
        <v>46261.25</v>
      </c>
      <c r="F161" s="26" t="s">
        <v>420</v>
      </c>
    </row>
    <row r="162" spans="1:6" ht="93" x14ac:dyDescent="0.35">
      <c r="A162" s="25" t="s">
        <v>61</v>
      </c>
      <c r="B162" s="25" t="s">
        <v>2</v>
      </c>
      <c r="C162" s="26" t="s">
        <v>69</v>
      </c>
      <c r="D162" s="27">
        <v>46260.927083333299</v>
      </c>
      <c r="E162" s="27">
        <v>46261.25</v>
      </c>
      <c r="F162" s="26" t="s">
        <v>70</v>
      </c>
    </row>
    <row r="163" spans="1:6" ht="93" x14ac:dyDescent="0.35">
      <c r="A163" s="25" t="s">
        <v>61</v>
      </c>
      <c r="B163" s="25" t="s">
        <v>44</v>
      </c>
      <c r="C163" s="26" t="s">
        <v>492</v>
      </c>
      <c r="D163" s="27">
        <v>46260.916666666701</v>
      </c>
      <c r="E163" s="27">
        <v>46261.229166666701</v>
      </c>
      <c r="F163" s="26" t="s">
        <v>491</v>
      </c>
    </row>
    <row r="164" spans="1:6" ht="46.5" x14ac:dyDescent="0.35">
      <c r="A164" s="25" t="s">
        <v>507</v>
      </c>
      <c r="B164" s="25" t="s">
        <v>6</v>
      </c>
      <c r="C164" s="26" t="s">
        <v>508</v>
      </c>
      <c r="D164" s="27">
        <v>46258.875</v>
      </c>
      <c r="E164" s="27">
        <v>46261.25</v>
      </c>
      <c r="F164" s="26" t="s">
        <v>509</v>
      </c>
    </row>
    <row r="165" spans="1:6" ht="62" x14ac:dyDescent="0.35">
      <c r="A165" s="25" t="s">
        <v>360</v>
      </c>
      <c r="B165" s="25" t="s">
        <v>2</v>
      </c>
      <c r="C165" s="26" t="s">
        <v>497</v>
      </c>
      <c r="D165" s="27">
        <v>46260.833333333299</v>
      </c>
      <c r="E165" s="27">
        <v>46261.208333333299</v>
      </c>
      <c r="F165" s="26" t="s">
        <v>498</v>
      </c>
    </row>
    <row r="166" spans="1:6" ht="46.5" x14ac:dyDescent="0.35">
      <c r="A166" s="25" t="s">
        <v>360</v>
      </c>
      <c r="B166" s="25" t="s">
        <v>6</v>
      </c>
      <c r="C166" s="26" t="s">
        <v>366</v>
      </c>
      <c r="D166" s="27">
        <v>46260.895833333299</v>
      </c>
      <c r="E166" s="27">
        <v>46261.25</v>
      </c>
      <c r="F166" s="26" t="s">
        <v>367</v>
      </c>
    </row>
    <row r="167" spans="1:6" ht="139.5" x14ac:dyDescent="0.35">
      <c r="A167" s="25" t="s">
        <v>360</v>
      </c>
      <c r="B167" s="25" t="s">
        <v>6</v>
      </c>
      <c r="C167" s="26" t="s">
        <v>501</v>
      </c>
      <c r="D167" s="27">
        <v>46260.916666666701</v>
      </c>
      <c r="E167" s="27">
        <v>46261.25</v>
      </c>
      <c r="F167" s="26" t="s">
        <v>502</v>
      </c>
    </row>
    <row r="168" spans="1:6" ht="62" x14ac:dyDescent="0.35">
      <c r="A168" s="25" t="s">
        <v>360</v>
      </c>
      <c r="B168" s="25" t="s">
        <v>2</v>
      </c>
      <c r="C168" s="26" t="s">
        <v>505</v>
      </c>
      <c r="D168" s="27">
        <v>46260.875</v>
      </c>
      <c r="E168" s="27">
        <v>46261.25</v>
      </c>
      <c r="F168" s="26" t="s">
        <v>506</v>
      </c>
    </row>
    <row r="169" spans="1:6" ht="62" x14ac:dyDescent="0.35">
      <c r="A169" s="25" t="s">
        <v>360</v>
      </c>
      <c r="B169" s="25" t="s">
        <v>2</v>
      </c>
      <c r="C169" s="26" t="s">
        <v>382</v>
      </c>
      <c r="D169" s="27">
        <v>46260.916666666701</v>
      </c>
      <c r="E169" s="27">
        <v>46261.25</v>
      </c>
      <c r="F169" s="26" t="s">
        <v>383</v>
      </c>
    </row>
    <row r="170" spans="1:6" ht="46.5" x14ac:dyDescent="0.35">
      <c r="A170" s="25" t="s">
        <v>360</v>
      </c>
      <c r="B170" s="25" t="s">
        <v>2</v>
      </c>
      <c r="C170" s="26" t="s">
        <v>511</v>
      </c>
      <c r="D170" s="27">
        <v>46260.875</v>
      </c>
      <c r="E170" s="27">
        <v>46261.25</v>
      </c>
      <c r="F170" s="26" t="s">
        <v>512</v>
      </c>
    </row>
    <row r="171" spans="1:6" ht="46.5" x14ac:dyDescent="0.35">
      <c r="A171" s="25" t="s">
        <v>195</v>
      </c>
      <c r="B171" s="25" t="s">
        <v>6</v>
      </c>
      <c r="C171" s="26" t="s">
        <v>196</v>
      </c>
      <c r="D171" s="27">
        <v>46260.833333333299</v>
      </c>
      <c r="E171" s="27">
        <v>46261.25</v>
      </c>
      <c r="F171" s="26" t="s">
        <v>197</v>
      </c>
    </row>
    <row r="172" spans="1:6" ht="46.5" x14ac:dyDescent="0.35">
      <c r="A172" s="25" t="s">
        <v>195</v>
      </c>
      <c r="B172" s="25" t="s">
        <v>6</v>
      </c>
      <c r="C172" s="26" t="s">
        <v>198</v>
      </c>
      <c r="D172" s="27">
        <v>46260.833333333299</v>
      </c>
      <c r="E172" s="27">
        <v>46261.25</v>
      </c>
      <c r="F172" s="26" t="s">
        <v>197</v>
      </c>
    </row>
    <row r="173" spans="1:6" ht="46.5" x14ac:dyDescent="0.35">
      <c r="A173" s="25" t="s">
        <v>195</v>
      </c>
      <c r="B173" s="25" t="s">
        <v>6</v>
      </c>
      <c r="C173" s="26" t="s">
        <v>199</v>
      </c>
      <c r="D173" s="27">
        <v>46260.833333333299</v>
      </c>
      <c r="E173" s="27">
        <v>46261.25</v>
      </c>
      <c r="F173" s="26" t="s">
        <v>197</v>
      </c>
    </row>
    <row r="174" spans="1:6" ht="46.5" x14ac:dyDescent="0.35">
      <c r="A174" s="25" t="s">
        <v>195</v>
      </c>
      <c r="B174" s="25" t="s">
        <v>6</v>
      </c>
      <c r="C174" s="26" t="s">
        <v>200</v>
      </c>
      <c r="D174" s="27">
        <v>46260.833333333299</v>
      </c>
      <c r="E174" s="27">
        <v>46261.25</v>
      </c>
      <c r="F174" s="26" t="s">
        <v>197</v>
      </c>
    </row>
    <row r="175" spans="1:6" ht="46.5" x14ac:dyDescent="0.35">
      <c r="A175" s="25" t="s">
        <v>195</v>
      </c>
      <c r="B175" s="25" t="s">
        <v>6</v>
      </c>
      <c r="C175" s="26" t="s">
        <v>201</v>
      </c>
      <c r="D175" s="27">
        <v>46260.833333333299</v>
      </c>
      <c r="E175" s="27">
        <v>46261.25</v>
      </c>
      <c r="F175" s="26" t="s">
        <v>197</v>
      </c>
    </row>
    <row r="176" spans="1:6" ht="46.5" x14ac:dyDescent="0.35">
      <c r="A176" s="25" t="s">
        <v>195</v>
      </c>
      <c r="B176" s="25" t="s">
        <v>6</v>
      </c>
      <c r="C176" s="26" t="s">
        <v>202</v>
      </c>
      <c r="D176" s="27">
        <v>46260.833333333299</v>
      </c>
      <c r="E176" s="27">
        <v>46261.25</v>
      </c>
      <c r="F176" s="26" t="s">
        <v>197</v>
      </c>
    </row>
    <row r="177" spans="1:6" ht="46.5" x14ac:dyDescent="0.35">
      <c r="A177" s="25" t="s">
        <v>195</v>
      </c>
      <c r="B177" s="25" t="s">
        <v>6</v>
      </c>
      <c r="C177" s="26" t="s">
        <v>203</v>
      </c>
      <c r="D177" s="27">
        <v>46260.833333333299</v>
      </c>
      <c r="E177" s="27">
        <v>46261.25</v>
      </c>
      <c r="F177" s="26" t="s">
        <v>197</v>
      </c>
    </row>
    <row r="178" spans="1:6" ht="46.5" x14ac:dyDescent="0.35">
      <c r="A178" s="25" t="s">
        <v>221</v>
      </c>
      <c r="B178" s="25" t="s">
        <v>5</v>
      </c>
      <c r="C178" s="26" t="s">
        <v>462</v>
      </c>
      <c r="D178" s="27">
        <v>46260.875</v>
      </c>
      <c r="E178" s="27">
        <v>46261.208333333299</v>
      </c>
      <c r="F178" s="26" t="s">
        <v>463</v>
      </c>
    </row>
    <row r="179" spans="1:6" ht="46.5" x14ac:dyDescent="0.35">
      <c r="A179" s="25" t="s">
        <v>221</v>
      </c>
      <c r="B179" s="25" t="s">
        <v>5</v>
      </c>
      <c r="C179" s="26" t="s">
        <v>467</v>
      </c>
      <c r="D179" s="27">
        <v>46260.875</v>
      </c>
      <c r="E179" s="27">
        <v>46261.25</v>
      </c>
      <c r="F179" s="26" t="s">
        <v>246</v>
      </c>
    </row>
    <row r="180" spans="1:6" ht="46.5" x14ac:dyDescent="0.35">
      <c r="A180" s="25" t="s">
        <v>221</v>
      </c>
      <c r="B180" s="25" t="s">
        <v>5</v>
      </c>
      <c r="C180" s="26" t="s">
        <v>468</v>
      </c>
      <c r="D180" s="27">
        <v>46260.875</v>
      </c>
      <c r="E180" s="27">
        <v>46261.25</v>
      </c>
      <c r="F180" s="26" t="s">
        <v>469</v>
      </c>
    </row>
    <row r="181" spans="1:6" ht="46.5" x14ac:dyDescent="0.35">
      <c r="A181" s="25" t="s">
        <v>192</v>
      </c>
      <c r="B181" s="25" t="s">
        <v>6</v>
      </c>
      <c r="C181" s="26" t="s">
        <v>193</v>
      </c>
      <c r="D181" s="27">
        <v>45804.208333333299</v>
      </c>
      <c r="E181" s="27">
        <v>46418.208333333299</v>
      </c>
      <c r="F181" s="26" t="s">
        <v>194</v>
      </c>
    </row>
    <row r="182" spans="1:6" ht="46.5" x14ac:dyDescent="0.35">
      <c r="A182" s="25" t="s">
        <v>192</v>
      </c>
      <c r="B182" s="25" t="s">
        <v>2</v>
      </c>
      <c r="C182" s="26" t="s">
        <v>466</v>
      </c>
      <c r="D182" s="27">
        <v>46260.833333333299</v>
      </c>
      <c r="E182" s="27">
        <v>46261.25</v>
      </c>
      <c r="F182" s="26" t="s">
        <v>242</v>
      </c>
    </row>
    <row r="183" spans="1:6" ht="46.5" x14ac:dyDescent="0.35">
      <c r="A183" s="25" t="s">
        <v>226</v>
      </c>
      <c r="B183" s="25" t="s">
        <v>5</v>
      </c>
      <c r="C183" s="26" t="s">
        <v>227</v>
      </c>
      <c r="D183" s="27">
        <v>46260.875</v>
      </c>
      <c r="E183" s="27">
        <v>46261.208333333299</v>
      </c>
      <c r="F183" s="26" t="s">
        <v>228</v>
      </c>
    </row>
    <row r="184" spans="1:6" ht="46.5" x14ac:dyDescent="0.35">
      <c r="A184" s="25" t="s">
        <v>226</v>
      </c>
      <c r="B184" s="25" t="s">
        <v>5</v>
      </c>
      <c r="C184" s="26" t="s">
        <v>229</v>
      </c>
      <c r="D184" s="27">
        <v>46260.875</v>
      </c>
      <c r="E184" s="27">
        <v>46261.208333333299</v>
      </c>
      <c r="F184" s="26" t="s">
        <v>228</v>
      </c>
    </row>
    <row r="185" spans="1:6" ht="62" x14ac:dyDescent="0.35">
      <c r="A185" s="25" t="s">
        <v>226</v>
      </c>
      <c r="B185" s="25" t="s">
        <v>4</v>
      </c>
      <c r="C185" s="26" t="s">
        <v>255</v>
      </c>
      <c r="D185" s="27">
        <v>46260.875</v>
      </c>
      <c r="E185" s="27">
        <v>46261.25</v>
      </c>
      <c r="F185" s="26" t="s">
        <v>256</v>
      </c>
    </row>
    <row r="186" spans="1:6" ht="62" x14ac:dyDescent="0.35">
      <c r="A186" s="25" t="s">
        <v>226</v>
      </c>
      <c r="B186" s="25" t="s">
        <v>4</v>
      </c>
      <c r="C186" s="26" t="s">
        <v>257</v>
      </c>
      <c r="D186" s="27">
        <v>46260.875</v>
      </c>
      <c r="E186" s="27">
        <v>46261.25</v>
      </c>
      <c r="F186" s="26" t="s">
        <v>256</v>
      </c>
    </row>
    <row r="187" spans="1:6" ht="62" x14ac:dyDescent="0.35">
      <c r="A187" s="25" t="s">
        <v>226</v>
      </c>
      <c r="B187" s="25" t="s">
        <v>4</v>
      </c>
      <c r="C187" s="26" t="s">
        <v>258</v>
      </c>
      <c r="D187" s="27">
        <v>46260.875</v>
      </c>
      <c r="E187" s="27">
        <v>46261.25</v>
      </c>
      <c r="F187" s="26" t="s">
        <v>256</v>
      </c>
    </row>
    <row r="188" spans="1:6" ht="62" x14ac:dyDescent="0.35">
      <c r="A188" s="25" t="s">
        <v>226</v>
      </c>
      <c r="B188" s="25" t="s">
        <v>4</v>
      </c>
      <c r="C188" s="26" t="s">
        <v>259</v>
      </c>
      <c r="D188" s="27">
        <v>46260.875</v>
      </c>
      <c r="E188" s="27">
        <v>46261.25</v>
      </c>
      <c r="F188" s="26" t="s">
        <v>256</v>
      </c>
    </row>
    <row r="189" spans="1:6" ht="77.5" x14ac:dyDescent="0.35">
      <c r="A189" s="25" t="s">
        <v>211</v>
      </c>
      <c r="B189" s="25" t="s">
        <v>6</v>
      </c>
      <c r="C189" s="26" t="s">
        <v>430</v>
      </c>
      <c r="D189" s="27">
        <v>46260.833333333299</v>
      </c>
      <c r="E189" s="27">
        <v>46261.25</v>
      </c>
      <c r="F189" s="26" t="s">
        <v>431</v>
      </c>
    </row>
    <row r="190" spans="1:6" ht="46.5" x14ac:dyDescent="0.35">
      <c r="A190" s="25" t="s">
        <v>211</v>
      </c>
      <c r="B190" s="25" t="s">
        <v>6</v>
      </c>
      <c r="C190" s="26" t="s">
        <v>212</v>
      </c>
      <c r="D190" s="27">
        <v>46260.875</v>
      </c>
      <c r="E190" s="27">
        <v>46261.208333333299</v>
      </c>
      <c r="F190" s="26" t="s">
        <v>213</v>
      </c>
    </row>
    <row r="191" spans="1:6" ht="46.5" x14ac:dyDescent="0.35">
      <c r="A191" s="25" t="s">
        <v>211</v>
      </c>
      <c r="B191" s="25" t="s">
        <v>6</v>
      </c>
      <c r="C191" s="26" t="s">
        <v>214</v>
      </c>
      <c r="D191" s="27">
        <v>46260.875</v>
      </c>
      <c r="E191" s="27">
        <v>46261.208333333299</v>
      </c>
      <c r="F191" s="26" t="s">
        <v>213</v>
      </c>
    </row>
    <row r="192" spans="1:6" ht="62" x14ac:dyDescent="0.35">
      <c r="A192" s="25" t="s">
        <v>211</v>
      </c>
      <c r="B192" s="25" t="s">
        <v>2</v>
      </c>
      <c r="C192" s="26" t="s">
        <v>260</v>
      </c>
      <c r="D192" s="27">
        <v>46260.875</v>
      </c>
      <c r="E192" s="27">
        <v>46261.25</v>
      </c>
      <c r="F192" s="26" t="s">
        <v>256</v>
      </c>
    </row>
    <row r="193" spans="1:6" ht="62" x14ac:dyDescent="0.35">
      <c r="A193" s="25" t="s">
        <v>211</v>
      </c>
      <c r="B193" s="25" t="s">
        <v>6</v>
      </c>
      <c r="C193" s="26" t="s">
        <v>261</v>
      </c>
      <c r="D193" s="27">
        <v>46260.875</v>
      </c>
      <c r="E193" s="27">
        <v>46261.25</v>
      </c>
      <c r="F193" s="26" t="s">
        <v>256</v>
      </c>
    </row>
    <row r="194" spans="1:6" ht="62" x14ac:dyDescent="0.35">
      <c r="A194" s="25" t="s">
        <v>211</v>
      </c>
      <c r="B194" s="25" t="s">
        <v>6</v>
      </c>
      <c r="C194" s="26" t="s">
        <v>264</v>
      </c>
      <c r="D194" s="27">
        <v>46260.833333333299</v>
      </c>
      <c r="E194" s="27">
        <v>46261.208333333299</v>
      </c>
      <c r="F194" s="26" t="s">
        <v>265</v>
      </c>
    </row>
    <row r="195" spans="1:6" ht="62" x14ac:dyDescent="0.35">
      <c r="A195" s="25" t="s">
        <v>211</v>
      </c>
      <c r="B195" s="25" t="s">
        <v>2</v>
      </c>
      <c r="C195" s="26" t="s">
        <v>266</v>
      </c>
      <c r="D195" s="27">
        <v>46260.916666666701</v>
      </c>
      <c r="E195" s="27">
        <v>46261.25</v>
      </c>
      <c r="F195" s="26" t="s">
        <v>267</v>
      </c>
    </row>
    <row r="196" spans="1:6" ht="77.5" x14ac:dyDescent="0.35">
      <c r="A196" s="25" t="s">
        <v>211</v>
      </c>
      <c r="B196" s="25" t="s">
        <v>2</v>
      </c>
      <c r="C196" s="26" t="s">
        <v>384</v>
      </c>
      <c r="D196" s="27">
        <v>46260.875</v>
      </c>
      <c r="E196" s="27">
        <v>46261.25</v>
      </c>
      <c r="F196" s="26" t="s">
        <v>385</v>
      </c>
    </row>
    <row r="197" spans="1:6" ht="77.5" x14ac:dyDescent="0.35">
      <c r="A197" s="25" t="s">
        <v>211</v>
      </c>
      <c r="B197" s="25" t="s">
        <v>2</v>
      </c>
      <c r="C197" s="26" t="s">
        <v>386</v>
      </c>
      <c r="D197" s="27">
        <v>46260.875</v>
      </c>
      <c r="E197" s="27">
        <v>46261.25</v>
      </c>
      <c r="F197" s="26" t="s">
        <v>385</v>
      </c>
    </row>
    <row r="198" spans="1:6" ht="77.5" x14ac:dyDescent="0.35">
      <c r="A198" s="25" t="s">
        <v>211</v>
      </c>
      <c r="B198" s="25" t="s">
        <v>2</v>
      </c>
      <c r="C198" s="26" t="s">
        <v>387</v>
      </c>
      <c r="D198" s="27">
        <v>46260.875</v>
      </c>
      <c r="E198" s="27">
        <v>46261.25</v>
      </c>
      <c r="F198" s="26" t="s">
        <v>385</v>
      </c>
    </row>
    <row r="199" spans="1:6" ht="46.5" x14ac:dyDescent="0.35">
      <c r="A199" s="25" t="s">
        <v>235</v>
      </c>
      <c r="B199" s="25" t="s">
        <v>7</v>
      </c>
      <c r="C199" s="26" t="s">
        <v>236</v>
      </c>
      <c r="D199" s="27">
        <v>46260.833333333299</v>
      </c>
      <c r="E199" s="27">
        <v>46261.25</v>
      </c>
      <c r="F199" s="26" t="s">
        <v>237</v>
      </c>
    </row>
    <row r="200" spans="1:6" ht="46.5" x14ac:dyDescent="0.35">
      <c r="A200" s="25" t="s">
        <v>235</v>
      </c>
      <c r="B200" s="25" t="s">
        <v>7</v>
      </c>
      <c r="C200" s="26" t="s">
        <v>238</v>
      </c>
      <c r="D200" s="27">
        <v>46260.833333333299</v>
      </c>
      <c r="E200" s="27">
        <v>46261.25</v>
      </c>
      <c r="F200" s="26" t="s">
        <v>237</v>
      </c>
    </row>
    <row r="201" spans="1:6" ht="46.5" x14ac:dyDescent="0.35">
      <c r="A201" s="25" t="s">
        <v>235</v>
      </c>
      <c r="B201" s="25" t="s">
        <v>8</v>
      </c>
      <c r="C201" s="26" t="s">
        <v>239</v>
      </c>
      <c r="D201" s="27">
        <v>46260.833333333299</v>
      </c>
      <c r="E201" s="27">
        <v>46261.25</v>
      </c>
      <c r="F201" s="26" t="s">
        <v>237</v>
      </c>
    </row>
    <row r="202" spans="1:6" ht="46.5" x14ac:dyDescent="0.35">
      <c r="A202" s="25" t="s">
        <v>235</v>
      </c>
      <c r="B202" s="25" t="s">
        <v>8</v>
      </c>
      <c r="C202" s="26" t="s">
        <v>240</v>
      </c>
      <c r="D202" s="27">
        <v>46260.833333333299</v>
      </c>
      <c r="E202" s="27">
        <v>46261.25</v>
      </c>
      <c r="F202" s="26" t="s">
        <v>237</v>
      </c>
    </row>
    <row r="203" spans="1:6" ht="46.5" x14ac:dyDescent="0.35">
      <c r="A203" s="25" t="s">
        <v>235</v>
      </c>
      <c r="B203" s="25" t="s">
        <v>7</v>
      </c>
      <c r="C203" s="26" t="s">
        <v>247</v>
      </c>
      <c r="D203" s="27">
        <v>46260.875</v>
      </c>
      <c r="E203" s="27">
        <v>46261.25</v>
      </c>
      <c r="F203" s="26" t="s">
        <v>248</v>
      </c>
    </row>
    <row r="204" spans="1:6" ht="46.5" x14ac:dyDescent="0.35">
      <c r="A204" s="25" t="s">
        <v>235</v>
      </c>
      <c r="B204" s="25" t="s">
        <v>7</v>
      </c>
      <c r="C204" s="26" t="s">
        <v>249</v>
      </c>
      <c r="D204" s="27">
        <v>46260.875</v>
      </c>
      <c r="E204" s="27">
        <v>46261.25</v>
      </c>
      <c r="F204" s="26" t="s">
        <v>248</v>
      </c>
    </row>
    <row r="205" spans="1:6" ht="46.5" x14ac:dyDescent="0.35">
      <c r="A205" s="25" t="s">
        <v>235</v>
      </c>
      <c r="B205" s="25" t="s">
        <v>7</v>
      </c>
      <c r="C205" s="26" t="s">
        <v>251</v>
      </c>
      <c r="D205" s="27">
        <v>46260.875</v>
      </c>
      <c r="E205" s="27">
        <v>46261.25</v>
      </c>
      <c r="F205" s="26" t="s">
        <v>248</v>
      </c>
    </row>
    <row r="206" spans="1:6" ht="77.5" x14ac:dyDescent="0.35">
      <c r="A206" s="25" t="s">
        <v>140</v>
      </c>
      <c r="B206" s="25" t="s">
        <v>6</v>
      </c>
      <c r="C206" s="26" t="s">
        <v>141</v>
      </c>
      <c r="D206" s="27">
        <v>46260.833333333299</v>
      </c>
      <c r="E206" s="27">
        <v>46261.25</v>
      </c>
      <c r="F206" s="26" t="s">
        <v>142</v>
      </c>
    </row>
    <row r="207" spans="1:6" ht="77.5" x14ac:dyDescent="0.35">
      <c r="A207" s="25" t="s">
        <v>140</v>
      </c>
      <c r="B207" s="25" t="s">
        <v>6</v>
      </c>
      <c r="C207" s="26" t="s">
        <v>143</v>
      </c>
      <c r="D207" s="27">
        <v>46260.833333333299</v>
      </c>
      <c r="E207" s="27">
        <v>46261.25</v>
      </c>
      <c r="F207" s="26" t="s">
        <v>142</v>
      </c>
    </row>
    <row r="208" spans="1:6" ht="77.5" x14ac:dyDescent="0.35">
      <c r="A208" s="25" t="s">
        <v>140</v>
      </c>
      <c r="B208" s="25" t="s">
        <v>6</v>
      </c>
      <c r="C208" s="26" t="s">
        <v>144</v>
      </c>
      <c r="D208" s="27">
        <v>46260.833333333299</v>
      </c>
      <c r="E208" s="27">
        <v>46261.25</v>
      </c>
      <c r="F208" s="26" t="s">
        <v>142</v>
      </c>
    </row>
    <row r="209" spans="1:6" ht="77.5" x14ac:dyDescent="0.35">
      <c r="A209" s="25" t="s">
        <v>140</v>
      </c>
      <c r="B209" s="25" t="s">
        <v>6</v>
      </c>
      <c r="C209" s="26" t="s">
        <v>145</v>
      </c>
      <c r="D209" s="27">
        <v>46260.833333333299</v>
      </c>
      <c r="E209" s="27">
        <v>46261.25</v>
      </c>
      <c r="F209" s="26" t="s">
        <v>142</v>
      </c>
    </row>
    <row r="210" spans="1:6" ht="77.5" x14ac:dyDescent="0.35">
      <c r="A210" s="25" t="s">
        <v>140</v>
      </c>
      <c r="B210" s="25" t="s">
        <v>6</v>
      </c>
      <c r="C210" s="26" t="s">
        <v>146</v>
      </c>
      <c r="D210" s="27">
        <v>46260.833333333299</v>
      </c>
      <c r="E210" s="27">
        <v>46261.25</v>
      </c>
      <c r="F210" s="26" t="s">
        <v>142</v>
      </c>
    </row>
    <row r="211" spans="1:6" ht="77.5" x14ac:dyDescent="0.35">
      <c r="A211" s="25" t="s">
        <v>140</v>
      </c>
      <c r="B211" s="25" t="s">
        <v>6</v>
      </c>
      <c r="C211" s="26" t="s">
        <v>147</v>
      </c>
      <c r="D211" s="27">
        <v>46260.833333333299</v>
      </c>
      <c r="E211" s="27">
        <v>46261.25</v>
      </c>
      <c r="F211" s="26" t="s">
        <v>142</v>
      </c>
    </row>
    <row r="212" spans="1:6" ht="62" x14ac:dyDescent="0.35">
      <c r="A212" s="25" t="s">
        <v>204</v>
      </c>
      <c r="B212" s="25" t="s">
        <v>2</v>
      </c>
      <c r="C212" s="26" t="s">
        <v>205</v>
      </c>
      <c r="D212" s="27">
        <v>46260.875</v>
      </c>
      <c r="E212" s="27">
        <v>46261.25</v>
      </c>
      <c r="F212" s="26" t="s">
        <v>206</v>
      </c>
    </row>
    <row r="213" spans="1:6" ht="62" x14ac:dyDescent="0.35">
      <c r="A213" s="25" t="s">
        <v>109</v>
      </c>
      <c r="B213" s="25" t="s">
        <v>4</v>
      </c>
      <c r="C213" s="26" t="s">
        <v>110</v>
      </c>
      <c r="D213" s="27">
        <v>46260.833333333299</v>
      </c>
      <c r="E213" s="27">
        <v>46261.25</v>
      </c>
      <c r="F213" s="26" t="s">
        <v>111</v>
      </c>
    </row>
    <row r="214" spans="1:6" ht="62" x14ac:dyDescent="0.35">
      <c r="A214" s="25" t="s">
        <v>109</v>
      </c>
      <c r="B214" s="25" t="s">
        <v>4</v>
      </c>
      <c r="C214" s="26" t="s">
        <v>112</v>
      </c>
      <c r="D214" s="27">
        <v>46260.833333333299</v>
      </c>
      <c r="E214" s="27">
        <v>46261.25</v>
      </c>
      <c r="F214" s="26" t="s">
        <v>111</v>
      </c>
    </row>
    <row r="215" spans="1:6" ht="62" x14ac:dyDescent="0.35">
      <c r="A215" s="25" t="s">
        <v>109</v>
      </c>
      <c r="B215" s="25" t="s">
        <v>4</v>
      </c>
      <c r="C215" s="26" t="s">
        <v>113</v>
      </c>
      <c r="D215" s="27">
        <v>46260.833333333299</v>
      </c>
      <c r="E215" s="27">
        <v>46261.25</v>
      </c>
      <c r="F215" s="26" t="s">
        <v>111</v>
      </c>
    </row>
    <row r="216" spans="1:6" ht="62" x14ac:dyDescent="0.35">
      <c r="A216" s="25" t="s">
        <v>109</v>
      </c>
      <c r="B216" s="25" t="s">
        <v>4</v>
      </c>
      <c r="C216" s="26" t="s">
        <v>114</v>
      </c>
      <c r="D216" s="27">
        <v>46260.833333333299</v>
      </c>
      <c r="E216" s="27">
        <v>46261.25</v>
      </c>
      <c r="F216" s="26" t="s">
        <v>111</v>
      </c>
    </row>
    <row r="217" spans="1:6" ht="62" x14ac:dyDescent="0.35">
      <c r="A217" s="25" t="s">
        <v>109</v>
      </c>
      <c r="B217" s="25" t="s">
        <v>5</v>
      </c>
      <c r="C217" s="26" t="s">
        <v>115</v>
      </c>
      <c r="D217" s="27">
        <v>46260.833333333299</v>
      </c>
      <c r="E217" s="27">
        <v>46261.25</v>
      </c>
      <c r="F217" s="26" t="s">
        <v>111</v>
      </c>
    </row>
    <row r="218" spans="1:6" ht="62" x14ac:dyDescent="0.35">
      <c r="A218" s="25" t="s">
        <v>109</v>
      </c>
      <c r="B218" s="25" t="s">
        <v>5</v>
      </c>
      <c r="C218" s="26" t="s">
        <v>116</v>
      </c>
      <c r="D218" s="27">
        <v>46260.833333333299</v>
      </c>
      <c r="E218" s="27">
        <v>46261.25</v>
      </c>
      <c r="F218" s="26" t="s">
        <v>111</v>
      </c>
    </row>
    <row r="219" spans="1:6" ht="62" x14ac:dyDescent="0.35">
      <c r="A219" s="25" t="s">
        <v>109</v>
      </c>
      <c r="B219" s="25" t="s">
        <v>5</v>
      </c>
      <c r="C219" s="26" t="s">
        <v>117</v>
      </c>
      <c r="D219" s="27">
        <v>46260.833333333299</v>
      </c>
      <c r="E219" s="27">
        <v>46261.25</v>
      </c>
      <c r="F219" s="26" t="s">
        <v>111</v>
      </c>
    </row>
    <row r="220" spans="1:6" ht="62" x14ac:dyDescent="0.35">
      <c r="A220" s="25" t="s">
        <v>109</v>
      </c>
      <c r="B220" s="25" t="s">
        <v>5</v>
      </c>
      <c r="C220" s="26" t="s">
        <v>118</v>
      </c>
      <c r="D220" s="27">
        <v>46260.833333333299</v>
      </c>
      <c r="E220" s="27">
        <v>46261.25</v>
      </c>
      <c r="F220" s="26" t="s">
        <v>111</v>
      </c>
    </row>
    <row r="221" spans="1:6" ht="93" x14ac:dyDescent="0.35">
      <c r="A221" s="25" t="s">
        <v>109</v>
      </c>
      <c r="B221" s="25" t="s">
        <v>5</v>
      </c>
      <c r="C221" s="26" t="s">
        <v>130</v>
      </c>
      <c r="D221" s="27">
        <v>46260.833333333299</v>
      </c>
      <c r="E221" s="27">
        <v>46261.25</v>
      </c>
      <c r="F221" s="26" t="s">
        <v>131</v>
      </c>
    </row>
    <row r="222" spans="1:6" ht="93" x14ac:dyDescent="0.35">
      <c r="A222" s="25" t="s">
        <v>109</v>
      </c>
      <c r="B222" s="25" t="s">
        <v>4</v>
      </c>
      <c r="C222" s="26" t="s">
        <v>132</v>
      </c>
      <c r="D222" s="27">
        <v>46260.833333333299</v>
      </c>
      <c r="E222" s="27">
        <v>46261.25</v>
      </c>
      <c r="F222" s="26" t="s">
        <v>131</v>
      </c>
    </row>
    <row r="223" spans="1:6" ht="77.5" x14ac:dyDescent="0.35">
      <c r="A223" s="25" t="s">
        <v>109</v>
      </c>
      <c r="B223" s="25" t="s">
        <v>5</v>
      </c>
      <c r="C223" s="26" t="s">
        <v>439</v>
      </c>
      <c r="D223" s="27">
        <v>46260.833333333299</v>
      </c>
      <c r="E223" s="27">
        <v>46261.25</v>
      </c>
      <c r="F223" s="26" t="s">
        <v>440</v>
      </c>
    </row>
    <row r="224" spans="1:6" ht="77.5" x14ac:dyDescent="0.35">
      <c r="A224" s="25" t="s">
        <v>109</v>
      </c>
      <c r="B224" s="25" t="s">
        <v>5</v>
      </c>
      <c r="C224" s="26" t="s">
        <v>441</v>
      </c>
      <c r="D224" s="27">
        <v>46260.833333333299</v>
      </c>
      <c r="E224" s="27">
        <v>46261.25</v>
      </c>
      <c r="F224" s="26" t="s">
        <v>440</v>
      </c>
    </row>
    <row r="225" spans="1:6" ht="93" x14ac:dyDescent="0.35">
      <c r="A225" s="25" t="s">
        <v>109</v>
      </c>
      <c r="B225" s="25" t="s">
        <v>4</v>
      </c>
      <c r="C225" s="26" t="s">
        <v>449</v>
      </c>
      <c r="D225" s="27">
        <v>46260.833333333299</v>
      </c>
      <c r="E225" s="27">
        <v>46261.25</v>
      </c>
      <c r="F225" s="26" t="s">
        <v>153</v>
      </c>
    </row>
    <row r="226" spans="1:6" ht="62" x14ac:dyDescent="0.35">
      <c r="A226" s="25" t="s">
        <v>109</v>
      </c>
      <c r="B226" s="25" t="s">
        <v>5</v>
      </c>
      <c r="C226" s="26" t="s">
        <v>450</v>
      </c>
      <c r="D226" s="27">
        <v>46260.833333333299</v>
      </c>
      <c r="E226" s="27">
        <v>46261.208333333299</v>
      </c>
      <c r="F226" s="26" t="s">
        <v>451</v>
      </c>
    </row>
    <row r="227" spans="1:6" ht="46.5" x14ac:dyDescent="0.35">
      <c r="A227" s="25" t="s">
        <v>109</v>
      </c>
      <c r="B227" s="25" t="s">
        <v>4</v>
      </c>
      <c r="C227" s="26" t="s">
        <v>218</v>
      </c>
      <c r="D227" s="27">
        <v>46260.833333333299</v>
      </c>
      <c r="E227" s="27">
        <v>46261.208333333299</v>
      </c>
      <c r="F227" s="26" t="s">
        <v>219</v>
      </c>
    </row>
    <row r="228" spans="1:6" ht="46.5" x14ac:dyDescent="0.35">
      <c r="A228" s="25" t="s">
        <v>109</v>
      </c>
      <c r="B228" s="25" t="s">
        <v>5</v>
      </c>
      <c r="C228" s="26" t="s">
        <v>220</v>
      </c>
      <c r="D228" s="27">
        <v>46260.833333333299</v>
      </c>
      <c r="E228" s="27">
        <v>46261.208333333299</v>
      </c>
      <c r="F228" s="26" t="s">
        <v>219</v>
      </c>
    </row>
    <row r="229" spans="1:6" ht="46.5" x14ac:dyDescent="0.35">
      <c r="A229" s="25" t="s">
        <v>109</v>
      </c>
      <c r="B229" s="25" t="s">
        <v>4</v>
      </c>
      <c r="C229" s="26" t="s">
        <v>465</v>
      </c>
      <c r="D229" s="27">
        <v>46260.875</v>
      </c>
      <c r="E229" s="27">
        <v>46261.208333333299</v>
      </c>
      <c r="F229" s="26" t="s">
        <v>234</v>
      </c>
    </row>
    <row r="230" spans="1:6" ht="46.5" x14ac:dyDescent="0.35">
      <c r="A230" s="25" t="s">
        <v>109</v>
      </c>
      <c r="B230" s="25" t="s">
        <v>5</v>
      </c>
      <c r="C230" s="26" t="s">
        <v>250</v>
      </c>
      <c r="D230" s="27">
        <v>46260.875</v>
      </c>
      <c r="E230" s="27">
        <v>46261.25</v>
      </c>
      <c r="F230" s="26" t="s">
        <v>248</v>
      </c>
    </row>
    <row r="231" spans="1:6" ht="46.5" x14ac:dyDescent="0.35">
      <c r="A231" s="25" t="s">
        <v>109</v>
      </c>
      <c r="B231" s="25" t="s">
        <v>5</v>
      </c>
      <c r="C231" s="26" t="s">
        <v>473</v>
      </c>
      <c r="D231" s="27">
        <v>46260.875</v>
      </c>
      <c r="E231" s="27">
        <v>46261.208333333299</v>
      </c>
      <c r="F231" s="26" t="s">
        <v>474</v>
      </c>
    </row>
    <row r="232" spans="1:6" ht="93" x14ac:dyDescent="0.35">
      <c r="A232" s="25" t="s">
        <v>447</v>
      </c>
      <c r="B232" s="25" t="s">
        <v>7</v>
      </c>
      <c r="C232" s="26" t="s">
        <v>448</v>
      </c>
      <c r="D232" s="27">
        <v>46260.833333333299</v>
      </c>
      <c r="E232" s="27">
        <v>46261.25</v>
      </c>
      <c r="F232" s="26" t="s">
        <v>153</v>
      </c>
    </row>
    <row r="233" spans="1:6" ht="46.5" x14ac:dyDescent="0.35">
      <c r="A233" s="25" t="s">
        <v>207</v>
      </c>
      <c r="B233" s="25" t="s">
        <v>5</v>
      </c>
      <c r="C233" s="26" t="s">
        <v>208</v>
      </c>
      <c r="D233" s="27">
        <v>46260.875</v>
      </c>
      <c r="E233" s="27">
        <v>46261.25</v>
      </c>
      <c r="F233" s="26" t="s">
        <v>209</v>
      </c>
    </row>
    <row r="234" spans="1:6" ht="46.5" x14ac:dyDescent="0.35">
      <c r="A234" s="25" t="s">
        <v>207</v>
      </c>
      <c r="B234" s="25" t="s">
        <v>5</v>
      </c>
      <c r="C234" s="26" t="s">
        <v>210</v>
      </c>
      <c r="D234" s="27">
        <v>46260.875</v>
      </c>
      <c r="E234" s="27">
        <v>46261.25</v>
      </c>
      <c r="F234" s="26" t="s">
        <v>209</v>
      </c>
    </row>
    <row r="235" spans="1:6" ht="46.5" x14ac:dyDescent="0.35">
      <c r="A235" s="25" t="s">
        <v>207</v>
      </c>
      <c r="B235" s="25" t="s">
        <v>4</v>
      </c>
      <c r="C235" s="26" t="s">
        <v>470</v>
      </c>
      <c r="D235" s="27">
        <v>46260.875</v>
      </c>
      <c r="E235" s="27">
        <v>46261.25</v>
      </c>
      <c r="F235" s="26" t="s">
        <v>471</v>
      </c>
    </row>
    <row r="236" spans="1:6" ht="46.5" x14ac:dyDescent="0.35">
      <c r="A236" s="25" t="s">
        <v>207</v>
      </c>
      <c r="B236" s="25" t="s">
        <v>4</v>
      </c>
      <c r="C236" s="26" t="s">
        <v>472</v>
      </c>
      <c r="D236" s="27">
        <v>46260.875</v>
      </c>
      <c r="E236" s="27">
        <v>46261.25</v>
      </c>
      <c r="F236" s="26" t="s">
        <v>471</v>
      </c>
    </row>
  </sheetData>
  <autoFilter ref="A2:F87" xr:uid="{8E28860C-F965-40C0-9C49-A8B021D34924}">
    <sortState xmlns:xlrd2="http://schemas.microsoft.com/office/spreadsheetml/2017/richdata2" ref="A3:F236">
      <sortCondition ref="A2:A87"/>
    </sortState>
  </autoFilter>
  <mergeCells count="1">
    <mergeCell ref="A1:F1"/>
  </mergeCells>
  <conditionalFormatting sqref="A3:F236">
    <cfRule type="expression" dxfId="5"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17"/>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5" t="str">
        <f>"Daily closure report: "&amp;'Front page'!A10</f>
        <v>Daily closure report: Thursday, 27 August</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24</v>
      </c>
      <c r="B3" s="25" t="s">
        <v>2</v>
      </c>
      <c r="C3" s="26" t="s">
        <v>25</v>
      </c>
      <c r="D3" s="27">
        <v>46261.875</v>
      </c>
      <c r="E3" s="27">
        <v>46262.208333333299</v>
      </c>
      <c r="F3" s="26" t="s">
        <v>26</v>
      </c>
    </row>
    <row r="4" spans="1:6" s="5" customFormat="1" ht="77.5" x14ac:dyDescent="0.35">
      <c r="A4" s="25" t="s">
        <v>24</v>
      </c>
      <c r="B4" s="25" t="s">
        <v>2</v>
      </c>
      <c r="C4" s="26" t="s">
        <v>34</v>
      </c>
      <c r="D4" s="27">
        <v>46261.833333333299</v>
      </c>
      <c r="E4" s="27">
        <v>46262.25</v>
      </c>
      <c r="F4" s="26" t="s">
        <v>35</v>
      </c>
    </row>
    <row r="5" spans="1:6" s="5" customFormat="1" ht="77.5" x14ac:dyDescent="0.35">
      <c r="A5" s="25" t="s">
        <v>24</v>
      </c>
      <c r="B5" s="25" t="s">
        <v>44</v>
      </c>
      <c r="C5" s="26" t="s">
        <v>45</v>
      </c>
      <c r="D5" s="27">
        <v>45847.208333333299</v>
      </c>
      <c r="E5" s="27">
        <v>46507.999305555597</v>
      </c>
      <c r="F5" s="26" t="s">
        <v>46</v>
      </c>
    </row>
    <row r="6" spans="1:6" s="5" customFormat="1" ht="62" x14ac:dyDescent="0.35">
      <c r="A6" s="25" t="s">
        <v>24</v>
      </c>
      <c r="B6" s="25" t="s">
        <v>6</v>
      </c>
      <c r="C6" s="26" t="s">
        <v>97</v>
      </c>
      <c r="D6" s="27">
        <v>46261.833333333299</v>
      </c>
      <c r="E6" s="27">
        <v>46262.25</v>
      </c>
      <c r="F6" s="26" t="s">
        <v>98</v>
      </c>
    </row>
    <row r="7" spans="1:6" s="5" customFormat="1" ht="62" x14ac:dyDescent="0.35">
      <c r="A7" s="25" t="s">
        <v>24</v>
      </c>
      <c r="B7" s="25" t="s">
        <v>6</v>
      </c>
      <c r="C7" s="26" t="s">
        <v>99</v>
      </c>
      <c r="D7" s="27">
        <v>46261.833333333299</v>
      </c>
      <c r="E7" s="27">
        <v>46262.25</v>
      </c>
      <c r="F7" s="26" t="s">
        <v>98</v>
      </c>
    </row>
    <row r="8" spans="1:6" s="5" customFormat="1" ht="46.5" x14ac:dyDescent="0.35">
      <c r="A8" s="25" t="s">
        <v>24</v>
      </c>
      <c r="B8" s="25" t="s">
        <v>6</v>
      </c>
      <c r="C8" s="26" t="s">
        <v>100</v>
      </c>
      <c r="D8" s="27">
        <v>46261.833333333299</v>
      </c>
      <c r="E8" s="27">
        <v>46262.25</v>
      </c>
      <c r="F8" s="26" t="s">
        <v>98</v>
      </c>
    </row>
    <row r="9" spans="1:6" s="5" customFormat="1" ht="46.5" x14ac:dyDescent="0.35">
      <c r="A9" s="25" t="s">
        <v>24</v>
      </c>
      <c r="B9" s="25" t="s">
        <v>6</v>
      </c>
      <c r="C9" s="26" t="s">
        <v>101</v>
      </c>
      <c r="D9" s="27">
        <v>46261.833333333299</v>
      </c>
      <c r="E9" s="27">
        <v>46262.25</v>
      </c>
      <c r="F9" s="26" t="s">
        <v>98</v>
      </c>
    </row>
    <row r="10" spans="1:6" s="5" customFormat="1" ht="77.5" x14ac:dyDescent="0.35">
      <c r="A10" s="25" t="s">
        <v>24</v>
      </c>
      <c r="B10" s="25" t="s">
        <v>6</v>
      </c>
      <c r="C10" s="26" t="s">
        <v>102</v>
      </c>
      <c r="D10" s="27">
        <v>46261.833333333299</v>
      </c>
      <c r="E10" s="27">
        <v>46262.25</v>
      </c>
      <c r="F10" s="26" t="s">
        <v>98</v>
      </c>
    </row>
    <row r="11" spans="1:6" s="5" customFormat="1" ht="46.5" x14ac:dyDescent="0.35">
      <c r="A11" s="25" t="s">
        <v>24</v>
      </c>
      <c r="B11" s="25" t="s">
        <v>6</v>
      </c>
      <c r="C11" s="26" t="s">
        <v>103</v>
      </c>
      <c r="D11" s="27">
        <v>46261.833333333299</v>
      </c>
      <c r="E11" s="27">
        <v>46262.25</v>
      </c>
      <c r="F11" s="26" t="s">
        <v>98</v>
      </c>
    </row>
    <row r="12" spans="1:6" s="5" customFormat="1" ht="46.5" x14ac:dyDescent="0.35">
      <c r="A12" s="25" t="s">
        <v>24</v>
      </c>
      <c r="B12" s="25" t="s">
        <v>2</v>
      </c>
      <c r="C12" s="26" t="s">
        <v>176</v>
      </c>
      <c r="D12" s="27">
        <v>46261.833333333299</v>
      </c>
      <c r="E12" s="27">
        <v>46262.25</v>
      </c>
      <c r="F12" s="26" t="s">
        <v>177</v>
      </c>
    </row>
    <row r="13" spans="1:6" s="5" customFormat="1" ht="46.5" x14ac:dyDescent="0.35">
      <c r="A13" s="25" t="s">
        <v>24</v>
      </c>
      <c r="B13" s="25" t="s">
        <v>6</v>
      </c>
      <c r="C13" s="26" t="s">
        <v>178</v>
      </c>
      <c r="D13" s="27">
        <v>46261.833333333299</v>
      </c>
      <c r="E13" s="27">
        <v>46262.25</v>
      </c>
      <c r="F13" s="26" t="s">
        <v>179</v>
      </c>
    </row>
    <row r="14" spans="1:6" s="5" customFormat="1" ht="46.5" x14ac:dyDescent="0.35">
      <c r="A14" s="25" t="s">
        <v>24</v>
      </c>
      <c r="B14" s="25" t="s">
        <v>6</v>
      </c>
      <c r="C14" s="26" t="s">
        <v>180</v>
      </c>
      <c r="D14" s="27">
        <v>46261.833333333299</v>
      </c>
      <c r="E14" s="27">
        <v>46262.25</v>
      </c>
      <c r="F14" s="26" t="s">
        <v>179</v>
      </c>
    </row>
    <row r="15" spans="1:6" s="5" customFormat="1" ht="62" x14ac:dyDescent="0.35">
      <c r="A15" s="25" t="s">
        <v>47</v>
      </c>
      <c r="B15" s="25" t="s">
        <v>2</v>
      </c>
      <c r="C15" s="26" t="s">
        <v>48</v>
      </c>
      <c r="D15" s="27">
        <v>46261.875</v>
      </c>
      <c r="E15" s="27">
        <v>46262.208333333299</v>
      </c>
      <c r="F15" s="26" t="s">
        <v>49</v>
      </c>
    </row>
    <row r="16" spans="1:6" s="5" customFormat="1" ht="62" x14ac:dyDescent="0.35">
      <c r="A16" s="25" t="s">
        <v>47</v>
      </c>
      <c r="B16" s="25" t="s">
        <v>2</v>
      </c>
      <c r="C16" s="26" t="s">
        <v>59</v>
      </c>
      <c r="D16" s="27">
        <v>46261.875</v>
      </c>
      <c r="E16" s="27">
        <v>46262.208333333299</v>
      </c>
      <c r="F16" s="26" t="s">
        <v>60</v>
      </c>
    </row>
    <row r="17" spans="1:6" s="5" customFormat="1" ht="77.5" x14ac:dyDescent="0.35">
      <c r="A17" s="25" t="s">
        <v>47</v>
      </c>
      <c r="B17" s="25" t="s">
        <v>6</v>
      </c>
      <c r="C17" s="26" t="s">
        <v>159</v>
      </c>
      <c r="D17" s="27">
        <v>46261.833333333299</v>
      </c>
      <c r="E17" s="27">
        <v>46262.208333333299</v>
      </c>
      <c r="F17" s="26" t="s">
        <v>160</v>
      </c>
    </row>
    <row r="18" spans="1:6" s="5" customFormat="1" ht="62" x14ac:dyDescent="0.35">
      <c r="A18" s="25" t="s">
        <v>47</v>
      </c>
      <c r="B18" s="25" t="s">
        <v>2</v>
      </c>
      <c r="C18" s="26" t="s">
        <v>164</v>
      </c>
      <c r="D18" s="27">
        <v>46261.833333333299</v>
      </c>
      <c r="E18" s="27">
        <v>46262.25</v>
      </c>
      <c r="F18" s="26" t="s">
        <v>165</v>
      </c>
    </row>
    <row r="19" spans="1:6" s="5" customFormat="1" ht="62" x14ac:dyDescent="0.35">
      <c r="A19" s="25" t="s">
        <v>47</v>
      </c>
      <c r="B19" s="25" t="s">
        <v>2</v>
      </c>
      <c r="C19" s="26" t="s">
        <v>166</v>
      </c>
      <c r="D19" s="27">
        <v>46261.833333333299</v>
      </c>
      <c r="E19" s="27">
        <v>46262.25</v>
      </c>
      <c r="F19" s="26" t="s">
        <v>165</v>
      </c>
    </row>
    <row r="20" spans="1:6" s="5" customFormat="1" ht="62" x14ac:dyDescent="0.35">
      <c r="A20" s="25" t="s">
        <v>47</v>
      </c>
      <c r="B20" s="25" t="s">
        <v>2</v>
      </c>
      <c r="C20" s="26" t="s">
        <v>167</v>
      </c>
      <c r="D20" s="27">
        <v>46261.833333333299</v>
      </c>
      <c r="E20" s="27">
        <v>46262.25</v>
      </c>
      <c r="F20" s="26" t="s">
        <v>165</v>
      </c>
    </row>
    <row r="21" spans="1:6" s="7" customFormat="1" ht="62" x14ac:dyDescent="0.35">
      <c r="A21" s="25" t="s">
        <v>47</v>
      </c>
      <c r="B21" s="25" t="s">
        <v>2</v>
      </c>
      <c r="C21" s="26" t="s">
        <v>168</v>
      </c>
      <c r="D21" s="27">
        <v>46261.833333333299</v>
      </c>
      <c r="E21" s="27">
        <v>46262.25</v>
      </c>
      <c r="F21" s="26" t="s">
        <v>165</v>
      </c>
    </row>
    <row r="22" spans="1:6" s="7" customFormat="1" ht="62" x14ac:dyDescent="0.35">
      <c r="A22" s="25" t="s">
        <v>47</v>
      </c>
      <c r="B22" s="25" t="s">
        <v>2</v>
      </c>
      <c r="C22" s="26" t="s">
        <v>169</v>
      </c>
      <c r="D22" s="27">
        <v>46261.833333333299</v>
      </c>
      <c r="E22" s="27">
        <v>46262.25</v>
      </c>
      <c r="F22" s="26" t="s">
        <v>165</v>
      </c>
    </row>
    <row r="23" spans="1:6" s="7" customFormat="1" ht="46.5" x14ac:dyDescent="0.35">
      <c r="A23" s="25" t="s">
        <v>47</v>
      </c>
      <c r="B23" s="25" t="s">
        <v>6</v>
      </c>
      <c r="C23" s="26" t="s">
        <v>181</v>
      </c>
      <c r="D23" s="27">
        <v>46261.833333333299</v>
      </c>
      <c r="E23" s="27">
        <v>46262.25</v>
      </c>
      <c r="F23" s="26" t="s">
        <v>182</v>
      </c>
    </row>
    <row r="24" spans="1:6" s="7" customFormat="1" ht="46.5" x14ac:dyDescent="0.35">
      <c r="A24" s="25" t="s">
        <v>47</v>
      </c>
      <c r="B24" s="25" t="s">
        <v>6</v>
      </c>
      <c r="C24" s="26" t="s">
        <v>183</v>
      </c>
      <c r="D24" s="27">
        <v>46261.833333333299</v>
      </c>
      <c r="E24" s="27">
        <v>46262.25</v>
      </c>
      <c r="F24" s="26" t="s">
        <v>182</v>
      </c>
    </row>
    <row r="25" spans="1:6" s="7" customFormat="1" ht="93" x14ac:dyDescent="0.35">
      <c r="A25" s="25" t="s">
        <v>339</v>
      </c>
      <c r="B25" s="25" t="s">
        <v>6</v>
      </c>
      <c r="C25" s="26" t="s">
        <v>340</v>
      </c>
      <c r="D25" s="27">
        <v>46261.833333333299</v>
      </c>
      <c r="E25" s="27">
        <v>46262.166666666701</v>
      </c>
      <c r="F25" s="26" t="s">
        <v>341</v>
      </c>
    </row>
    <row r="26" spans="1:6" s="7" customFormat="1" ht="46.5" x14ac:dyDescent="0.35">
      <c r="A26" s="25" t="s">
        <v>53</v>
      </c>
      <c r="B26" s="25" t="s">
        <v>6</v>
      </c>
      <c r="C26" s="26" t="s">
        <v>54</v>
      </c>
      <c r="D26" s="27">
        <v>46261.875</v>
      </c>
      <c r="E26" s="27">
        <v>46262.208333333299</v>
      </c>
      <c r="F26" s="26" t="s">
        <v>55</v>
      </c>
    </row>
    <row r="27" spans="1:6" s="5" customFormat="1" ht="46.5" x14ac:dyDescent="0.35">
      <c r="A27" s="25" t="s">
        <v>53</v>
      </c>
      <c r="B27" s="25" t="s">
        <v>6</v>
      </c>
      <c r="C27" s="26" t="s">
        <v>56</v>
      </c>
      <c r="D27" s="27">
        <v>46261.875</v>
      </c>
      <c r="E27" s="27">
        <v>46262.208333333299</v>
      </c>
      <c r="F27" s="26" t="s">
        <v>55</v>
      </c>
    </row>
    <row r="28" spans="1:6" s="5" customFormat="1" ht="62" x14ac:dyDescent="0.35">
      <c r="A28" s="25" t="s">
        <v>17</v>
      </c>
      <c r="B28" s="25" t="s">
        <v>6</v>
      </c>
      <c r="C28" s="26" t="s">
        <v>18</v>
      </c>
      <c r="D28" s="27">
        <v>46261.875</v>
      </c>
      <c r="E28" s="27">
        <v>46262.208333333299</v>
      </c>
      <c r="F28" s="26" t="s">
        <v>19</v>
      </c>
    </row>
    <row r="29" spans="1:6" s="5" customFormat="1" ht="46.5" x14ac:dyDescent="0.35">
      <c r="A29" s="25" t="s">
        <v>17</v>
      </c>
      <c r="B29" s="25" t="s">
        <v>2</v>
      </c>
      <c r="C29" s="26" t="s">
        <v>30</v>
      </c>
      <c r="D29" s="27">
        <v>46261.875</v>
      </c>
      <c r="E29" s="27">
        <v>46262.208333333299</v>
      </c>
      <c r="F29" s="26" t="s">
        <v>31</v>
      </c>
    </row>
    <row r="30" spans="1:6" s="5" customFormat="1" ht="46.5" x14ac:dyDescent="0.35">
      <c r="A30" s="25" t="s">
        <v>17</v>
      </c>
      <c r="B30" s="25" t="s">
        <v>6</v>
      </c>
      <c r="C30" s="26" t="s">
        <v>32</v>
      </c>
      <c r="D30" s="27">
        <v>46261.875</v>
      </c>
      <c r="E30" s="27">
        <v>46262.208333333299</v>
      </c>
      <c r="F30" s="26" t="s">
        <v>33</v>
      </c>
    </row>
    <row r="31" spans="1:6" s="5" customFormat="1" ht="46.5" x14ac:dyDescent="0.35">
      <c r="A31" s="25" t="s">
        <v>17</v>
      </c>
      <c r="B31" s="25" t="s">
        <v>6</v>
      </c>
      <c r="C31" s="26" t="s">
        <v>36</v>
      </c>
      <c r="D31" s="27">
        <v>46261.875</v>
      </c>
      <c r="E31" s="27">
        <v>46262.208333333299</v>
      </c>
      <c r="F31" s="26" t="s">
        <v>37</v>
      </c>
    </row>
    <row r="32" spans="1:6" s="5" customFormat="1" ht="77.5" x14ac:dyDescent="0.35">
      <c r="A32" s="25" t="s">
        <v>342</v>
      </c>
      <c r="B32" s="25" t="s">
        <v>4</v>
      </c>
      <c r="C32" s="26" t="s">
        <v>343</v>
      </c>
      <c r="D32" s="27">
        <v>46261.916666666701</v>
      </c>
      <c r="E32" s="27">
        <v>46262.229166666701</v>
      </c>
      <c r="F32" s="26" t="s">
        <v>344</v>
      </c>
    </row>
    <row r="33" spans="1:6" s="5" customFormat="1" ht="46.5" x14ac:dyDescent="0.35">
      <c r="A33" s="25" t="s">
        <v>38</v>
      </c>
      <c r="B33" s="25" t="s">
        <v>5</v>
      </c>
      <c r="C33" s="26" t="s">
        <v>39</v>
      </c>
      <c r="D33" s="27">
        <v>46261.833333333299</v>
      </c>
      <c r="E33" s="27">
        <v>46262.25</v>
      </c>
      <c r="F33" s="26" t="s">
        <v>40</v>
      </c>
    </row>
    <row r="34" spans="1:6" s="5" customFormat="1" ht="46.5" x14ac:dyDescent="0.35">
      <c r="A34" s="25" t="s">
        <v>38</v>
      </c>
      <c r="B34" s="25" t="s">
        <v>5</v>
      </c>
      <c r="C34" s="26" t="s">
        <v>41</v>
      </c>
      <c r="D34" s="27">
        <v>46261.833333333299</v>
      </c>
      <c r="E34" s="27">
        <v>46262.25</v>
      </c>
      <c r="F34" s="26" t="s">
        <v>42</v>
      </c>
    </row>
    <row r="35" spans="1:6" s="5" customFormat="1" ht="46.5" x14ac:dyDescent="0.35">
      <c r="A35" s="25" t="s">
        <v>38</v>
      </c>
      <c r="B35" s="25" t="s">
        <v>5</v>
      </c>
      <c r="C35" s="26" t="s">
        <v>43</v>
      </c>
      <c r="D35" s="27">
        <v>46261.833333333299</v>
      </c>
      <c r="E35" s="27">
        <v>46262.25</v>
      </c>
      <c r="F35" s="26" t="s">
        <v>42</v>
      </c>
    </row>
    <row r="36" spans="1:6" s="5" customFormat="1" ht="46.5" x14ac:dyDescent="0.35">
      <c r="A36" s="25" t="s">
        <v>38</v>
      </c>
      <c r="B36" s="25" t="s">
        <v>5</v>
      </c>
      <c r="C36" s="26" t="s">
        <v>50</v>
      </c>
      <c r="D36" s="27">
        <v>46261.833333333299</v>
      </c>
      <c r="E36" s="27">
        <v>46262.25</v>
      </c>
      <c r="F36" s="26" t="s">
        <v>51</v>
      </c>
    </row>
    <row r="37" spans="1:6" s="5" customFormat="1" ht="46.5" x14ac:dyDescent="0.35">
      <c r="A37" s="25" t="s">
        <v>38</v>
      </c>
      <c r="B37" s="25" t="s">
        <v>4</v>
      </c>
      <c r="C37" s="26" t="s">
        <v>52</v>
      </c>
      <c r="D37" s="27">
        <v>46261.833333333299</v>
      </c>
      <c r="E37" s="27">
        <v>46262.25</v>
      </c>
      <c r="F37" s="26" t="s">
        <v>51</v>
      </c>
    </row>
    <row r="38" spans="1:6" s="5" customFormat="1" ht="93" x14ac:dyDescent="0.35">
      <c r="A38" s="25" t="s">
        <v>38</v>
      </c>
      <c r="B38" s="25" t="s">
        <v>5</v>
      </c>
      <c r="C38" s="26" t="s">
        <v>78</v>
      </c>
      <c r="D38" s="27">
        <v>46258.541666666701</v>
      </c>
      <c r="E38" s="27">
        <v>46262.25</v>
      </c>
      <c r="F38" s="26" t="s">
        <v>79</v>
      </c>
    </row>
    <row r="39" spans="1:6" s="5" customFormat="1" ht="93" x14ac:dyDescent="0.35">
      <c r="A39" s="25" t="s">
        <v>38</v>
      </c>
      <c r="B39" s="25" t="s">
        <v>5</v>
      </c>
      <c r="C39" s="26" t="s">
        <v>80</v>
      </c>
      <c r="D39" s="27">
        <v>46261.833333333299</v>
      </c>
      <c r="E39" s="27">
        <v>46262.25</v>
      </c>
      <c r="F39" s="26" t="s">
        <v>79</v>
      </c>
    </row>
    <row r="40" spans="1:6" s="6" customFormat="1" ht="93" x14ac:dyDescent="0.35">
      <c r="A40" s="25" t="s">
        <v>38</v>
      </c>
      <c r="B40" s="25" t="s">
        <v>5</v>
      </c>
      <c r="C40" s="26" t="s">
        <v>81</v>
      </c>
      <c r="D40" s="27">
        <v>46261.833333333299</v>
      </c>
      <c r="E40" s="27">
        <v>46262.25</v>
      </c>
      <c r="F40" s="26" t="s">
        <v>79</v>
      </c>
    </row>
    <row r="41" spans="1:6" s="6" customFormat="1" ht="93" x14ac:dyDescent="0.35">
      <c r="A41" s="25" t="s">
        <v>38</v>
      </c>
      <c r="B41" s="25" t="s">
        <v>5</v>
      </c>
      <c r="C41" s="26" t="s">
        <v>82</v>
      </c>
      <c r="D41" s="27">
        <v>46261.833333333299</v>
      </c>
      <c r="E41" s="27">
        <v>46262.25</v>
      </c>
      <c r="F41" s="26" t="s">
        <v>79</v>
      </c>
    </row>
    <row r="42" spans="1:6" s="6" customFormat="1" ht="93" x14ac:dyDescent="0.35">
      <c r="A42" s="25" t="s">
        <v>38</v>
      </c>
      <c r="B42" s="25" t="s">
        <v>5</v>
      </c>
      <c r="C42" s="26" t="s">
        <v>83</v>
      </c>
      <c r="D42" s="27">
        <v>46261.833333333299</v>
      </c>
      <c r="E42" s="27">
        <v>46262.25</v>
      </c>
      <c r="F42" s="26" t="s">
        <v>79</v>
      </c>
    </row>
    <row r="43" spans="1:6" s="6" customFormat="1" ht="93" x14ac:dyDescent="0.35">
      <c r="A43" s="25" t="s">
        <v>38</v>
      </c>
      <c r="B43" s="25" t="s">
        <v>5</v>
      </c>
      <c r="C43" s="26" t="s">
        <v>84</v>
      </c>
      <c r="D43" s="27">
        <v>46261.833333333299</v>
      </c>
      <c r="E43" s="27">
        <v>46262.25</v>
      </c>
      <c r="F43" s="26" t="s">
        <v>79</v>
      </c>
    </row>
    <row r="44" spans="1:6" s="6" customFormat="1" ht="93" x14ac:dyDescent="0.35">
      <c r="A44" s="25" t="s">
        <v>38</v>
      </c>
      <c r="B44" s="25" t="s">
        <v>5</v>
      </c>
      <c r="C44" s="26" t="s">
        <v>85</v>
      </c>
      <c r="D44" s="27">
        <v>46261.833333333299</v>
      </c>
      <c r="E44" s="27">
        <v>46262.25</v>
      </c>
      <c r="F44" s="26" t="s">
        <v>79</v>
      </c>
    </row>
    <row r="45" spans="1:6" s="6" customFormat="1" ht="93" x14ac:dyDescent="0.35">
      <c r="A45" s="25" t="s">
        <v>38</v>
      </c>
      <c r="B45" s="25" t="s">
        <v>5</v>
      </c>
      <c r="C45" s="26" t="s">
        <v>86</v>
      </c>
      <c r="D45" s="27">
        <v>46261.833333333299</v>
      </c>
      <c r="E45" s="27">
        <v>46262.25</v>
      </c>
      <c r="F45" s="26" t="s">
        <v>79</v>
      </c>
    </row>
    <row r="46" spans="1:6" s="6" customFormat="1" ht="77.5" x14ac:dyDescent="0.35">
      <c r="A46" s="25" t="s">
        <v>184</v>
      </c>
      <c r="B46" s="25" t="s">
        <v>6</v>
      </c>
      <c r="C46" s="26" t="s">
        <v>185</v>
      </c>
      <c r="D46" s="27">
        <v>46261.833333333299</v>
      </c>
      <c r="E46" s="27">
        <v>46262.25</v>
      </c>
      <c r="F46" s="26" t="s">
        <v>186</v>
      </c>
    </row>
    <row r="47" spans="1:6" s="6" customFormat="1" ht="77.5" x14ac:dyDescent="0.35">
      <c r="A47" s="25" t="s">
        <v>184</v>
      </c>
      <c r="B47" s="25" t="s">
        <v>2</v>
      </c>
      <c r="C47" s="26" t="s">
        <v>187</v>
      </c>
      <c r="D47" s="27">
        <v>46261.833333333299</v>
      </c>
      <c r="E47" s="27">
        <v>46262.25</v>
      </c>
      <c r="F47" s="26" t="s">
        <v>186</v>
      </c>
    </row>
    <row r="48" spans="1:6" s="6" customFormat="1" ht="46.5" x14ac:dyDescent="0.35">
      <c r="A48" s="25" t="s">
        <v>184</v>
      </c>
      <c r="B48" s="25" t="s">
        <v>6</v>
      </c>
      <c r="C48" s="26" t="s">
        <v>188</v>
      </c>
      <c r="D48" s="27">
        <v>46261.833333333299</v>
      </c>
      <c r="E48" s="27">
        <v>46262.25</v>
      </c>
      <c r="F48" s="26" t="s">
        <v>189</v>
      </c>
    </row>
    <row r="49" spans="1:6" s="5" customFormat="1" ht="31" x14ac:dyDescent="0.35">
      <c r="A49" s="25" t="s">
        <v>184</v>
      </c>
      <c r="B49" s="25" t="s">
        <v>2</v>
      </c>
      <c r="C49" s="26" t="s">
        <v>190</v>
      </c>
      <c r="D49" s="27">
        <v>46261.833333333299</v>
      </c>
      <c r="E49" s="27">
        <v>46262.25</v>
      </c>
      <c r="F49" s="26" t="s">
        <v>191</v>
      </c>
    </row>
    <row r="50" spans="1:6" s="5" customFormat="1" ht="46.5" x14ac:dyDescent="0.35">
      <c r="A50" s="25" t="s">
        <v>297</v>
      </c>
      <c r="B50" s="25" t="s">
        <v>5</v>
      </c>
      <c r="C50" s="26" t="s">
        <v>298</v>
      </c>
      <c r="D50" s="27">
        <v>46261.833333333299</v>
      </c>
      <c r="E50" s="27">
        <v>46262.25</v>
      </c>
      <c r="F50" s="26" t="s">
        <v>299</v>
      </c>
    </row>
    <row r="51" spans="1:6" s="5" customFormat="1" ht="62" x14ac:dyDescent="0.35">
      <c r="A51" s="25" t="s">
        <v>294</v>
      </c>
      <c r="B51" s="25" t="s">
        <v>44</v>
      </c>
      <c r="C51" s="26" t="s">
        <v>295</v>
      </c>
      <c r="D51" s="27">
        <v>46261.833333333299</v>
      </c>
      <c r="E51" s="27">
        <v>46262.25</v>
      </c>
      <c r="F51" s="26" t="s">
        <v>296</v>
      </c>
    </row>
    <row r="52" spans="1:6" s="5" customFormat="1" ht="46.5" x14ac:dyDescent="0.35">
      <c r="A52" s="25" t="s">
        <v>310</v>
      </c>
      <c r="B52" s="25" t="s">
        <v>2</v>
      </c>
      <c r="C52" s="26" t="s">
        <v>311</v>
      </c>
      <c r="D52" s="27">
        <v>46261.833333333299</v>
      </c>
      <c r="E52" s="27">
        <v>46262.25</v>
      </c>
      <c r="F52" s="26" t="s">
        <v>312</v>
      </c>
    </row>
    <row r="53" spans="1:6" s="5" customFormat="1" ht="62" x14ac:dyDescent="0.35">
      <c r="A53" s="25" t="s">
        <v>313</v>
      </c>
      <c r="B53" s="25" t="s">
        <v>44</v>
      </c>
      <c r="C53" s="26" t="s">
        <v>314</v>
      </c>
      <c r="D53" s="27">
        <v>46261.875</v>
      </c>
      <c r="E53" s="27">
        <v>46262.25</v>
      </c>
      <c r="F53" s="26" t="s">
        <v>315</v>
      </c>
    </row>
    <row r="54" spans="1:6" s="5" customFormat="1" ht="46.5" x14ac:dyDescent="0.35">
      <c r="A54" s="25" t="s">
        <v>307</v>
      </c>
      <c r="B54" s="25" t="s">
        <v>4</v>
      </c>
      <c r="C54" s="26" t="s">
        <v>308</v>
      </c>
      <c r="D54" s="27">
        <v>46261.833333333299</v>
      </c>
      <c r="E54" s="27">
        <v>46262.25</v>
      </c>
      <c r="F54" s="26" t="s">
        <v>309</v>
      </c>
    </row>
    <row r="55" spans="1:6" s="5" customFormat="1" ht="62" x14ac:dyDescent="0.35">
      <c r="A55" s="25" t="s">
        <v>319</v>
      </c>
      <c r="B55" s="25" t="s">
        <v>2</v>
      </c>
      <c r="C55" s="26" t="s">
        <v>320</v>
      </c>
      <c r="D55" s="27">
        <v>46261.875</v>
      </c>
      <c r="E55" s="27">
        <v>46262.229166666701</v>
      </c>
      <c r="F55" s="26" t="s">
        <v>321</v>
      </c>
    </row>
    <row r="56" spans="1:6" s="5" customFormat="1" ht="62" x14ac:dyDescent="0.35">
      <c r="A56" s="25" t="s">
        <v>271</v>
      </c>
      <c r="B56" s="25" t="s">
        <v>2</v>
      </c>
      <c r="C56" s="26" t="s">
        <v>272</v>
      </c>
      <c r="D56" s="27">
        <v>46261.875</v>
      </c>
      <c r="E56" s="27">
        <v>46262.25</v>
      </c>
      <c r="F56" s="26" t="s">
        <v>273</v>
      </c>
    </row>
    <row r="57" spans="1:6" s="5" customFormat="1" ht="31" x14ac:dyDescent="0.35">
      <c r="A57" s="25" t="s">
        <v>271</v>
      </c>
      <c r="B57" s="25" t="s">
        <v>44</v>
      </c>
      <c r="C57" s="26" t="s">
        <v>287</v>
      </c>
      <c r="D57" s="27">
        <v>46261.875</v>
      </c>
      <c r="E57" s="27">
        <v>46262.25</v>
      </c>
      <c r="F57" s="26" t="s">
        <v>288</v>
      </c>
    </row>
    <row r="58" spans="1:6" s="5" customFormat="1" ht="46.5" x14ac:dyDescent="0.35">
      <c r="A58" s="25" t="s">
        <v>271</v>
      </c>
      <c r="B58" s="25" t="s">
        <v>6</v>
      </c>
      <c r="C58" s="26" t="s">
        <v>289</v>
      </c>
      <c r="D58" s="27">
        <v>46261.875</v>
      </c>
      <c r="E58" s="27">
        <v>46262.25</v>
      </c>
      <c r="F58" s="26" t="s">
        <v>290</v>
      </c>
    </row>
    <row r="59" spans="1:6" s="5" customFormat="1" ht="46.5" x14ac:dyDescent="0.35">
      <c r="A59" s="25" t="s">
        <v>271</v>
      </c>
      <c r="B59" s="25" t="s">
        <v>6</v>
      </c>
      <c r="C59" s="26" t="s">
        <v>291</v>
      </c>
      <c r="D59" s="27">
        <v>46261.875</v>
      </c>
      <c r="E59" s="27">
        <v>46262.25</v>
      </c>
      <c r="F59" s="26" t="s">
        <v>290</v>
      </c>
    </row>
    <row r="60" spans="1:6" s="5" customFormat="1" ht="46.5" x14ac:dyDescent="0.35">
      <c r="A60" s="25" t="s">
        <v>271</v>
      </c>
      <c r="B60" s="25" t="s">
        <v>2</v>
      </c>
      <c r="C60" s="26" t="s">
        <v>292</v>
      </c>
      <c r="D60" s="27">
        <v>46261.875</v>
      </c>
      <c r="E60" s="27">
        <v>46262.25</v>
      </c>
      <c r="F60" s="26" t="s">
        <v>290</v>
      </c>
    </row>
    <row r="61" spans="1:6" s="5" customFormat="1" ht="46.5" x14ac:dyDescent="0.35">
      <c r="A61" s="25" t="s">
        <v>271</v>
      </c>
      <c r="B61" s="25" t="s">
        <v>2</v>
      </c>
      <c r="C61" s="26" t="s">
        <v>293</v>
      </c>
      <c r="D61" s="27">
        <v>46261.875</v>
      </c>
      <c r="E61" s="27">
        <v>46262.25</v>
      </c>
      <c r="F61" s="26" t="s">
        <v>290</v>
      </c>
    </row>
    <row r="62" spans="1:6" s="5" customFormat="1" ht="108.5" x14ac:dyDescent="0.35">
      <c r="A62" s="25" t="s">
        <v>271</v>
      </c>
      <c r="B62" s="25" t="s">
        <v>2</v>
      </c>
      <c r="C62" s="26" t="s">
        <v>335</v>
      </c>
      <c r="D62" s="27">
        <v>46261.916666666701</v>
      </c>
      <c r="E62" s="27">
        <v>46262.229166666701</v>
      </c>
      <c r="F62" s="26" t="s">
        <v>336</v>
      </c>
    </row>
    <row r="63" spans="1:6" s="5" customFormat="1" ht="124" x14ac:dyDescent="0.35">
      <c r="A63" s="25" t="s">
        <v>348</v>
      </c>
      <c r="B63" s="25" t="s">
        <v>5</v>
      </c>
      <c r="C63" s="26" t="s">
        <v>349</v>
      </c>
      <c r="D63" s="27">
        <v>46261.833333333299</v>
      </c>
      <c r="E63" s="27">
        <v>46262.25</v>
      </c>
      <c r="F63" s="26" t="s">
        <v>350</v>
      </c>
    </row>
    <row r="64" spans="1:6" s="5" customFormat="1" ht="124" x14ac:dyDescent="0.35">
      <c r="A64" s="25" t="s">
        <v>348</v>
      </c>
      <c r="B64" s="25" t="s">
        <v>5</v>
      </c>
      <c r="C64" s="26" t="s">
        <v>351</v>
      </c>
      <c r="D64" s="27">
        <v>46261.833333333299</v>
      </c>
      <c r="E64" s="27">
        <v>46262.25</v>
      </c>
      <c r="F64" s="26" t="s">
        <v>350</v>
      </c>
    </row>
    <row r="65" spans="1:6" s="5" customFormat="1" ht="46.5" x14ac:dyDescent="0.35">
      <c r="A65" s="25" t="s">
        <v>283</v>
      </c>
      <c r="B65" s="25" t="s">
        <v>5</v>
      </c>
      <c r="C65" s="26" t="s">
        <v>284</v>
      </c>
      <c r="D65" s="27">
        <v>46261.875</v>
      </c>
      <c r="E65" s="27">
        <v>46262.25</v>
      </c>
      <c r="F65" s="26" t="s">
        <v>285</v>
      </c>
    </row>
    <row r="66" spans="1:6" s="5" customFormat="1" ht="46.5" x14ac:dyDescent="0.35">
      <c r="A66" s="25" t="s">
        <v>283</v>
      </c>
      <c r="B66" s="25" t="s">
        <v>4</v>
      </c>
      <c r="C66" s="26" t="s">
        <v>286</v>
      </c>
      <c r="D66" s="27">
        <v>46261.875</v>
      </c>
      <c r="E66" s="27">
        <v>46262.25</v>
      </c>
      <c r="F66" s="26" t="s">
        <v>285</v>
      </c>
    </row>
    <row r="67" spans="1:6" s="5" customFormat="1" ht="62" x14ac:dyDescent="0.35">
      <c r="A67" s="25" t="s">
        <v>283</v>
      </c>
      <c r="B67" s="25" t="s">
        <v>44</v>
      </c>
      <c r="C67" s="26" t="s">
        <v>356</v>
      </c>
      <c r="D67" s="27">
        <v>46261.833333333299</v>
      </c>
      <c r="E67" s="27">
        <v>46262.25</v>
      </c>
      <c r="F67" s="26" t="s">
        <v>357</v>
      </c>
    </row>
    <row r="68" spans="1:6" s="5" customFormat="1" ht="108.5" x14ac:dyDescent="0.35">
      <c r="A68" s="25" t="s">
        <v>283</v>
      </c>
      <c r="B68" s="25" t="s">
        <v>44</v>
      </c>
      <c r="C68" s="26" t="s">
        <v>358</v>
      </c>
      <c r="D68" s="27">
        <v>46261.875</v>
      </c>
      <c r="E68" s="27">
        <v>46262.25</v>
      </c>
      <c r="F68" s="26" t="s">
        <v>359</v>
      </c>
    </row>
    <row r="69" spans="1:6" s="5" customFormat="1" ht="46.5" x14ac:dyDescent="0.35">
      <c r="A69" s="25" t="s">
        <v>274</v>
      </c>
      <c r="B69" s="25" t="s">
        <v>2</v>
      </c>
      <c r="C69" s="26" t="s">
        <v>275</v>
      </c>
      <c r="D69" s="27">
        <v>46261.875</v>
      </c>
      <c r="E69" s="27">
        <v>46262.25</v>
      </c>
      <c r="F69" s="26" t="s">
        <v>276</v>
      </c>
    </row>
    <row r="70" spans="1:6" s="5" customFormat="1" ht="46.5" x14ac:dyDescent="0.35">
      <c r="A70" s="25" t="s">
        <v>372</v>
      </c>
      <c r="B70" s="25" t="s">
        <v>44</v>
      </c>
      <c r="C70" s="26" t="s">
        <v>373</v>
      </c>
      <c r="D70" s="27">
        <v>46261.833333333299</v>
      </c>
      <c r="E70" s="27">
        <v>46262.25</v>
      </c>
      <c r="F70" s="26" t="s">
        <v>374</v>
      </c>
    </row>
    <row r="71" spans="1:6" s="5" customFormat="1" ht="139.5" x14ac:dyDescent="0.35">
      <c r="A71" s="25" t="s">
        <v>363</v>
      </c>
      <c r="B71" s="25" t="s">
        <v>44</v>
      </c>
      <c r="C71" s="26" t="s">
        <v>364</v>
      </c>
      <c r="D71" s="27">
        <v>46261.833333333299</v>
      </c>
      <c r="E71" s="27">
        <v>46262.25</v>
      </c>
      <c r="F71" s="26" t="s">
        <v>365</v>
      </c>
    </row>
    <row r="72" spans="1:6" s="5" customFormat="1" ht="93" x14ac:dyDescent="0.35">
      <c r="A72" s="25" t="s">
        <v>87</v>
      </c>
      <c r="B72" s="25" t="s">
        <v>2</v>
      </c>
      <c r="C72" s="26" t="s">
        <v>88</v>
      </c>
      <c r="D72" s="27">
        <v>46261.833333333299</v>
      </c>
      <c r="E72" s="27">
        <v>46262.25</v>
      </c>
      <c r="F72" s="26" t="s">
        <v>89</v>
      </c>
    </row>
    <row r="73" spans="1:6" s="5" customFormat="1" ht="93" x14ac:dyDescent="0.35">
      <c r="A73" s="25" t="s">
        <v>87</v>
      </c>
      <c r="B73" s="25" t="s">
        <v>2</v>
      </c>
      <c r="C73" s="26" t="s">
        <v>90</v>
      </c>
      <c r="D73" s="27">
        <v>46261.833333333299</v>
      </c>
      <c r="E73" s="27">
        <v>46262.25</v>
      </c>
      <c r="F73" s="26" t="s">
        <v>89</v>
      </c>
    </row>
    <row r="74" spans="1:6" s="5" customFormat="1" ht="93" x14ac:dyDescent="0.35">
      <c r="A74" s="25" t="s">
        <v>87</v>
      </c>
      <c r="B74" s="25" t="s">
        <v>2</v>
      </c>
      <c r="C74" s="26" t="s">
        <v>91</v>
      </c>
      <c r="D74" s="27">
        <v>46261.833333333299</v>
      </c>
      <c r="E74" s="27">
        <v>46262.25</v>
      </c>
      <c r="F74" s="26" t="s">
        <v>89</v>
      </c>
    </row>
    <row r="75" spans="1:6" s="5" customFormat="1" ht="93" x14ac:dyDescent="0.35">
      <c r="A75" s="25" t="s">
        <v>87</v>
      </c>
      <c r="B75" s="25" t="s">
        <v>2</v>
      </c>
      <c r="C75" s="26" t="s">
        <v>92</v>
      </c>
      <c r="D75" s="27">
        <v>46261.833333333299</v>
      </c>
      <c r="E75" s="27">
        <v>46262.25</v>
      </c>
      <c r="F75" s="26" t="s">
        <v>89</v>
      </c>
    </row>
    <row r="76" spans="1:6" s="5" customFormat="1" ht="46.5" x14ac:dyDescent="0.35">
      <c r="A76" s="25" t="s">
        <v>87</v>
      </c>
      <c r="B76" s="25" t="s">
        <v>4</v>
      </c>
      <c r="C76" s="26" t="s">
        <v>352</v>
      </c>
      <c r="D76" s="27">
        <v>46261.8125</v>
      </c>
      <c r="E76" s="27">
        <v>46262.25</v>
      </c>
      <c r="F76" s="26" t="s">
        <v>353</v>
      </c>
    </row>
    <row r="77" spans="1:6" s="5" customFormat="1" ht="62" x14ac:dyDescent="0.35">
      <c r="A77" s="25" t="s">
        <v>87</v>
      </c>
      <c r="B77" s="25" t="s">
        <v>5</v>
      </c>
      <c r="C77" s="26" t="s">
        <v>354</v>
      </c>
      <c r="D77" s="27">
        <v>46261.8125</v>
      </c>
      <c r="E77" s="27">
        <v>46262.25</v>
      </c>
      <c r="F77" s="26" t="s">
        <v>355</v>
      </c>
    </row>
    <row r="78" spans="1:6" s="5" customFormat="1" ht="108.5" x14ac:dyDescent="0.35">
      <c r="A78" s="25" t="s">
        <v>87</v>
      </c>
      <c r="B78" s="25" t="s">
        <v>6</v>
      </c>
      <c r="C78" s="26" t="s">
        <v>380</v>
      </c>
      <c r="D78" s="27">
        <v>46202.875</v>
      </c>
      <c r="E78" s="27">
        <v>46508.208333333299</v>
      </c>
      <c r="F78" s="26" t="s">
        <v>381</v>
      </c>
    </row>
    <row r="79" spans="1:6" s="5" customFormat="1" ht="77.5" x14ac:dyDescent="0.35">
      <c r="A79" s="25" t="s">
        <v>87</v>
      </c>
      <c r="B79" s="25" t="s">
        <v>6</v>
      </c>
      <c r="C79" s="26" t="s">
        <v>388</v>
      </c>
      <c r="D79" s="27">
        <v>46261.875</v>
      </c>
      <c r="E79" s="27">
        <v>46262.25</v>
      </c>
      <c r="F79" s="26" t="s">
        <v>389</v>
      </c>
    </row>
    <row r="80" spans="1:6" s="5" customFormat="1" ht="77.5" x14ac:dyDescent="0.35">
      <c r="A80" s="25" t="s">
        <v>375</v>
      </c>
      <c r="B80" s="25" t="s">
        <v>2</v>
      </c>
      <c r="C80" s="26" t="s">
        <v>376</v>
      </c>
      <c r="D80" s="27">
        <v>46261.875</v>
      </c>
      <c r="E80" s="27">
        <v>46262.25</v>
      </c>
      <c r="F80" s="26" t="s">
        <v>377</v>
      </c>
    </row>
    <row r="81" spans="1:6" s="5" customFormat="1" ht="77.5" x14ac:dyDescent="0.35">
      <c r="A81" s="25" t="s">
        <v>375</v>
      </c>
      <c r="B81" s="25" t="s">
        <v>6</v>
      </c>
      <c r="C81" s="26" t="s">
        <v>378</v>
      </c>
      <c r="D81" s="27">
        <v>46261.875</v>
      </c>
      <c r="E81" s="27">
        <v>46262.25</v>
      </c>
      <c r="F81" s="26" t="s">
        <v>379</v>
      </c>
    </row>
    <row r="82" spans="1:6" s="5" customFormat="1" ht="93" x14ac:dyDescent="0.35">
      <c r="A82" s="25" t="s">
        <v>71</v>
      </c>
      <c r="B82" s="25" t="s">
        <v>6</v>
      </c>
      <c r="C82" s="26" t="s">
        <v>72</v>
      </c>
      <c r="D82" s="27">
        <v>46261.833333333299</v>
      </c>
      <c r="E82" s="27">
        <v>46262.25</v>
      </c>
      <c r="F82" s="26" t="s">
        <v>73</v>
      </c>
    </row>
    <row r="83" spans="1:6" s="5" customFormat="1" ht="93" x14ac:dyDescent="0.35">
      <c r="A83" s="25" t="s">
        <v>71</v>
      </c>
      <c r="B83" s="25" t="s">
        <v>6</v>
      </c>
      <c r="C83" s="26" t="s">
        <v>74</v>
      </c>
      <c r="D83" s="27">
        <v>46261.833333333299</v>
      </c>
      <c r="E83" s="27">
        <v>46262.25</v>
      </c>
      <c r="F83" s="26" t="s">
        <v>73</v>
      </c>
    </row>
    <row r="84" spans="1:6" s="5" customFormat="1" ht="93" x14ac:dyDescent="0.35">
      <c r="A84" s="25" t="s">
        <v>71</v>
      </c>
      <c r="B84" s="25" t="s">
        <v>7</v>
      </c>
      <c r="C84" s="26" t="s">
        <v>395</v>
      </c>
      <c r="D84" s="27">
        <v>46217.625</v>
      </c>
      <c r="E84" s="27">
        <v>46387.875</v>
      </c>
      <c r="F84" s="26" t="s">
        <v>396</v>
      </c>
    </row>
    <row r="85" spans="1:6" s="5" customFormat="1" ht="77.5" x14ac:dyDescent="0.35">
      <c r="A85" s="25" t="s">
        <v>93</v>
      </c>
      <c r="B85" s="25" t="s">
        <v>2</v>
      </c>
      <c r="C85" s="26" t="s">
        <v>94</v>
      </c>
      <c r="D85" s="27">
        <v>46260.833333333299</v>
      </c>
      <c r="E85" s="27">
        <v>46266.25</v>
      </c>
      <c r="F85" s="26" t="s">
        <v>95</v>
      </c>
    </row>
    <row r="86" spans="1:6" s="5" customFormat="1" ht="77.5" x14ac:dyDescent="0.35">
      <c r="A86" s="25" t="s">
        <v>93</v>
      </c>
      <c r="B86" s="25" t="s">
        <v>6</v>
      </c>
      <c r="C86" s="26" t="s">
        <v>96</v>
      </c>
      <c r="D86" s="27">
        <v>46260.833333333299</v>
      </c>
      <c r="E86" s="27">
        <v>46266.25</v>
      </c>
      <c r="F86" s="26" t="s">
        <v>95</v>
      </c>
    </row>
    <row r="87" spans="1:6" s="5" customFormat="1" ht="77.5" x14ac:dyDescent="0.35">
      <c r="A87" s="25" t="s">
        <v>93</v>
      </c>
      <c r="B87" s="25" t="s">
        <v>2</v>
      </c>
      <c r="C87" s="26" t="s">
        <v>393</v>
      </c>
      <c r="D87" s="27">
        <v>46261.833333333299</v>
      </c>
      <c r="E87" s="27">
        <v>46262.25</v>
      </c>
      <c r="F87" s="26" t="s">
        <v>394</v>
      </c>
    </row>
    <row r="88" spans="1:6" s="5" customFormat="1" ht="77.5" x14ac:dyDescent="0.35">
      <c r="A88" s="25" t="s">
        <v>93</v>
      </c>
      <c r="B88" s="25" t="s">
        <v>44</v>
      </c>
      <c r="C88" s="26" t="s">
        <v>397</v>
      </c>
      <c r="D88" s="27">
        <v>46261.875</v>
      </c>
      <c r="E88" s="27">
        <v>46262.25</v>
      </c>
      <c r="F88" s="26" t="s">
        <v>398</v>
      </c>
    </row>
    <row r="89" spans="1:6" s="5" customFormat="1" ht="77.5" x14ac:dyDescent="0.35">
      <c r="A89" s="25" t="s">
        <v>20</v>
      </c>
      <c r="B89" s="25" t="s">
        <v>4</v>
      </c>
      <c r="C89" s="26" t="s">
        <v>21</v>
      </c>
      <c r="D89" s="27">
        <v>46261.833333333299</v>
      </c>
      <c r="E89" s="27">
        <v>46262.25</v>
      </c>
      <c r="F89" s="26" t="s">
        <v>22</v>
      </c>
    </row>
    <row r="90" spans="1:6" s="5" customFormat="1" ht="77.5" x14ac:dyDescent="0.35">
      <c r="A90" s="25" t="s">
        <v>20</v>
      </c>
      <c r="B90" s="25" t="s">
        <v>4</v>
      </c>
      <c r="C90" s="26" t="s">
        <v>23</v>
      </c>
      <c r="D90" s="27">
        <v>46261.833333333299</v>
      </c>
      <c r="E90" s="27">
        <v>46262.25</v>
      </c>
      <c r="F90" s="26" t="s">
        <v>22</v>
      </c>
    </row>
    <row r="91" spans="1:6" s="5" customFormat="1" ht="46.5" x14ac:dyDescent="0.35">
      <c r="A91" s="25" t="s">
        <v>401</v>
      </c>
      <c r="B91" s="25" t="s">
        <v>4</v>
      </c>
      <c r="C91" s="26" t="s">
        <v>402</v>
      </c>
      <c r="D91" s="27">
        <v>46261.833333333299</v>
      </c>
      <c r="E91" s="27">
        <v>46262.208333333299</v>
      </c>
      <c r="F91" s="26" t="s">
        <v>403</v>
      </c>
    </row>
    <row r="92" spans="1:6" s="5" customFormat="1" ht="46.5" x14ac:dyDescent="0.35">
      <c r="A92" s="25" t="s">
        <v>401</v>
      </c>
      <c r="B92" s="25" t="s">
        <v>4</v>
      </c>
      <c r="C92" s="26" t="s">
        <v>404</v>
      </c>
      <c r="D92" s="27">
        <v>46261.833333333299</v>
      </c>
      <c r="E92" s="27">
        <v>46262.208333333299</v>
      </c>
      <c r="F92" s="26" t="s">
        <v>403</v>
      </c>
    </row>
    <row r="93" spans="1:6" s="5" customFormat="1" ht="46.5" x14ac:dyDescent="0.35">
      <c r="A93" s="25" t="s">
        <v>401</v>
      </c>
      <c r="B93" s="25" t="s">
        <v>5</v>
      </c>
      <c r="C93" s="26" t="s">
        <v>405</v>
      </c>
      <c r="D93" s="27">
        <v>46261.833333333299</v>
      </c>
      <c r="E93" s="27">
        <v>46262.208333333299</v>
      </c>
      <c r="F93" s="26" t="s">
        <v>406</v>
      </c>
    </row>
    <row r="94" spans="1:6" s="5" customFormat="1" ht="77.5" x14ac:dyDescent="0.35">
      <c r="A94" s="25" t="s">
        <v>390</v>
      </c>
      <c r="B94" s="25" t="s">
        <v>44</v>
      </c>
      <c r="C94" s="26" t="s">
        <v>391</v>
      </c>
      <c r="D94" s="27">
        <v>46230.833333333299</v>
      </c>
      <c r="E94" s="27">
        <v>46403.25</v>
      </c>
      <c r="F94" s="26" t="s">
        <v>392</v>
      </c>
    </row>
    <row r="95" spans="1:6" s="5" customFormat="1" ht="77.5" x14ac:dyDescent="0.35">
      <c r="A95" s="25" t="s">
        <v>390</v>
      </c>
      <c r="B95" s="25" t="s">
        <v>2</v>
      </c>
      <c r="C95" s="26" t="s">
        <v>399</v>
      </c>
      <c r="D95" s="27">
        <v>46261.875</v>
      </c>
      <c r="E95" s="27">
        <v>46262.25</v>
      </c>
      <c r="F95" s="26" t="s">
        <v>400</v>
      </c>
    </row>
    <row r="96" spans="1:6" s="5" customFormat="1" ht="46.5" x14ac:dyDescent="0.35">
      <c r="A96" s="25" t="s">
        <v>215</v>
      </c>
      <c r="B96" s="25" t="s">
        <v>6</v>
      </c>
      <c r="C96" s="26" t="s">
        <v>216</v>
      </c>
      <c r="D96" s="27">
        <v>46230.208333333299</v>
      </c>
      <c r="E96" s="27">
        <v>46265</v>
      </c>
      <c r="F96" s="26" t="s">
        <v>217</v>
      </c>
    </row>
    <row r="97" spans="1:6" s="5" customFormat="1" ht="62" x14ac:dyDescent="0.35">
      <c r="A97" s="25" t="s">
        <v>262</v>
      </c>
      <c r="B97" s="25" t="s">
        <v>44</v>
      </c>
      <c r="C97" s="26" t="s">
        <v>263</v>
      </c>
      <c r="D97" s="27">
        <v>46261.875</v>
      </c>
      <c r="E97" s="27">
        <v>46262.25</v>
      </c>
      <c r="F97" s="26" t="s">
        <v>256</v>
      </c>
    </row>
    <row r="98" spans="1:6" s="5" customFormat="1" ht="93" x14ac:dyDescent="0.35">
      <c r="A98" s="25" t="s">
        <v>151</v>
      </c>
      <c r="B98" s="25" t="s">
        <v>6</v>
      </c>
      <c r="C98" s="26" t="s">
        <v>152</v>
      </c>
      <c r="D98" s="27">
        <v>46237.833333333299</v>
      </c>
      <c r="E98" s="27">
        <v>46326.25</v>
      </c>
      <c r="F98" s="26" t="s">
        <v>153</v>
      </c>
    </row>
    <row r="99" spans="1:6" s="5" customFormat="1" ht="93" x14ac:dyDescent="0.35">
      <c r="A99" s="25" t="s">
        <v>151</v>
      </c>
      <c r="B99" s="25" t="s">
        <v>2</v>
      </c>
      <c r="C99" s="26" t="s">
        <v>154</v>
      </c>
      <c r="D99" s="27">
        <v>46237.833333333299</v>
      </c>
      <c r="E99" s="27">
        <v>46326.25</v>
      </c>
      <c r="F99" s="26" t="s">
        <v>153</v>
      </c>
    </row>
    <row r="100" spans="1:6" s="5" customFormat="1" ht="46.5" x14ac:dyDescent="0.35">
      <c r="A100" s="25" t="s">
        <v>148</v>
      </c>
      <c r="B100" s="25" t="s">
        <v>5</v>
      </c>
      <c r="C100" s="26" t="s">
        <v>149</v>
      </c>
      <c r="D100" s="27">
        <v>46261.833333333299</v>
      </c>
      <c r="E100" s="27">
        <v>46262.25</v>
      </c>
      <c r="F100" s="26" t="s">
        <v>150</v>
      </c>
    </row>
    <row r="101" spans="1:6" s="5" customFormat="1" ht="77.5" x14ac:dyDescent="0.35">
      <c r="A101" s="25" t="s">
        <v>161</v>
      </c>
      <c r="B101" s="25" t="s">
        <v>44</v>
      </c>
      <c r="C101" s="26" t="s">
        <v>162</v>
      </c>
      <c r="D101" s="27">
        <v>46261.833333333299</v>
      </c>
      <c r="E101" s="27">
        <v>46262.25</v>
      </c>
      <c r="F101" s="26" t="s">
        <v>163</v>
      </c>
    </row>
    <row r="102" spans="1:6" s="5" customFormat="1" ht="77.5" x14ac:dyDescent="0.35">
      <c r="A102" s="25" t="s">
        <v>170</v>
      </c>
      <c r="B102" s="25" t="s">
        <v>4</v>
      </c>
      <c r="C102" s="26" t="s">
        <v>171</v>
      </c>
      <c r="D102" s="27">
        <v>46261.833333333299</v>
      </c>
      <c r="E102" s="27">
        <v>46262.25</v>
      </c>
      <c r="F102" s="26" t="s">
        <v>172</v>
      </c>
    </row>
    <row r="103" spans="1:6" s="5" customFormat="1" ht="77.5" x14ac:dyDescent="0.35">
      <c r="A103" s="25" t="s">
        <v>170</v>
      </c>
      <c r="B103" s="25" t="s">
        <v>4</v>
      </c>
      <c r="C103" s="26" t="s">
        <v>173</v>
      </c>
      <c r="D103" s="27">
        <v>46261.833333333299</v>
      </c>
      <c r="E103" s="27">
        <v>46262.25</v>
      </c>
      <c r="F103" s="26" t="s">
        <v>172</v>
      </c>
    </row>
    <row r="104" spans="1:6" s="5" customFormat="1" ht="77.5" x14ac:dyDescent="0.35">
      <c r="A104" s="25" t="s">
        <v>170</v>
      </c>
      <c r="B104" s="25" t="s">
        <v>4</v>
      </c>
      <c r="C104" s="26" t="s">
        <v>174</v>
      </c>
      <c r="D104" s="27">
        <v>46261.833333333299</v>
      </c>
      <c r="E104" s="27">
        <v>46262.25</v>
      </c>
      <c r="F104" s="26" t="s">
        <v>172</v>
      </c>
    </row>
    <row r="105" spans="1:6" s="5" customFormat="1" ht="77.5" x14ac:dyDescent="0.35">
      <c r="A105" s="25" t="s">
        <v>170</v>
      </c>
      <c r="B105" s="25" t="s">
        <v>4</v>
      </c>
      <c r="C105" s="26" t="s">
        <v>175</v>
      </c>
      <c r="D105" s="27">
        <v>46261.833333333299</v>
      </c>
      <c r="E105" s="27">
        <v>46262.25</v>
      </c>
      <c r="F105" s="26" t="s">
        <v>172</v>
      </c>
    </row>
    <row r="106" spans="1:6" s="5" customFormat="1" ht="62" x14ac:dyDescent="0.35">
      <c r="A106" s="25" t="s">
        <v>230</v>
      </c>
      <c r="B106" s="25" t="s">
        <v>6</v>
      </c>
      <c r="C106" s="26" t="s">
        <v>231</v>
      </c>
      <c r="D106" s="27">
        <v>46261.875</v>
      </c>
      <c r="E106" s="27">
        <v>46262.208333333299</v>
      </c>
      <c r="F106" s="26" t="s">
        <v>232</v>
      </c>
    </row>
    <row r="107" spans="1:6" s="5" customFormat="1" ht="93" x14ac:dyDescent="0.35">
      <c r="A107" s="25" t="s">
        <v>75</v>
      </c>
      <c r="B107" s="25" t="s">
        <v>6</v>
      </c>
      <c r="C107" s="26" t="s">
        <v>76</v>
      </c>
      <c r="D107" s="27">
        <v>46261.833333333299</v>
      </c>
      <c r="E107" s="27">
        <v>46262.25</v>
      </c>
      <c r="F107" s="26" t="s">
        <v>77</v>
      </c>
    </row>
    <row r="108" spans="1:6" s="5" customFormat="1" ht="77.5" x14ac:dyDescent="0.35">
      <c r="A108" s="25" t="s">
        <v>75</v>
      </c>
      <c r="B108" s="25" t="s">
        <v>6</v>
      </c>
      <c r="C108" s="26" t="s">
        <v>104</v>
      </c>
      <c r="D108" s="27">
        <v>46261.833333333299</v>
      </c>
      <c r="E108" s="27">
        <v>46262.25</v>
      </c>
      <c r="F108" s="26" t="s">
        <v>105</v>
      </c>
    </row>
    <row r="109" spans="1:6" s="5" customFormat="1" ht="77.5" x14ac:dyDescent="0.35">
      <c r="A109" s="25" t="s">
        <v>75</v>
      </c>
      <c r="B109" s="25" t="s">
        <v>6</v>
      </c>
      <c r="C109" s="26" t="s">
        <v>106</v>
      </c>
      <c r="D109" s="27">
        <v>46261.833333333299</v>
      </c>
      <c r="E109" s="27">
        <v>46262.25</v>
      </c>
      <c r="F109" s="26" t="s">
        <v>105</v>
      </c>
    </row>
    <row r="110" spans="1:6" s="5" customFormat="1" ht="46.5" x14ac:dyDescent="0.35">
      <c r="A110" s="25" t="s">
        <v>75</v>
      </c>
      <c r="B110" s="25" t="s">
        <v>6</v>
      </c>
      <c r="C110" s="26" t="s">
        <v>107</v>
      </c>
      <c r="D110" s="27">
        <v>46261.833333333299</v>
      </c>
      <c r="E110" s="27">
        <v>46262.25</v>
      </c>
      <c r="F110" s="26" t="s">
        <v>108</v>
      </c>
    </row>
    <row r="111" spans="1:6" s="5" customFormat="1" ht="77.5" x14ac:dyDescent="0.35">
      <c r="A111" s="25" t="s">
        <v>75</v>
      </c>
      <c r="B111" s="25" t="s">
        <v>2</v>
      </c>
      <c r="C111" s="26" t="s">
        <v>136</v>
      </c>
      <c r="D111" s="27">
        <v>46261.833333333299</v>
      </c>
      <c r="E111" s="27">
        <v>46262.25</v>
      </c>
      <c r="F111" s="26" t="s">
        <v>137</v>
      </c>
    </row>
    <row r="112" spans="1:6" s="5" customFormat="1" ht="77.5" x14ac:dyDescent="0.35">
      <c r="A112" s="25" t="s">
        <v>75</v>
      </c>
      <c r="B112" s="25" t="s">
        <v>2</v>
      </c>
      <c r="C112" s="26" t="s">
        <v>138</v>
      </c>
      <c r="D112" s="27">
        <v>46261.833333333299</v>
      </c>
      <c r="E112" s="27">
        <v>46262.25</v>
      </c>
      <c r="F112" s="26" t="s">
        <v>137</v>
      </c>
    </row>
    <row r="113" spans="1:6" s="5" customFormat="1" ht="77.5" x14ac:dyDescent="0.35">
      <c r="A113" s="25" t="s">
        <v>75</v>
      </c>
      <c r="B113" s="25" t="s">
        <v>2</v>
      </c>
      <c r="C113" s="26" t="s">
        <v>139</v>
      </c>
      <c r="D113" s="27">
        <v>46261.833333333299</v>
      </c>
      <c r="E113" s="27">
        <v>46262.25</v>
      </c>
      <c r="F113" s="26" t="s">
        <v>137</v>
      </c>
    </row>
    <row r="114" spans="1:6" s="5" customFormat="1" ht="77.5" x14ac:dyDescent="0.35">
      <c r="A114" s="25" t="s">
        <v>75</v>
      </c>
      <c r="B114" s="25" t="s">
        <v>2</v>
      </c>
      <c r="C114" s="26" t="s">
        <v>157</v>
      </c>
      <c r="D114" s="27">
        <v>46261.833333333299</v>
      </c>
      <c r="E114" s="27">
        <v>46262.25</v>
      </c>
      <c r="F114" s="26" t="s">
        <v>158</v>
      </c>
    </row>
    <row r="115" spans="1:6" s="5" customFormat="1" ht="46.5" x14ac:dyDescent="0.35">
      <c r="A115" s="25" t="s">
        <v>75</v>
      </c>
      <c r="B115" s="25" t="s">
        <v>6</v>
      </c>
      <c r="C115" s="26" t="s">
        <v>407</v>
      </c>
      <c r="D115" s="27">
        <v>46261.833333333299</v>
      </c>
      <c r="E115" s="27">
        <v>46262.208333333299</v>
      </c>
      <c r="F115" s="26" t="s">
        <v>406</v>
      </c>
    </row>
    <row r="116" spans="1:6" s="5" customFormat="1" ht="62" x14ac:dyDescent="0.35">
      <c r="A116" s="25" t="s">
        <v>27</v>
      </c>
      <c r="B116" s="25" t="s">
        <v>2</v>
      </c>
      <c r="C116" s="26" t="s">
        <v>28</v>
      </c>
      <c r="D116" s="27">
        <v>46261.875</v>
      </c>
      <c r="E116" s="27">
        <v>46262.208333333299</v>
      </c>
      <c r="F116" s="26" t="s">
        <v>29</v>
      </c>
    </row>
    <row r="117" spans="1:6" s="5" customFormat="1" ht="62" x14ac:dyDescent="0.35">
      <c r="A117" s="25" t="s">
        <v>27</v>
      </c>
      <c r="B117" s="25" t="s">
        <v>6</v>
      </c>
      <c r="C117" s="26" t="s">
        <v>57</v>
      </c>
      <c r="D117" s="27">
        <v>46261.875</v>
      </c>
      <c r="E117" s="27">
        <v>46262.208333333299</v>
      </c>
      <c r="F117" s="26" t="s">
        <v>58</v>
      </c>
    </row>
    <row r="118" spans="1:6" s="5" customFormat="1" ht="93" x14ac:dyDescent="0.35">
      <c r="A118" s="25" t="s">
        <v>133</v>
      </c>
      <c r="B118" s="25" t="s">
        <v>6</v>
      </c>
      <c r="C118" s="26" t="s">
        <v>134</v>
      </c>
      <c r="D118" s="27">
        <v>46261.833333333299</v>
      </c>
      <c r="E118" s="27">
        <v>46262.25</v>
      </c>
      <c r="F118" s="26" t="s">
        <v>131</v>
      </c>
    </row>
    <row r="119" spans="1:6" s="5" customFormat="1" ht="93" x14ac:dyDescent="0.35">
      <c r="A119" s="25" t="s">
        <v>133</v>
      </c>
      <c r="B119" s="25" t="s">
        <v>6</v>
      </c>
      <c r="C119" s="26" t="s">
        <v>135</v>
      </c>
      <c r="D119" s="27">
        <v>46261.833333333299</v>
      </c>
      <c r="E119" s="27">
        <v>46262.25</v>
      </c>
      <c r="F119" s="26" t="s">
        <v>131</v>
      </c>
    </row>
    <row r="120" spans="1:6" s="5" customFormat="1" ht="108.5" x14ac:dyDescent="0.35">
      <c r="A120" s="25" t="s">
        <v>119</v>
      </c>
      <c r="B120" s="25" t="s">
        <v>4</v>
      </c>
      <c r="C120" s="26" t="s">
        <v>120</v>
      </c>
      <c r="D120" s="27">
        <v>46261.833333333299</v>
      </c>
      <c r="E120" s="27">
        <v>46262.25</v>
      </c>
      <c r="F120" s="26" t="s">
        <v>121</v>
      </c>
    </row>
    <row r="121" spans="1:6" s="5" customFormat="1" ht="108.5" x14ac:dyDescent="0.35">
      <c r="A121" s="25" t="s">
        <v>119</v>
      </c>
      <c r="B121" s="25" t="s">
        <v>4</v>
      </c>
      <c r="C121" s="26" t="s">
        <v>122</v>
      </c>
      <c r="D121" s="27">
        <v>46261.833333333299</v>
      </c>
      <c r="E121" s="27">
        <v>46262.25</v>
      </c>
      <c r="F121" s="26" t="s">
        <v>121</v>
      </c>
    </row>
    <row r="122" spans="1:6" s="5" customFormat="1" ht="108.5" x14ac:dyDescent="0.35">
      <c r="A122" s="25" t="s">
        <v>119</v>
      </c>
      <c r="B122" s="25" t="s">
        <v>4</v>
      </c>
      <c r="C122" s="26" t="s">
        <v>123</v>
      </c>
      <c r="D122" s="27">
        <v>46261.833333333299</v>
      </c>
      <c r="E122" s="27">
        <v>46262.25</v>
      </c>
      <c r="F122" s="26" t="s">
        <v>121</v>
      </c>
    </row>
    <row r="123" spans="1:6" s="5" customFormat="1" ht="46.5" x14ac:dyDescent="0.35">
      <c r="A123" s="25" t="s">
        <v>304</v>
      </c>
      <c r="B123" s="25" t="s">
        <v>4</v>
      </c>
      <c r="C123" s="26" t="s">
        <v>305</v>
      </c>
      <c r="D123" s="27">
        <v>46261.833333333299</v>
      </c>
      <c r="E123" s="27">
        <v>46262.25</v>
      </c>
      <c r="F123" s="26" t="s">
        <v>306</v>
      </c>
    </row>
    <row r="124" spans="1:6" s="5" customFormat="1" ht="46.5" x14ac:dyDescent="0.35">
      <c r="A124" s="25" t="s">
        <v>300</v>
      </c>
      <c r="B124" s="25" t="s">
        <v>4</v>
      </c>
      <c r="C124" s="26" t="s">
        <v>301</v>
      </c>
      <c r="D124" s="27">
        <v>46261.833333333299</v>
      </c>
      <c r="E124" s="27">
        <v>46262.25</v>
      </c>
      <c r="F124" s="26" t="s">
        <v>302</v>
      </c>
    </row>
    <row r="125" spans="1:6" s="5" customFormat="1" ht="46.5" x14ac:dyDescent="0.35">
      <c r="A125" s="25" t="s">
        <v>300</v>
      </c>
      <c r="B125" s="25" t="s">
        <v>5</v>
      </c>
      <c r="C125" s="26" t="s">
        <v>303</v>
      </c>
      <c r="D125" s="27">
        <v>46261.833333333299</v>
      </c>
      <c r="E125" s="27">
        <v>46262.25</v>
      </c>
      <c r="F125" s="26" t="s">
        <v>302</v>
      </c>
    </row>
    <row r="126" spans="1:6" s="5" customFormat="1" ht="77.5" x14ac:dyDescent="0.35">
      <c r="A126" s="25" t="s">
        <v>300</v>
      </c>
      <c r="B126" s="25" t="s">
        <v>5</v>
      </c>
      <c r="C126" s="26" t="s">
        <v>329</v>
      </c>
      <c r="D126" s="27">
        <v>46261.916666666701</v>
      </c>
      <c r="E126" s="27">
        <v>46262.229166666701</v>
      </c>
      <c r="F126" s="26" t="s">
        <v>330</v>
      </c>
    </row>
    <row r="127" spans="1:6" s="5" customFormat="1" ht="77.5" x14ac:dyDescent="0.35">
      <c r="A127" s="25" t="s">
        <v>316</v>
      </c>
      <c r="B127" s="25" t="s">
        <v>8</v>
      </c>
      <c r="C127" s="26" t="s">
        <v>317</v>
      </c>
      <c r="D127" s="27">
        <v>46261.916666666701</v>
      </c>
      <c r="E127" s="27">
        <v>46262.229166666701</v>
      </c>
      <c r="F127" s="26" t="s">
        <v>318</v>
      </c>
    </row>
    <row r="128" spans="1:6" s="5" customFormat="1" ht="77.5" x14ac:dyDescent="0.35">
      <c r="A128" s="25" t="s">
        <v>316</v>
      </c>
      <c r="B128" s="25" t="s">
        <v>8</v>
      </c>
      <c r="C128" s="26" t="s">
        <v>324</v>
      </c>
      <c r="D128" s="27">
        <v>46261.916666666701</v>
      </c>
      <c r="E128" s="27">
        <v>46262.229166666701</v>
      </c>
      <c r="F128" s="26" t="s">
        <v>323</v>
      </c>
    </row>
    <row r="129" spans="1:6" s="5" customFormat="1" ht="77.5" x14ac:dyDescent="0.35">
      <c r="A129" s="25" t="s">
        <v>316</v>
      </c>
      <c r="B129" s="25" t="s">
        <v>7</v>
      </c>
      <c r="C129" s="26" t="s">
        <v>325</v>
      </c>
      <c r="D129" s="27">
        <v>46261.916666666701</v>
      </c>
      <c r="E129" s="27">
        <v>46262.229166666701</v>
      </c>
      <c r="F129" s="26" t="s">
        <v>326</v>
      </c>
    </row>
    <row r="130" spans="1:6" s="5" customFormat="1" ht="77.5" x14ac:dyDescent="0.35">
      <c r="A130" s="25" t="s">
        <v>316</v>
      </c>
      <c r="B130" s="25" t="s">
        <v>7</v>
      </c>
      <c r="C130" s="26" t="s">
        <v>327</v>
      </c>
      <c r="D130" s="27">
        <v>46261.916666666701</v>
      </c>
      <c r="E130" s="27">
        <v>46262.229166666701</v>
      </c>
      <c r="F130" s="26" t="s">
        <v>328</v>
      </c>
    </row>
    <row r="131" spans="1:6" s="5" customFormat="1" ht="93" x14ac:dyDescent="0.35">
      <c r="A131" s="25" t="s">
        <v>316</v>
      </c>
      <c r="B131" s="25" t="s">
        <v>8</v>
      </c>
      <c r="C131" s="26" t="s">
        <v>331</v>
      </c>
      <c r="D131" s="27">
        <v>46261.916666666701</v>
      </c>
      <c r="E131" s="27">
        <v>46262.229166666701</v>
      </c>
      <c r="F131" s="26" t="s">
        <v>332</v>
      </c>
    </row>
    <row r="132" spans="1:6" s="5" customFormat="1" ht="62" x14ac:dyDescent="0.35">
      <c r="A132" s="25" t="s">
        <v>316</v>
      </c>
      <c r="B132" s="25" t="s">
        <v>8</v>
      </c>
      <c r="C132" s="26" t="s">
        <v>333</v>
      </c>
      <c r="D132" s="27">
        <v>46261.916666666701</v>
      </c>
      <c r="E132" s="27">
        <v>46262.229166666701</v>
      </c>
      <c r="F132" s="26" t="s">
        <v>334</v>
      </c>
    </row>
    <row r="133" spans="1:6" s="5" customFormat="1" ht="62" x14ac:dyDescent="0.35">
      <c r="A133" s="25" t="s">
        <v>316</v>
      </c>
      <c r="B133" s="25" t="s">
        <v>8</v>
      </c>
      <c r="C133" s="26" t="s">
        <v>337</v>
      </c>
      <c r="D133" s="27">
        <v>46261.916666666701</v>
      </c>
      <c r="E133" s="27">
        <v>46262.229166666701</v>
      </c>
      <c r="F133" s="26" t="s">
        <v>338</v>
      </c>
    </row>
    <row r="134" spans="1:6" s="5" customFormat="1" ht="77.5" x14ac:dyDescent="0.35">
      <c r="A134" s="25" t="s">
        <v>316</v>
      </c>
      <c r="B134" s="25" t="s">
        <v>8</v>
      </c>
      <c r="C134" s="26" t="s">
        <v>345</v>
      </c>
      <c r="D134" s="27">
        <v>46261.916666666701</v>
      </c>
      <c r="E134" s="27">
        <v>46262.229166666701</v>
      </c>
      <c r="F134" s="26" t="s">
        <v>344</v>
      </c>
    </row>
    <row r="135" spans="1:6" s="5" customFormat="1" ht="77.5" x14ac:dyDescent="0.35">
      <c r="A135" s="25" t="s">
        <v>316</v>
      </c>
      <c r="B135" s="25" t="s">
        <v>8</v>
      </c>
      <c r="C135" s="26" t="s">
        <v>346</v>
      </c>
      <c r="D135" s="27">
        <v>46261.916666666701</v>
      </c>
      <c r="E135" s="27">
        <v>46262.229166666701</v>
      </c>
      <c r="F135" s="26" t="s">
        <v>347</v>
      </c>
    </row>
    <row r="136" spans="1:6" s="5" customFormat="1" ht="31" x14ac:dyDescent="0.35">
      <c r="A136" s="25" t="s">
        <v>277</v>
      </c>
      <c r="B136" s="25" t="s">
        <v>5</v>
      </c>
      <c r="C136" s="26" t="s">
        <v>278</v>
      </c>
      <c r="D136" s="27">
        <v>46261.875</v>
      </c>
      <c r="E136" s="27">
        <v>46262.25</v>
      </c>
      <c r="F136" s="26" t="s">
        <v>279</v>
      </c>
    </row>
    <row r="137" spans="1:6" s="5" customFormat="1" ht="62" x14ac:dyDescent="0.35">
      <c r="A137" s="25" t="s">
        <v>268</v>
      </c>
      <c r="B137" s="25" t="s">
        <v>2</v>
      </c>
      <c r="C137" s="26" t="s">
        <v>269</v>
      </c>
      <c r="D137" s="27">
        <v>46237.25</v>
      </c>
      <c r="E137" s="27">
        <v>46692.25</v>
      </c>
      <c r="F137" s="26" t="s">
        <v>270</v>
      </c>
    </row>
    <row r="138" spans="1:6" s="5" customFormat="1" ht="77.5" x14ac:dyDescent="0.35">
      <c r="A138" s="25" t="s">
        <v>268</v>
      </c>
      <c r="B138" s="25" t="s">
        <v>4</v>
      </c>
      <c r="C138" s="26" t="s">
        <v>322</v>
      </c>
      <c r="D138" s="27">
        <v>46261.916666666701</v>
      </c>
      <c r="E138" s="27">
        <v>46262.229166666701</v>
      </c>
      <c r="F138" s="26" t="s">
        <v>323</v>
      </c>
    </row>
    <row r="139" spans="1:6" s="5" customFormat="1" ht="139.5" x14ac:dyDescent="0.35">
      <c r="A139" s="25" t="s">
        <v>368</v>
      </c>
      <c r="B139" s="25" t="s">
        <v>2</v>
      </c>
      <c r="C139" s="26" t="s">
        <v>369</v>
      </c>
      <c r="D139" s="27">
        <v>46261.895833333299</v>
      </c>
      <c r="E139" s="27">
        <v>46262.25</v>
      </c>
      <c r="F139" s="26" t="s">
        <v>370</v>
      </c>
    </row>
    <row r="140" spans="1:6" s="5" customFormat="1" ht="139.5" x14ac:dyDescent="0.35">
      <c r="A140" s="25" t="s">
        <v>368</v>
      </c>
      <c r="B140" s="25" t="s">
        <v>2</v>
      </c>
      <c r="C140" s="26" t="s">
        <v>371</v>
      </c>
      <c r="D140" s="27">
        <v>46261.895833333299</v>
      </c>
      <c r="E140" s="27">
        <v>46262.25</v>
      </c>
      <c r="F140" s="26" t="s">
        <v>370</v>
      </c>
    </row>
    <row r="141" spans="1:6" s="5" customFormat="1" ht="31" x14ac:dyDescent="0.35">
      <c r="A141" s="25" t="s">
        <v>280</v>
      </c>
      <c r="B141" s="25" t="s">
        <v>5</v>
      </c>
      <c r="C141" s="26" t="s">
        <v>281</v>
      </c>
      <c r="D141" s="27">
        <v>46261.875</v>
      </c>
      <c r="E141" s="27">
        <v>46262.25</v>
      </c>
      <c r="F141" s="26" t="s">
        <v>282</v>
      </c>
    </row>
    <row r="142" spans="1:6" s="5" customFormat="1" ht="62" x14ac:dyDescent="0.35">
      <c r="A142" s="25" t="s">
        <v>61</v>
      </c>
      <c r="B142" s="25" t="s">
        <v>2</v>
      </c>
      <c r="C142" s="26" t="s">
        <v>62</v>
      </c>
      <c r="D142" s="27">
        <v>46261.927083333299</v>
      </c>
      <c r="E142" s="27">
        <v>46262.25</v>
      </c>
      <c r="F142" s="26" t="s">
        <v>63</v>
      </c>
    </row>
    <row r="143" spans="1:6" s="5" customFormat="1" ht="62" x14ac:dyDescent="0.35">
      <c r="A143" s="25" t="s">
        <v>61</v>
      </c>
      <c r="B143" s="25" t="s">
        <v>2</v>
      </c>
      <c r="C143" s="26" t="s">
        <v>64</v>
      </c>
      <c r="D143" s="27">
        <v>46261.927083333299</v>
      </c>
      <c r="E143" s="27">
        <v>46262.25</v>
      </c>
      <c r="F143" s="26" t="s">
        <v>63</v>
      </c>
    </row>
    <row r="144" spans="1:6" s="5" customFormat="1" ht="62" x14ac:dyDescent="0.35">
      <c r="A144" s="25" t="s">
        <v>61</v>
      </c>
      <c r="B144" s="25" t="s">
        <v>2</v>
      </c>
      <c r="C144" s="26" t="s">
        <v>65</v>
      </c>
      <c r="D144" s="27">
        <v>46261.927083333299</v>
      </c>
      <c r="E144" s="27">
        <v>46262.25</v>
      </c>
      <c r="F144" s="26" t="s">
        <v>63</v>
      </c>
    </row>
    <row r="145" spans="1:6" s="5" customFormat="1" ht="62" x14ac:dyDescent="0.35">
      <c r="A145" s="25" t="s">
        <v>61</v>
      </c>
      <c r="B145" s="25" t="s">
        <v>2</v>
      </c>
      <c r="C145" s="26" t="s">
        <v>66</v>
      </c>
      <c r="D145" s="27">
        <v>46261.927083333299</v>
      </c>
      <c r="E145" s="27">
        <v>46262.25</v>
      </c>
      <c r="F145" s="26" t="s">
        <v>63</v>
      </c>
    </row>
    <row r="146" spans="1:6" s="5" customFormat="1" ht="62" x14ac:dyDescent="0.35">
      <c r="A146" s="25" t="s">
        <v>61</v>
      </c>
      <c r="B146" s="25" t="s">
        <v>2</v>
      </c>
      <c r="C146" s="26" t="s">
        <v>67</v>
      </c>
      <c r="D146" s="27">
        <v>46261.927083333299</v>
      </c>
      <c r="E146" s="27">
        <v>46262.25</v>
      </c>
      <c r="F146" s="26" t="s">
        <v>63</v>
      </c>
    </row>
    <row r="147" spans="1:6" s="5" customFormat="1" ht="62" x14ac:dyDescent="0.35">
      <c r="A147" s="25" t="s">
        <v>61</v>
      </c>
      <c r="B147" s="25" t="s">
        <v>2</v>
      </c>
      <c r="C147" s="26" t="s">
        <v>68</v>
      </c>
      <c r="D147" s="27">
        <v>46261.927083333299</v>
      </c>
      <c r="E147" s="27">
        <v>46262.25</v>
      </c>
      <c r="F147" s="26" t="s">
        <v>63</v>
      </c>
    </row>
    <row r="148" spans="1:6" s="5" customFormat="1" ht="93" x14ac:dyDescent="0.35">
      <c r="A148" s="25" t="s">
        <v>61</v>
      </c>
      <c r="B148" s="25" t="s">
        <v>2</v>
      </c>
      <c r="C148" s="26" t="s">
        <v>69</v>
      </c>
      <c r="D148" s="27">
        <v>46261.927083333299</v>
      </c>
      <c r="E148" s="27">
        <v>46262.25</v>
      </c>
      <c r="F148" s="26" t="s">
        <v>70</v>
      </c>
    </row>
    <row r="149" spans="1:6" s="5" customFormat="1" ht="77.5" x14ac:dyDescent="0.35">
      <c r="A149" s="25" t="s">
        <v>360</v>
      </c>
      <c r="B149" s="25" t="s">
        <v>2</v>
      </c>
      <c r="C149" s="26" t="s">
        <v>361</v>
      </c>
      <c r="D149" s="27">
        <v>46261.916666666701</v>
      </c>
      <c r="E149" s="27">
        <v>46262.25</v>
      </c>
      <c r="F149" s="26" t="s">
        <v>362</v>
      </c>
    </row>
    <row r="150" spans="1:6" s="5" customFormat="1" ht="46.5" x14ac:dyDescent="0.35">
      <c r="A150" s="25" t="s">
        <v>360</v>
      </c>
      <c r="B150" s="25" t="s">
        <v>6</v>
      </c>
      <c r="C150" s="26" t="s">
        <v>366</v>
      </c>
      <c r="D150" s="27">
        <v>46261.895833333299</v>
      </c>
      <c r="E150" s="27">
        <v>46262.25</v>
      </c>
      <c r="F150" s="26" t="s">
        <v>367</v>
      </c>
    </row>
    <row r="151" spans="1:6" s="5" customFormat="1" ht="62" x14ac:dyDescent="0.35">
      <c r="A151" s="25" t="s">
        <v>360</v>
      </c>
      <c r="B151" s="25" t="s">
        <v>2</v>
      </c>
      <c r="C151" s="26" t="s">
        <v>382</v>
      </c>
      <c r="D151" s="27">
        <v>46261.916666666701</v>
      </c>
      <c r="E151" s="27">
        <v>46262.25</v>
      </c>
      <c r="F151" s="26" t="s">
        <v>383</v>
      </c>
    </row>
    <row r="152" spans="1:6" s="5" customFormat="1" ht="46.5" x14ac:dyDescent="0.35">
      <c r="A152" s="25" t="s">
        <v>195</v>
      </c>
      <c r="B152" s="25" t="s">
        <v>6</v>
      </c>
      <c r="C152" s="26" t="s">
        <v>196</v>
      </c>
      <c r="D152" s="27">
        <v>46261.833333333299</v>
      </c>
      <c r="E152" s="27">
        <v>46262.25</v>
      </c>
      <c r="F152" s="26" t="s">
        <v>197</v>
      </c>
    </row>
    <row r="153" spans="1:6" s="5" customFormat="1" ht="46.5" x14ac:dyDescent="0.35">
      <c r="A153" s="25" t="s">
        <v>195</v>
      </c>
      <c r="B153" s="25" t="s">
        <v>6</v>
      </c>
      <c r="C153" s="26" t="s">
        <v>198</v>
      </c>
      <c r="D153" s="27">
        <v>46261.833333333299</v>
      </c>
      <c r="E153" s="27">
        <v>46262.25</v>
      </c>
      <c r="F153" s="26" t="s">
        <v>197</v>
      </c>
    </row>
    <row r="154" spans="1:6" s="5" customFormat="1" ht="46.5" x14ac:dyDescent="0.35">
      <c r="A154" s="25" t="s">
        <v>195</v>
      </c>
      <c r="B154" s="25" t="s">
        <v>6</v>
      </c>
      <c r="C154" s="26" t="s">
        <v>199</v>
      </c>
      <c r="D154" s="27">
        <v>46261.833333333299</v>
      </c>
      <c r="E154" s="27">
        <v>46262.25</v>
      </c>
      <c r="F154" s="26" t="s">
        <v>197</v>
      </c>
    </row>
    <row r="155" spans="1:6" s="5" customFormat="1" ht="46.5" x14ac:dyDescent="0.35">
      <c r="A155" s="25" t="s">
        <v>195</v>
      </c>
      <c r="B155" s="25" t="s">
        <v>6</v>
      </c>
      <c r="C155" s="26" t="s">
        <v>200</v>
      </c>
      <c r="D155" s="27">
        <v>46261.833333333299</v>
      </c>
      <c r="E155" s="27">
        <v>46262.25</v>
      </c>
      <c r="F155" s="26" t="s">
        <v>197</v>
      </c>
    </row>
    <row r="156" spans="1:6" s="5" customFormat="1" ht="46.5" x14ac:dyDescent="0.35">
      <c r="A156" s="25" t="s">
        <v>195</v>
      </c>
      <c r="B156" s="25" t="s">
        <v>6</v>
      </c>
      <c r="C156" s="26" t="s">
        <v>201</v>
      </c>
      <c r="D156" s="27">
        <v>46261.833333333299</v>
      </c>
      <c r="E156" s="27">
        <v>46262.25</v>
      </c>
      <c r="F156" s="26" t="s">
        <v>197</v>
      </c>
    </row>
    <row r="157" spans="1:6" s="5" customFormat="1" ht="46.5" x14ac:dyDescent="0.35">
      <c r="A157" s="25" t="s">
        <v>195</v>
      </c>
      <c r="B157" s="25" t="s">
        <v>6</v>
      </c>
      <c r="C157" s="26" t="s">
        <v>202</v>
      </c>
      <c r="D157" s="27">
        <v>46261.833333333299</v>
      </c>
      <c r="E157" s="27">
        <v>46262.25</v>
      </c>
      <c r="F157" s="26" t="s">
        <v>197</v>
      </c>
    </row>
    <row r="158" spans="1:6" s="5" customFormat="1" ht="46.5" x14ac:dyDescent="0.35">
      <c r="A158" s="25" t="s">
        <v>195</v>
      </c>
      <c r="B158" s="25" t="s">
        <v>6</v>
      </c>
      <c r="C158" s="26" t="s">
        <v>203</v>
      </c>
      <c r="D158" s="27">
        <v>46261.833333333299</v>
      </c>
      <c r="E158" s="27">
        <v>46262.25</v>
      </c>
      <c r="F158" s="26" t="s">
        <v>197</v>
      </c>
    </row>
    <row r="159" spans="1:6" s="5" customFormat="1" ht="46.5" x14ac:dyDescent="0.35">
      <c r="A159" s="25" t="s">
        <v>221</v>
      </c>
      <c r="B159" s="25" t="s">
        <v>5</v>
      </c>
      <c r="C159" s="26" t="s">
        <v>222</v>
      </c>
      <c r="D159" s="27">
        <v>46261.916666666701</v>
      </c>
      <c r="E159" s="27">
        <v>46262.25</v>
      </c>
      <c r="F159" s="26" t="s">
        <v>223</v>
      </c>
    </row>
    <row r="160" spans="1:6" s="5" customFormat="1" ht="46.5" x14ac:dyDescent="0.35">
      <c r="A160" s="25" t="s">
        <v>221</v>
      </c>
      <c r="B160" s="25" t="s">
        <v>5</v>
      </c>
      <c r="C160" s="26" t="s">
        <v>224</v>
      </c>
      <c r="D160" s="27">
        <v>46261.916666666701</v>
      </c>
      <c r="E160" s="27">
        <v>46262.25</v>
      </c>
      <c r="F160" s="26" t="s">
        <v>223</v>
      </c>
    </row>
    <row r="161" spans="1:6" s="5" customFormat="1" ht="46.5" x14ac:dyDescent="0.35">
      <c r="A161" s="25" t="s">
        <v>221</v>
      </c>
      <c r="B161" s="25" t="s">
        <v>5</v>
      </c>
      <c r="C161" s="26" t="s">
        <v>225</v>
      </c>
      <c r="D161" s="27">
        <v>46261.916666666701</v>
      </c>
      <c r="E161" s="27">
        <v>46262.25</v>
      </c>
      <c r="F161" s="26" t="s">
        <v>223</v>
      </c>
    </row>
    <row r="162" spans="1:6" s="5" customFormat="1" ht="46.5" x14ac:dyDescent="0.35">
      <c r="A162" s="25" t="s">
        <v>221</v>
      </c>
      <c r="B162" s="25" t="s">
        <v>5</v>
      </c>
      <c r="C162" s="26" t="s">
        <v>243</v>
      </c>
      <c r="D162" s="27">
        <v>46261.895833333299</v>
      </c>
      <c r="E162" s="27">
        <v>46262.25</v>
      </c>
      <c r="F162" s="26" t="s">
        <v>244</v>
      </c>
    </row>
    <row r="163" spans="1:6" s="5" customFormat="1" ht="46.5" x14ac:dyDescent="0.35">
      <c r="A163" s="25" t="s">
        <v>221</v>
      </c>
      <c r="B163" s="25" t="s">
        <v>4</v>
      </c>
      <c r="C163" s="26" t="s">
        <v>245</v>
      </c>
      <c r="D163" s="27">
        <v>46261.875</v>
      </c>
      <c r="E163" s="27">
        <v>46262.25</v>
      </c>
      <c r="F163" s="26" t="s">
        <v>246</v>
      </c>
    </row>
    <row r="164" spans="1:6" s="5" customFormat="1" ht="46.5" x14ac:dyDescent="0.35">
      <c r="A164" s="25" t="s">
        <v>192</v>
      </c>
      <c r="B164" s="25" t="s">
        <v>6</v>
      </c>
      <c r="C164" s="26" t="s">
        <v>193</v>
      </c>
      <c r="D164" s="27">
        <v>45804.208333333299</v>
      </c>
      <c r="E164" s="27">
        <v>46418.208333333299</v>
      </c>
      <c r="F164" s="26" t="s">
        <v>194</v>
      </c>
    </row>
    <row r="165" spans="1:6" s="5" customFormat="1" ht="46.5" x14ac:dyDescent="0.35">
      <c r="A165" s="25" t="s">
        <v>192</v>
      </c>
      <c r="B165" s="25" t="s">
        <v>2</v>
      </c>
      <c r="C165" s="26" t="s">
        <v>241</v>
      </c>
      <c r="D165" s="27">
        <v>46261.833333333299</v>
      </c>
      <c r="E165" s="27">
        <v>46262.25</v>
      </c>
      <c r="F165" s="26" t="s">
        <v>242</v>
      </c>
    </row>
    <row r="166" spans="1:6" s="5" customFormat="1" ht="46.5" x14ac:dyDescent="0.35">
      <c r="A166" s="25" t="s">
        <v>226</v>
      </c>
      <c r="B166" s="25" t="s">
        <v>5</v>
      </c>
      <c r="C166" s="26" t="s">
        <v>227</v>
      </c>
      <c r="D166" s="27">
        <v>46261.875</v>
      </c>
      <c r="E166" s="27">
        <v>46262.208333333299</v>
      </c>
      <c r="F166" s="26" t="s">
        <v>228</v>
      </c>
    </row>
    <row r="167" spans="1:6" s="5" customFormat="1" ht="46.5" x14ac:dyDescent="0.35">
      <c r="A167" s="25" t="s">
        <v>226</v>
      </c>
      <c r="B167" s="25" t="s">
        <v>5</v>
      </c>
      <c r="C167" s="26" t="s">
        <v>229</v>
      </c>
      <c r="D167" s="27">
        <v>46261.875</v>
      </c>
      <c r="E167" s="27">
        <v>46262.208333333299</v>
      </c>
      <c r="F167" s="26" t="s">
        <v>228</v>
      </c>
    </row>
    <row r="168" spans="1:6" s="5" customFormat="1" ht="62" x14ac:dyDescent="0.35">
      <c r="A168" s="25" t="s">
        <v>226</v>
      </c>
      <c r="B168" s="25" t="s">
        <v>4</v>
      </c>
      <c r="C168" s="26" t="s">
        <v>255</v>
      </c>
      <c r="D168" s="27">
        <v>46261.875</v>
      </c>
      <c r="E168" s="27">
        <v>46262.25</v>
      </c>
      <c r="F168" s="26" t="s">
        <v>256</v>
      </c>
    </row>
    <row r="169" spans="1:6" s="5" customFormat="1" ht="62" x14ac:dyDescent="0.35">
      <c r="A169" s="25" t="s">
        <v>226</v>
      </c>
      <c r="B169" s="25" t="s">
        <v>4</v>
      </c>
      <c r="C169" s="26" t="s">
        <v>257</v>
      </c>
      <c r="D169" s="27">
        <v>46261.875</v>
      </c>
      <c r="E169" s="27">
        <v>46262.25</v>
      </c>
      <c r="F169" s="26" t="s">
        <v>256</v>
      </c>
    </row>
    <row r="170" spans="1:6" ht="62" x14ac:dyDescent="0.35">
      <c r="A170" s="25" t="s">
        <v>226</v>
      </c>
      <c r="B170" s="25" t="s">
        <v>4</v>
      </c>
      <c r="C170" s="26" t="s">
        <v>258</v>
      </c>
      <c r="D170" s="27">
        <v>46261.875</v>
      </c>
      <c r="E170" s="27">
        <v>46262.25</v>
      </c>
      <c r="F170" s="26" t="s">
        <v>256</v>
      </c>
    </row>
    <row r="171" spans="1:6" ht="62" x14ac:dyDescent="0.35">
      <c r="A171" s="25" t="s">
        <v>226</v>
      </c>
      <c r="B171" s="25" t="s">
        <v>4</v>
      </c>
      <c r="C171" s="26" t="s">
        <v>259</v>
      </c>
      <c r="D171" s="27">
        <v>46261.875</v>
      </c>
      <c r="E171" s="27">
        <v>46262.25</v>
      </c>
      <c r="F171" s="26" t="s">
        <v>256</v>
      </c>
    </row>
    <row r="172" spans="1:6" ht="46.5" x14ac:dyDescent="0.35">
      <c r="A172" s="25" t="s">
        <v>211</v>
      </c>
      <c r="B172" s="25" t="s">
        <v>6</v>
      </c>
      <c r="C172" s="26" t="s">
        <v>212</v>
      </c>
      <c r="D172" s="27">
        <v>46261.875</v>
      </c>
      <c r="E172" s="27">
        <v>46262.208333333299</v>
      </c>
      <c r="F172" s="26" t="s">
        <v>213</v>
      </c>
    </row>
    <row r="173" spans="1:6" ht="46.5" x14ac:dyDescent="0.35">
      <c r="A173" s="25" t="s">
        <v>211</v>
      </c>
      <c r="B173" s="25" t="s">
        <v>6</v>
      </c>
      <c r="C173" s="26" t="s">
        <v>214</v>
      </c>
      <c r="D173" s="27">
        <v>46261.875</v>
      </c>
      <c r="E173" s="27">
        <v>46262.208333333299</v>
      </c>
      <c r="F173" s="26" t="s">
        <v>213</v>
      </c>
    </row>
    <row r="174" spans="1:6" ht="62" x14ac:dyDescent="0.35">
      <c r="A174" s="25" t="s">
        <v>211</v>
      </c>
      <c r="B174" s="25" t="s">
        <v>2</v>
      </c>
      <c r="C174" s="26" t="s">
        <v>260</v>
      </c>
      <c r="D174" s="27">
        <v>46261.875</v>
      </c>
      <c r="E174" s="27">
        <v>46262.25</v>
      </c>
      <c r="F174" s="26" t="s">
        <v>256</v>
      </c>
    </row>
    <row r="175" spans="1:6" ht="62" x14ac:dyDescent="0.35">
      <c r="A175" s="25" t="s">
        <v>211</v>
      </c>
      <c r="B175" s="25" t="s">
        <v>6</v>
      </c>
      <c r="C175" s="26" t="s">
        <v>261</v>
      </c>
      <c r="D175" s="27">
        <v>46261.875</v>
      </c>
      <c r="E175" s="27">
        <v>46262.25</v>
      </c>
      <c r="F175" s="26" t="s">
        <v>256</v>
      </c>
    </row>
    <row r="176" spans="1:6" ht="62" x14ac:dyDescent="0.35">
      <c r="A176" s="25" t="s">
        <v>211</v>
      </c>
      <c r="B176" s="25" t="s">
        <v>6</v>
      </c>
      <c r="C176" s="26" t="s">
        <v>264</v>
      </c>
      <c r="D176" s="27">
        <v>46261.833333333299</v>
      </c>
      <c r="E176" s="27">
        <v>46262.25</v>
      </c>
      <c r="F176" s="26" t="s">
        <v>265</v>
      </c>
    </row>
    <row r="177" spans="1:6" ht="62" x14ac:dyDescent="0.35">
      <c r="A177" s="25" t="s">
        <v>211</v>
      </c>
      <c r="B177" s="25" t="s">
        <v>2</v>
      </c>
      <c r="C177" s="26" t="s">
        <v>266</v>
      </c>
      <c r="D177" s="27">
        <v>46261.916666666701</v>
      </c>
      <c r="E177" s="27">
        <v>46262.25</v>
      </c>
      <c r="F177" s="26" t="s">
        <v>267</v>
      </c>
    </row>
    <row r="178" spans="1:6" ht="77.5" x14ac:dyDescent="0.35">
      <c r="A178" s="25" t="s">
        <v>211</v>
      </c>
      <c r="B178" s="25" t="s">
        <v>2</v>
      </c>
      <c r="C178" s="26" t="s">
        <v>384</v>
      </c>
      <c r="D178" s="27">
        <v>46261.875</v>
      </c>
      <c r="E178" s="27">
        <v>46262.25</v>
      </c>
      <c r="F178" s="26" t="s">
        <v>385</v>
      </c>
    </row>
    <row r="179" spans="1:6" ht="77.5" x14ac:dyDescent="0.35">
      <c r="A179" s="25" t="s">
        <v>211</v>
      </c>
      <c r="B179" s="25" t="s">
        <v>2</v>
      </c>
      <c r="C179" s="26" t="s">
        <v>386</v>
      </c>
      <c r="D179" s="27">
        <v>46261.875</v>
      </c>
      <c r="E179" s="27">
        <v>46262.25</v>
      </c>
      <c r="F179" s="26" t="s">
        <v>385</v>
      </c>
    </row>
    <row r="180" spans="1:6" ht="77.5" x14ac:dyDescent="0.35">
      <c r="A180" s="25" t="s">
        <v>211</v>
      </c>
      <c r="B180" s="25" t="s">
        <v>2</v>
      </c>
      <c r="C180" s="26" t="s">
        <v>387</v>
      </c>
      <c r="D180" s="27">
        <v>46261.875</v>
      </c>
      <c r="E180" s="27">
        <v>46262.25</v>
      </c>
      <c r="F180" s="26" t="s">
        <v>385</v>
      </c>
    </row>
    <row r="181" spans="1:6" ht="46.5" x14ac:dyDescent="0.35">
      <c r="A181" s="25" t="s">
        <v>235</v>
      </c>
      <c r="B181" s="25" t="s">
        <v>7</v>
      </c>
      <c r="C181" s="26" t="s">
        <v>236</v>
      </c>
      <c r="D181" s="27">
        <v>46261.833333333299</v>
      </c>
      <c r="E181" s="27">
        <v>46262.25</v>
      </c>
      <c r="F181" s="26" t="s">
        <v>237</v>
      </c>
    </row>
    <row r="182" spans="1:6" ht="46.5" x14ac:dyDescent="0.35">
      <c r="A182" s="25" t="s">
        <v>235</v>
      </c>
      <c r="B182" s="25" t="s">
        <v>7</v>
      </c>
      <c r="C182" s="26" t="s">
        <v>238</v>
      </c>
      <c r="D182" s="27">
        <v>46261.833333333299</v>
      </c>
      <c r="E182" s="27">
        <v>46262.25</v>
      </c>
      <c r="F182" s="26" t="s">
        <v>237</v>
      </c>
    </row>
    <row r="183" spans="1:6" ht="46.5" x14ac:dyDescent="0.35">
      <c r="A183" s="25" t="s">
        <v>235</v>
      </c>
      <c r="B183" s="25" t="s">
        <v>8</v>
      </c>
      <c r="C183" s="26" t="s">
        <v>239</v>
      </c>
      <c r="D183" s="27">
        <v>46261.833333333299</v>
      </c>
      <c r="E183" s="27">
        <v>46262.25</v>
      </c>
      <c r="F183" s="26" t="s">
        <v>237</v>
      </c>
    </row>
    <row r="184" spans="1:6" ht="46.5" x14ac:dyDescent="0.35">
      <c r="A184" s="25" t="s">
        <v>235</v>
      </c>
      <c r="B184" s="25" t="s">
        <v>8</v>
      </c>
      <c r="C184" s="26" t="s">
        <v>240</v>
      </c>
      <c r="D184" s="27">
        <v>46261.833333333299</v>
      </c>
      <c r="E184" s="27">
        <v>46262.25</v>
      </c>
      <c r="F184" s="26" t="s">
        <v>237</v>
      </c>
    </row>
    <row r="185" spans="1:6" ht="46.5" x14ac:dyDescent="0.35">
      <c r="A185" s="25" t="s">
        <v>235</v>
      </c>
      <c r="B185" s="25" t="s">
        <v>7</v>
      </c>
      <c r="C185" s="26" t="s">
        <v>247</v>
      </c>
      <c r="D185" s="27">
        <v>46261.875</v>
      </c>
      <c r="E185" s="27">
        <v>46262.25</v>
      </c>
      <c r="F185" s="26" t="s">
        <v>248</v>
      </c>
    </row>
    <row r="186" spans="1:6" ht="46.5" x14ac:dyDescent="0.35">
      <c r="A186" s="25" t="s">
        <v>235</v>
      </c>
      <c r="B186" s="25" t="s">
        <v>7</v>
      </c>
      <c r="C186" s="26" t="s">
        <v>249</v>
      </c>
      <c r="D186" s="27">
        <v>46261.875</v>
      </c>
      <c r="E186" s="27">
        <v>46262.25</v>
      </c>
      <c r="F186" s="26" t="s">
        <v>248</v>
      </c>
    </row>
    <row r="187" spans="1:6" ht="46.5" x14ac:dyDescent="0.35">
      <c r="A187" s="25" t="s">
        <v>235</v>
      </c>
      <c r="B187" s="25" t="s">
        <v>7</v>
      </c>
      <c r="C187" s="26" t="s">
        <v>251</v>
      </c>
      <c r="D187" s="27">
        <v>46261.875</v>
      </c>
      <c r="E187" s="27">
        <v>46262.25</v>
      </c>
      <c r="F187" s="26" t="s">
        <v>248</v>
      </c>
    </row>
    <row r="188" spans="1:6" ht="77.5" x14ac:dyDescent="0.35">
      <c r="A188" s="25" t="s">
        <v>140</v>
      </c>
      <c r="B188" s="25" t="s">
        <v>6</v>
      </c>
      <c r="C188" s="26" t="s">
        <v>141</v>
      </c>
      <c r="D188" s="27">
        <v>46261.833333333299</v>
      </c>
      <c r="E188" s="27">
        <v>46262.25</v>
      </c>
      <c r="F188" s="26" t="s">
        <v>142</v>
      </c>
    </row>
    <row r="189" spans="1:6" ht="77.5" x14ac:dyDescent="0.35">
      <c r="A189" s="25" t="s">
        <v>140</v>
      </c>
      <c r="B189" s="25" t="s">
        <v>6</v>
      </c>
      <c r="C189" s="26" t="s">
        <v>143</v>
      </c>
      <c r="D189" s="27">
        <v>46261.833333333299</v>
      </c>
      <c r="E189" s="27">
        <v>46262.25</v>
      </c>
      <c r="F189" s="26" t="s">
        <v>142</v>
      </c>
    </row>
    <row r="190" spans="1:6" ht="77.5" x14ac:dyDescent="0.35">
      <c r="A190" s="25" t="s">
        <v>140</v>
      </c>
      <c r="B190" s="25" t="s">
        <v>6</v>
      </c>
      <c r="C190" s="26" t="s">
        <v>144</v>
      </c>
      <c r="D190" s="27">
        <v>46261.833333333299</v>
      </c>
      <c r="E190" s="27">
        <v>46262.25</v>
      </c>
      <c r="F190" s="26" t="s">
        <v>142</v>
      </c>
    </row>
    <row r="191" spans="1:6" ht="77.5" x14ac:dyDescent="0.35">
      <c r="A191" s="25" t="s">
        <v>140</v>
      </c>
      <c r="B191" s="25" t="s">
        <v>6</v>
      </c>
      <c r="C191" s="26" t="s">
        <v>145</v>
      </c>
      <c r="D191" s="27">
        <v>46261.833333333299</v>
      </c>
      <c r="E191" s="27">
        <v>46262.25</v>
      </c>
      <c r="F191" s="26" t="s">
        <v>142</v>
      </c>
    </row>
    <row r="192" spans="1:6" ht="77.5" x14ac:dyDescent="0.35">
      <c r="A192" s="25" t="s">
        <v>140</v>
      </c>
      <c r="B192" s="25" t="s">
        <v>6</v>
      </c>
      <c r="C192" s="26" t="s">
        <v>146</v>
      </c>
      <c r="D192" s="27">
        <v>46261.833333333299</v>
      </c>
      <c r="E192" s="27">
        <v>46262.25</v>
      </c>
      <c r="F192" s="26" t="s">
        <v>142</v>
      </c>
    </row>
    <row r="193" spans="1:6" ht="77.5" x14ac:dyDescent="0.35">
      <c r="A193" s="25" t="s">
        <v>140</v>
      </c>
      <c r="B193" s="25" t="s">
        <v>6</v>
      </c>
      <c r="C193" s="26" t="s">
        <v>147</v>
      </c>
      <c r="D193" s="27">
        <v>46261.833333333299</v>
      </c>
      <c r="E193" s="27">
        <v>46262.25</v>
      </c>
      <c r="F193" s="26" t="s">
        <v>142</v>
      </c>
    </row>
    <row r="194" spans="1:6" ht="62" x14ac:dyDescent="0.35">
      <c r="A194" s="25" t="s">
        <v>204</v>
      </c>
      <c r="B194" s="25" t="s">
        <v>2</v>
      </c>
      <c r="C194" s="26" t="s">
        <v>205</v>
      </c>
      <c r="D194" s="27">
        <v>46261.875</v>
      </c>
      <c r="E194" s="27">
        <v>46262.25</v>
      </c>
      <c r="F194" s="26" t="s">
        <v>206</v>
      </c>
    </row>
    <row r="195" spans="1:6" ht="46.5" x14ac:dyDescent="0.35">
      <c r="A195" s="25" t="s">
        <v>204</v>
      </c>
      <c r="B195" s="25" t="s">
        <v>6</v>
      </c>
      <c r="C195" s="26" t="s">
        <v>254</v>
      </c>
      <c r="D195" s="27">
        <v>46261.875</v>
      </c>
      <c r="E195" s="27">
        <v>46262.208333333299</v>
      </c>
      <c r="F195" s="26" t="s">
        <v>253</v>
      </c>
    </row>
    <row r="196" spans="1:6" ht="62" x14ac:dyDescent="0.35">
      <c r="A196" s="25" t="s">
        <v>109</v>
      </c>
      <c r="B196" s="25" t="s">
        <v>4</v>
      </c>
      <c r="C196" s="26" t="s">
        <v>110</v>
      </c>
      <c r="D196" s="27">
        <v>46261.833333333299</v>
      </c>
      <c r="E196" s="27">
        <v>46262.25</v>
      </c>
      <c r="F196" s="26" t="s">
        <v>111</v>
      </c>
    </row>
    <row r="197" spans="1:6" ht="62" x14ac:dyDescent="0.35">
      <c r="A197" s="25" t="s">
        <v>109</v>
      </c>
      <c r="B197" s="25" t="s">
        <v>4</v>
      </c>
      <c r="C197" s="26" t="s">
        <v>112</v>
      </c>
      <c r="D197" s="27">
        <v>46261.833333333299</v>
      </c>
      <c r="E197" s="27">
        <v>46262.25</v>
      </c>
      <c r="F197" s="26" t="s">
        <v>111</v>
      </c>
    </row>
    <row r="198" spans="1:6" ht="62" x14ac:dyDescent="0.35">
      <c r="A198" s="25" t="s">
        <v>109</v>
      </c>
      <c r="B198" s="25" t="s">
        <v>4</v>
      </c>
      <c r="C198" s="26" t="s">
        <v>113</v>
      </c>
      <c r="D198" s="27">
        <v>46261.833333333299</v>
      </c>
      <c r="E198" s="27">
        <v>46262.25</v>
      </c>
      <c r="F198" s="26" t="s">
        <v>111</v>
      </c>
    </row>
    <row r="199" spans="1:6" ht="62" x14ac:dyDescent="0.35">
      <c r="A199" s="25" t="s">
        <v>109</v>
      </c>
      <c r="B199" s="25" t="s">
        <v>4</v>
      </c>
      <c r="C199" s="26" t="s">
        <v>114</v>
      </c>
      <c r="D199" s="27">
        <v>46261.833333333299</v>
      </c>
      <c r="E199" s="27">
        <v>46262.25</v>
      </c>
      <c r="F199" s="26" t="s">
        <v>111</v>
      </c>
    </row>
    <row r="200" spans="1:6" ht="62" x14ac:dyDescent="0.35">
      <c r="A200" s="25" t="s">
        <v>109</v>
      </c>
      <c r="B200" s="25" t="s">
        <v>5</v>
      </c>
      <c r="C200" s="26" t="s">
        <v>115</v>
      </c>
      <c r="D200" s="27">
        <v>46261.833333333299</v>
      </c>
      <c r="E200" s="27">
        <v>46262.25</v>
      </c>
      <c r="F200" s="26" t="s">
        <v>111</v>
      </c>
    </row>
    <row r="201" spans="1:6" ht="62" x14ac:dyDescent="0.35">
      <c r="A201" s="25" t="s">
        <v>109</v>
      </c>
      <c r="B201" s="25" t="s">
        <v>5</v>
      </c>
      <c r="C201" s="26" t="s">
        <v>116</v>
      </c>
      <c r="D201" s="27">
        <v>46261.833333333299</v>
      </c>
      <c r="E201" s="27">
        <v>46262.25</v>
      </c>
      <c r="F201" s="26" t="s">
        <v>111</v>
      </c>
    </row>
    <row r="202" spans="1:6" ht="62" x14ac:dyDescent="0.35">
      <c r="A202" s="25" t="s">
        <v>109</v>
      </c>
      <c r="B202" s="25" t="s">
        <v>5</v>
      </c>
      <c r="C202" s="26" t="s">
        <v>117</v>
      </c>
      <c r="D202" s="27">
        <v>46261.833333333299</v>
      </c>
      <c r="E202" s="27">
        <v>46262.25</v>
      </c>
      <c r="F202" s="26" t="s">
        <v>111</v>
      </c>
    </row>
    <row r="203" spans="1:6" ht="62" x14ac:dyDescent="0.35">
      <c r="A203" s="25" t="s">
        <v>109</v>
      </c>
      <c r="B203" s="25" t="s">
        <v>5</v>
      </c>
      <c r="C203" s="26" t="s">
        <v>118</v>
      </c>
      <c r="D203" s="27">
        <v>46261.833333333299</v>
      </c>
      <c r="E203" s="27">
        <v>46262.25</v>
      </c>
      <c r="F203" s="26" t="s">
        <v>111</v>
      </c>
    </row>
    <row r="204" spans="1:6" ht="77.5" x14ac:dyDescent="0.35">
      <c r="A204" s="25" t="s">
        <v>109</v>
      </c>
      <c r="B204" s="25" t="s">
        <v>4</v>
      </c>
      <c r="C204" s="26" t="s">
        <v>124</v>
      </c>
      <c r="D204" s="27">
        <v>46261.833333333299</v>
      </c>
      <c r="E204" s="27">
        <v>46262.25</v>
      </c>
      <c r="F204" s="26" t="s">
        <v>125</v>
      </c>
    </row>
    <row r="205" spans="1:6" ht="77.5" x14ac:dyDescent="0.35">
      <c r="A205" s="25" t="s">
        <v>109</v>
      </c>
      <c r="B205" s="25" t="s">
        <v>4</v>
      </c>
      <c r="C205" s="26" t="s">
        <v>126</v>
      </c>
      <c r="D205" s="27">
        <v>46261.833333333299</v>
      </c>
      <c r="E205" s="27">
        <v>46262.25</v>
      </c>
      <c r="F205" s="26" t="s">
        <v>125</v>
      </c>
    </row>
    <row r="206" spans="1:6" ht="77.5" x14ac:dyDescent="0.35">
      <c r="A206" s="25" t="s">
        <v>109</v>
      </c>
      <c r="B206" s="25" t="s">
        <v>5</v>
      </c>
      <c r="C206" s="26" t="s">
        <v>127</v>
      </c>
      <c r="D206" s="27">
        <v>46261.833333333299</v>
      </c>
      <c r="E206" s="27">
        <v>46262.25</v>
      </c>
      <c r="F206" s="26" t="s">
        <v>128</v>
      </c>
    </row>
    <row r="207" spans="1:6" ht="77.5" x14ac:dyDescent="0.35">
      <c r="A207" s="25" t="s">
        <v>109</v>
      </c>
      <c r="B207" s="25" t="s">
        <v>5</v>
      </c>
      <c r="C207" s="26" t="s">
        <v>129</v>
      </c>
      <c r="D207" s="27">
        <v>46261.833333333299</v>
      </c>
      <c r="E207" s="27">
        <v>46262.25</v>
      </c>
      <c r="F207" s="26" t="s">
        <v>128</v>
      </c>
    </row>
    <row r="208" spans="1:6" ht="93" x14ac:dyDescent="0.35">
      <c r="A208" s="25" t="s">
        <v>109</v>
      </c>
      <c r="B208" s="25" t="s">
        <v>5</v>
      </c>
      <c r="C208" s="26" t="s">
        <v>130</v>
      </c>
      <c r="D208" s="27">
        <v>46261.833333333299</v>
      </c>
      <c r="E208" s="27">
        <v>46262.25</v>
      </c>
      <c r="F208" s="26" t="s">
        <v>131</v>
      </c>
    </row>
    <row r="209" spans="1:6" ht="93" x14ac:dyDescent="0.35">
      <c r="A209" s="25" t="s">
        <v>109</v>
      </c>
      <c r="B209" s="25" t="s">
        <v>4</v>
      </c>
      <c r="C209" s="26" t="s">
        <v>132</v>
      </c>
      <c r="D209" s="27">
        <v>46261.833333333299</v>
      </c>
      <c r="E209" s="27">
        <v>46262.25</v>
      </c>
      <c r="F209" s="26" t="s">
        <v>131</v>
      </c>
    </row>
    <row r="210" spans="1:6" ht="46.5" x14ac:dyDescent="0.35">
      <c r="A210" s="25" t="s">
        <v>109</v>
      </c>
      <c r="B210" s="25" t="s">
        <v>5</v>
      </c>
      <c r="C210" s="26" t="s">
        <v>155</v>
      </c>
      <c r="D210" s="27">
        <v>46261.916666666701</v>
      </c>
      <c r="E210" s="27">
        <v>46262.208333333299</v>
      </c>
      <c r="F210" s="26" t="s">
        <v>156</v>
      </c>
    </row>
    <row r="211" spans="1:6" ht="46.5" x14ac:dyDescent="0.35">
      <c r="A211" s="25" t="s">
        <v>109</v>
      </c>
      <c r="B211" s="25" t="s">
        <v>4</v>
      </c>
      <c r="C211" s="26" t="s">
        <v>218</v>
      </c>
      <c r="D211" s="27">
        <v>46261.833333333299</v>
      </c>
      <c r="E211" s="27">
        <v>46262.208333333299</v>
      </c>
      <c r="F211" s="26" t="s">
        <v>219</v>
      </c>
    </row>
    <row r="212" spans="1:6" ht="46.5" x14ac:dyDescent="0.35">
      <c r="A212" s="25" t="s">
        <v>109</v>
      </c>
      <c r="B212" s="25" t="s">
        <v>5</v>
      </c>
      <c r="C212" s="26" t="s">
        <v>220</v>
      </c>
      <c r="D212" s="27">
        <v>46261.833333333299</v>
      </c>
      <c r="E212" s="27">
        <v>46262.208333333299</v>
      </c>
      <c r="F212" s="26" t="s">
        <v>219</v>
      </c>
    </row>
    <row r="213" spans="1:6" ht="46.5" x14ac:dyDescent="0.35">
      <c r="A213" s="25" t="s">
        <v>109</v>
      </c>
      <c r="B213" s="25" t="s">
        <v>5</v>
      </c>
      <c r="C213" s="26" t="s">
        <v>233</v>
      </c>
      <c r="D213" s="27">
        <v>46261.875</v>
      </c>
      <c r="E213" s="27">
        <v>46262.208333333299</v>
      </c>
      <c r="F213" s="26" t="s">
        <v>234</v>
      </c>
    </row>
    <row r="214" spans="1:6" ht="46.5" x14ac:dyDescent="0.35">
      <c r="A214" s="25" t="s">
        <v>109</v>
      </c>
      <c r="B214" s="25" t="s">
        <v>5</v>
      </c>
      <c r="C214" s="26" t="s">
        <v>250</v>
      </c>
      <c r="D214" s="27">
        <v>46261.875</v>
      </c>
      <c r="E214" s="27">
        <v>46262.25</v>
      </c>
      <c r="F214" s="26" t="s">
        <v>248</v>
      </c>
    </row>
    <row r="215" spans="1:6" ht="46.5" x14ac:dyDescent="0.35">
      <c r="A215" s="25" t="s">
        <v>207</v>
      </c>
      <c r="B215" s="25" t="s">
        <v>5</v>
      </c>
      <c r="C215" s="26" t="s">
        <v>208</v>
      </c>
      <c r="D215" s="27">
        <v>46261.875</v>
      </c>
      <c r="E215" s="27">
        <v>46262.25</v>
      </c>
      <c r="F215" s="26" t="s">
        <v>209</v>
      </c>
    </row>
    <row r="216" spans="1:6" ht="46.5" x14ac:dyDescent="0.35">
      <c r="A216" s="25" t="s">
        <v>207</v>
      </c>
      <c r="B216" s="25" t="s">
        <v>5</v>
      </c>
      <c r="C216" s="26" t="s">
        <v>210</v>
      </c>
      <c r="D216" s="27">
        <v>46261.875</v>
      </c>
      <c r="E216" s="27">
        <v>46262.25</v>
      </c>
      <c r="F216" s="26" t="s">
        <v>209</v>
      </c>
    </row>
    <row r="217" spans="1:6" ht="46.5" x14ac:dyDescent="0.35">
      <c r="A217" s="25" t="s">
        <v>207</v>
      </c>
      <c r="B217" s="25" t="s">
        <v>5</v>
      </c>
      <c r="C217" s="26" t="s">
        <v>252</v>
      </c>
      <c r="D217" s="27">
        <v>46261.875</v>
      </c>
      <c r="E217" s="27">
        <v>46262.208333333299</v>
      </c>
      <c r="F217" s="26" t="s">
        <v>253</v>
      </c>
    </row>
  </sheetData>
  <autoFilter ref="A2:F82" xr:uid="{93B7315F-D2FC-4C0E-9F55-271D0AA7A834}">
    <sortState xmlns:xlrd2="http://schemas.microsoft.com/office/spreadsheetml/2017/richdata2" ref="A3:F217">
      <sortCondition ref="A2:A82"/>
    </sortState>
  </autoFilter>
  <mergeCells count="1">
    <mergeCell ref="A1:F1"/>
  </mergeCells>
  <conditionalFormatting sqref="A3:F217">
    <cfRule type="expression" dxfId="4"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5FF2590-D718-4E2D-833D-CDB8C115C69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Friday</vt:lpstr>
      <vt:lpstr>Saturday</vt:lpstr>
      <vt:lpstr>Sunday</vt:lpstr>
      <vt:lpstr>Monday</vt:lpstr>
      <vt:lpstr>Tuesday</vt:lpstr>
      <vt:lpstr>Wednesday</vt:lpstr>
      <vt:lpstr>Thursday</vt:lpstr>
      <vt:lpstr>Direction</vt:lpstr>
      <vt:lpstr>Friday!Print_Area</vt:lpstr>
      <vt:lpstr>Friday!Print_Titles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2026-08-21T14:25:25Z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