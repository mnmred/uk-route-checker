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luke_williams_nationalhighways_co_uk/Documents/Desktop/DCR 01 Sept/"/>
    </mc:Choice>
  </mc:AlternateContent>
  <xr:revisionPtr revIDLastSave="37" documentId="8_{5B1E1C05-4102-4710-A6EF-DC5918AA4B95}" xr6:coauthVersionLast="47" xr6:coauthVersionMax="47" xr10:uidLastSave="{E48907B2-D913-4E83-AE04-71679910FC89}"/>
  <bookViews>
    <workbookView xWindow="-108" yWindow="-108" windowWidth="23256" windowHeight="12456" xr2:uid="{FBCCA358-97F8-4DAC-9D2B-6E1178264550}"/>
  </bookViews>
  <sheets>
    <sheet name="Front page" sheetId="11" r:id="rId1"/>
    <sheet name="Data Listing" sheetId="4" state="hidden" r:id="rId2"/>
    <sheet name="Tuesday" sheetId="1" r:id="rId3"/>
    <sheet name="Wednesday" sheetId="5" r:id="rId4"/>
    <sheet name="Thursday" sheetId="6" r:id="rId5"/>
    <sheet name="Friday" sheetId="7" r:id="rId6"/>
    <sheet name="Saturday" sheetId="12" r:id="rId7"/>
    <sheet name="Sunday" sheetId="9" r:id="rId8"/>
    <sheet name="Monday" sheetId="10" r:id="rId9"/>
  </sheets>
  <definedNames>
    <definedName name="_xlnm._FilterDatabase" localSheetId="5" hidden="1">Friday!$A$2:$F$44</definedName>
    <definedName name="_xlnm._FilterDatabase" localSheetId="8" hidden="1">Monday!$A$2:$F$5</definedName>
    <definedName name="_xlnm._FilterDatabase" localSheetId="6" hidden="1">Saturday!$A$2:$F$15</definedName>
    <definedName name="_xlnm._FilterDatabase" localSheetId="7" hidden="1">Sunday!$A$2:$F$15</definedName>
    <definedName name="_xlnm._FilterDatabase" localSheetId="4" hidden="1">Thursday!$A$2:$F$18</definedName>
    <definedName name="_xlnm._FilterDatabase" localSheetId="2" hidden="1">Tuesday!$A$2:$F$3</definedName>
    <definedName name="_xlnm._FilterDatabase" localSheetId="3" hidden="1">Wednesday!$A$2:$F$35</definedName>
    <definedName name="Direction">'Data Listing'!$A$1:$A$7</definedName>
    <definedName name="_xlnm.Print_Area" localSheetId="2">Tuesday!$A:$F</definedName>
    <definedName name="_xlnm.Print_Titles" localSheetId="2">Tuesday!$1:$1</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1" l="1"/>
  <c r="A1" i="6" s="1"/>
  <c r="C2" i="11"/>
  <c r="A10" i="11"/>
  <c r="A1" i="10" s="1"/>
  <c r="A9" i="11"/>
  <c r="A1" i="9" s="1"/>
  <c r="A8" i="11"/>
  <c r="A1" i="12" s="1"/>
  <c r="A7" i="11"/>
  <c r="A1" i="7" s="1"/>
  <c r="A5" i="11"/>
  <c r="A1" i="5" s="1"/>
  <c r="A4" i="11"/>
  <c r="A1" i="1" s="1"/>
</calcChain>
</file>

<file path=xl/sharedStrings.xml><?xml version="1.0" encoding="utf-8"?>
<sst xmlns="http://schemas.openxmlformats.org/spreadsheetml/2006/main" count="6645" uniqueCount="1303">
  <si>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</si>
  <si>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</si>
  <si>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</si>
  <si>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</si>
  <si>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</si>
  <si>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</si>
  <si>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</si>
  <si>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</si>
  <si>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</si>
  <si>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</si>
  <si>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</si>
  <si>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</si>
  <si>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</si>
  <si>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</si>
  <si>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t>Each day we will upload an updated list of road closures covering that evening and the remainder of the week. Understandably plans can sometimes change, and it is for this reason we recommend you regularly visit the webpage to view the most up-to-date closure list.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</si>
  <si>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</si>
  <si>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Total closure report</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</si>
  <si>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</si>
  <si>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</si>
  <si>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</si>
  <si>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</si>
  <si>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</si>
  <si>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</si>
  <si>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Both directions</t>
  </si>
  <si>
    <t>A47 both directions A16 roundabout to White Post roundabout carriageway closure</t>
  </si>
  <si>
    <t>A47 eastbound Littlewood roundabout to Welland road roundabout carriageway closure</t>
  </si>
  <si>
    <t>M11</t>
  </si>
  <si>
    <t>M11 northbound Jct 9 to A11/A505 Jct carriageway closure</t>
  </si>
  <si>
    <t>Overall Scheme Details: M11 both directions 
Jct 9 to A11 A505 Jct - carriageway closure for carriageway - reconstruction/renewal on behalf of National Highways</t>
  </si>
  <si>
    <t>A14</t>
  </si>
  <si>
    <t>A14 westbound Jct 62 to Jct 60 carriageway closure</t>
  </si>
  <si>
    <t>Overall Scheme Details: A14 both directions
Jct 56 to Jct 62 - carriageway closure for white lining/road markings on behalf of National Highways</t>
  </si>
  <si>
    <t>A11</t>
  </si>
  <si>
    <t>A11 northbound Red Lodge to Elveden carriageway closure</t>
  </si>
  <si>
    <t>Overall Scheme Details: A11 both directions 
A11/A14 Junction 38 to Thetford - carriageway closure for carriageway - reconstruction/renewal on behalf of National Highways</t>
  </si>
  <si>
    <t>A11 southbound London Road to Herringswell Road carriageway closure</t>
  </si>
  <si>
    <t>Overall Scheme Details: A14 both directions 
Jct 22 to Jct 33 - carriageway closure for communications on behalf of National Highways</t>
  </si>
  <si>
    <t>A14 eastbound Jct 57 to Jct 58 carriageway closure</t>
  </si>
  <si>
    <t>Overall Scheme Details: A14 eastbound 
Jct 57 to Jct 58 - carriageway closure for electrical works on behalf of National Highways</t>
  </si>
  <si>
    <t>A14 westbound Jct 53 exit slip road closure</t>
  </si>
  <si>
    <t>Overall Scheme Details: A14 westbound 
Jct 53 - carriageway closure for carriageway - reconstruction/renewal on behalf of National Highways</t>
  </si>
  <si>
    <t>A14 westbound Jct 53 entry slip road closure</t>
  </si>
  <si>
    <t>A1</t>
  </si>
  <si>
    <t>A1 southbound Wansford entry slip road closure</t>
  </si>
  <si>
    <t>Overall Scheme Details: A1 southbound
A47 Junction to Stibbington - carriageway closure for drainage on behalf of National Highways</t>
  </si>
  <si>
    <t>A12 northbound Jct 29 to Jct 30 carriageway closure</t>
  </si>
  <si>
    <t>Overall Scheme Details: A12 northbound
Jct 29  to Jct 30 - carriageway closure for carriageway - reconstruction/renewal on behalf of National Highways</t>
  </si>
  <si>
    <t>A12 northbound Jct 29 entry slip road closure</t>
  </si>
  <si>
    <t>A47 both directions Guyhirn to Redmoor Lane carriageway closure</t>
  </si>
  <si>
    <t>Overall Scheme Details: A47 both directions 
Guyhirn to Redmoor - carriageway closure and diversion route for drainage on behalf of National Highways</t>
  </si>
  <si>
    <t>M11 southbound Jct 7 entry slip road closure</t>
  </si>
  <si>
    <t>Overall Scheme Details: M11 both directions
Jct 7 carriageway closure for inspection/survey on behalf of National Highways</t>
  </si>
  <si>
    <t>A1 both directions Black Cat roundabout - North quadrant closure</t>
  </si>
  <si>
    <t>Overall Scheme Details: A1 both directions
Black Cat roundabout - North quadrant closure for bypass construction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</si>
  <si>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</si>
  <si>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</si>
  <si>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</si>
  <si>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</si>
  <si>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</si>
  <si>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</si>
  <si>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A1(M)</t>
  </si>
  <si>
    <t>A1(M) northbound Jct 9 exit slip road closure</t>
  </si>
  <si>
    <t>Overall Scheme Details: A1(M) northbound
Jct 8 to Jct 9 - exit slip road closure, hard shoulder closure, lane closure and diversion route due to electrical works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</si>
  <si>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</si>
  <si>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</si>
  <si>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A1081</t>
  </si>
  <si>
    <t>A1081 clockwise Pepperstock Roundabout M1 Jct 10 partial roundabout carriageway closure</t>
  </si>
  <si>
    <t>Overall Scheme Details: M1 southbound 
Jct 10 - carriageway closure for communications on behalf of National Highways</t>
  </si>
  <si>
    <t>A421</t>
  </si>
  <si>
    <t>A421 eastbound Marsh Leys exit slip road closure</t>
  </si>
  <si>
    <t>Overall Scheme Details: A421 eastbound 
Marsh Leys to Elstow - carriageway closure for carriageway - reconstruction/renewal on behalf of National Highways</t>
  </si>
  <si>
    <t>A5</t>
  </si>
  <si>
    <t>A5 southbound Little Brickhill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</si>
  <si>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</si>
  <si>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Redmoor entry slip carriageway closure</t>
  </si>
  <si>
    <t>Overall Scheme Details: A5 both directions 
Old Stratford Roundabout  to Thorn Roundabout - carriageway closure for horticulture cutting and planting on behalf of National Highways</t>
  </si>
  <si>
    <t>A421 westbound from A6 to M1 Jct 13 carriageway closure</t>
  </si>
  <si>
    <t>Overall Scheme Details: A421 both directions
M1 to Black Cat Roundabout - carriageway closure for drainage on behalf of National Highways</t>
  </si>
  <si>
    <t>M40</t>
  </si>
  <si>
    <t>M40 northbound Jct 10 to Jct 11 carriageway closure</t>
  </si>
  <si>
    <t>Overall Scheme Details: M40 northbound
Jct 9 to Jct 11 lane closures, carriageway closure and diversion route for maintenance work
Diversion via National Highways and local authority network</t>
  </si>
  <si>
    <t>M40 northbound Jct 10 entry slip road closure</t>
  </si>
  <si>
    <t>M40 northbound Jct 11 exit slip road closure</t>
  </si>
  <si>
    <t>M40 Southbound Jct 4 to Jct 3 carriageway closure</t>
  </si>
  <si>
    <t>Overall Scheme Details: M40 Southbound Jct 5 to Jct 3, lane closures, carriageway closure, slip road closure and diversion route for maintenance works.
Diversion via National Highways network and local authority roads.</t>
  </si>
  <si>
    <t>M40 Southbound Jct 4 entry slip road closure</t>
  </si>
  <si>
    <t>M40 Southbound Jct 1 exit slip road closure</t>
  </si>
  <si>
    <t>Overall Scheme Details: M40 Southbound Jct 1a to Jct 1, lane closures, slip road closure and diversion route for maintenance works.
Diversion via National Highways network and local authority roads.</t>
  </si>
  <si>
    <t>M40 Northbound, Jct 3, Exit slip road closure.</t>
  </si>
  <si>
    <t>Overall Scheme Details: M40 Northbound, Jct 2 to Jct 3.
Lane closures, slip road closure and diversion route for maintenance works.
Diversion route via national highways and local authority networks.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</si>
  <si>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</si>
  <si>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</si>
  <si>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</si>
  <si>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</si>
  <si>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</si>
  <si>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</si>
  <si>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</si>
  <si>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</si>
  <si>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</si>
  <si>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</si>
  <si>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</si>
  <si>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</si>
  <si>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A38</t>
  </si>
  <si>
    <t>A38 northbound Mickleover to Kingsway carriageway closure</t>
  </si>
  <si>
    <t>Overall Scheme Details: A38 northbound and southbound Kingsway Roundabout to Toyota Island
Carriageway, slip road and lane closure due to maintenance works
Diversion via National Highways network and local authority network</t>
  </si>
  <si>
    <t>M6</t>
  </si>
  <si>
    <t>M6 to M1 southbound link road closure</t>
  </si>
  <si>
    <t>Overall Scheme Details: M6 southbound Jct 1 to M1 Jct 19.
Slip road and lane closures due to maintenance works.
Diversion route via National Highways and local authority network.</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</si>
  <si>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</si>
  <si>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</si>
  <si>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</si>
  <si>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</si>
  <si>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</si>
  <si>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</si>
  <si>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</si>
  <si>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A1 southbound South Witham 2 way slip road closure</t>
  </si>
  <si>
    <t>Overall Scheme Details: A1 southbound South Witham.
Slip road and lane closures due to maintenance works.
Diversion via National Highways and Local Authority network.</t>
  </si>
  <si>
    <t>A1 southbound South Witham entry slip road closure</t>
  </si>
  <si>
    <t>A1 southbound South Witham exit slip road closure</t>
  </si>
  <si>
    <t>M1 northbound Jct 23a exit slip road closure</t>
  </si>
  <si>
    <t>Overall Scheme Details: M1 northbound and southbound, Jct 24a to Jct 23.
Carriageway, slip road and lane closures for electrical works.
Diversion route via National Highways network and local authority network.</t>
  </si>
  <si>
    <t>A42</t>
  </si>
  <si>
    <t>A42 northbound Jct 14 to Finger Farm roundabout carriageway closure</t>
  </si>
  <si>
    <t>A453</t>
  </si>
  <si>
    <t>A453 southbound Ratcliffe on Soar to M1 Jct 24 carriageway closure</t>
  </si>
  <si>
    <t>Overall Scheme Details: A453 southbound Ratcliffe On Soar to M1 Jct 24
Carriageway, slip road and lane closure due to maintenance works
Diversion via National Highways network and local authority network</t>
  </si>
  <si>
    <t>A453 southbound Ratcliffe on Soar entry slip road closure</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</si>
  <si>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</si>
  <si>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</si>
  <si>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</si>
  <si>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</si>
  <si>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</si>
  <si>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</si>
  <si>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</si>
  <si>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</si>
  <si>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</si>
  <si>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</si>
  <si>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</si>
  <si>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</si>
  <si>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</si>
  <si>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</si>
  <si>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</si>
  <si>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A1m northbound Jct 35 exit slip road closure</t>
  </si>
  <si>
    <t>Overall Scheme Details: A1m northbound Jct 34 to Jct 36, M18 northbound Jct 2
Slip road closures for general cleaning and maintenance 
Diversion A1m A635 M18 A614</t>
  </si>
  <si>
    <t>A1m northbound Jct 36 exit slip road closure</t>
  </si>
  <si>
    <t>M18</t>
  </si>
  <si>
    <t>M18 northbound Jct 2 to A1m northbound Jct 35 link road closure</t>
  </si>
  <si>
    <t>A1m northbound Jct 35 entry slip road closure</t>
  </si>
  <si>
    <t>A616</t>
  </si>
  <si>
    <t>A616 eastbound and westbound Langsett carriageway closure</t>
  </si>
  <si>
    <t>Overall Scheme Details: A616 eastbound and Westbound Flouch to Midhopestones
carriageway closure on behalf of Rapid Response Telecoms
diversion via A616 and local authority</t>
  </si>
  <si>
    <t>M1 northbound Jct 37 entry slip road closure</t>
  </si>
  <si>
    <t xml:space="preserve">Overall Scheme Details: M1 northbound Jct 37 to Jct 38 
Slip road and lane closures for general cleaning and maintenance 
diversion via M1 
</t>
  </si>
  <si>
    <t>M1 northbound Jct 38 exit slip road closure</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</si>
  <si>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</si>
  <si>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</si>
  <si>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</si>
  <si>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 southbound Jct 7 to Jct 6, carriageway closure</t>
  </si>
  <si>
    <t>M18 southbound Jct 6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</si>
  <si>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</si>
  <si>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</si>
  <si>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</si>
  <si>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</si>
  <si>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</si>
  <si>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</si>
  <si>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</si>
  <si>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</si>
  <si>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A162</t>
  </si>
  <si>
    <t>A162 southbound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</si>
  <si>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</si>
  <si>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A63</t>
  </si>
  <si>
    <t>A63 westbound North cave exit slip road closure</t>
  </si>
  <si>
    <t>Overall Scheme Details: A63 westbound Jct 38 .
Slip road and lane closure for electrical works.
Diversion M62 A614</t>
  </si>
  <si>
    <t>M62 westbound Jct 28 entry slip road closure</t>
  </si>
  <si>
    <t>Overall Scheme Details: M62 westbound Jct 29 to Jct 27.
Carriageway closure for carriageway reconstruction and repair works.
Diversion via LA</t>
  </si>
  <si>
    <t>M62 westbound Jct 27 exit slip road closure</t>
  </si>
  <si>
    <t>M62 westbound Jct 28 to Jct 27 carriageway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</si>
  <si>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</si>
  <si>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</si>
  <si>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</si>
  <si>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</si>
  <si>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M1 northbound Jct 30 entry slip road closure</t>
  </si>
  <si>
    <t xml:space="preserve">Overall Scheme Details: M1 northbound Jct 29 to Jct 30 
Slip road closure for technology works 
Diversion via M1 </t>
  </si>
  <si>
    <t>M1 southbound Jct 31 carriageway closure between exit and entry slip road</t>
  </si>
  <si>
    <t>Overall Scheme Details: M1 southbound Jct 32 to Jct 31
Carriageway closure and lane closures for technology works
Diversion via M1</t>
  </si>
  <si>
    <t>M1 northbound Jct 32 to M18 northbound Jct 1 link road closure</t>
  </si>
  <si>
    <t>Overall Scheme Details: M1 northbound Jct 31 to Jct 32
Carriageway closure and lane closures for carriageway reconstruction/ renewal works
Diversion via M1</t>
  </si>
  <si>
    <t xml:space="preserve">Overall Scheme Details: M62 eastbound Jct 22 to Jct 24 
Carriageway closure and lane closures for carriageway - reconstruction/renewal
Diversion A672 A58 A646 M62 </t>
  </si>
  <si>
    <t>M621</t>
  </si>
  <si>
    <t>M621 anticlockwise Jct 4 to Jct 3 carriageway closure</t>
  </si>
  <si>
    <t xml:space="preserve">Overall Scheme Details: M621 anticlockwise Jct 5 to Jct 3
Carriageway and lane closures for electrical works
Diversion via M621 and local authority </t>
  </si>
  <si>
    <t>M621 anticlockwise Jct 4 entry slip road closure</t>
  </si>
  <si>
    <t>M621 anticlockwise Jct 3 exit slip road closure</t>
  </si>
  <si>
    <t>M62 eastbound Jct 30 entry slip road closure</t>
  </si>
  <si>
    <t xml:space="preserve">Overall Scheme Details: M62 eastbound Jct 30 to Jct 31 
Slip road and lane closure for barrier/fence safety repairs 
Diversion via M62 </t>
  </si>
  <si>
    <t>A1M Jct 63 to Jct 61 Southbound Carriageway Closure</t>
  </si>
  <si>
    <t>Overall Scheme Details: A1M Northbound and Southbound Jct 61 to Jct 63
Carriageway Closure for Carriageway Reconstruction Works</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</si>
  <si>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</si>
  <si>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</si>
  <si>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</si>
  <si>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</si>
  <si>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</si>
  <si>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t>
  </si>
  <si>
    <t>A66 Boathouse westbound entry slip road closure</t>
  </si>
  <si>
    <t>Overall Scheme Details: A66 eastbound and westbound Long Newton to Boathouse
Carriageway closures, 40mph speed restriction, lane closures and 24/7 layby closures with diversion route for Renewal of Barrier</t>
  </si>
  <si>
    <t>A66 Yarm Road westbound exit slip road closure</t>
  </si>
  <si>
    <t>A66 Yarm Road westbound entry slip road closure</t>
  </si>
  <si>
    <t>A66 Elton westbound exit slip road closure</t>
  </si>
  <si>
    <t>A66 Boathouse to Elton westbound carriageway closure</t>
  </si>
  <si>
    <t>A1M Jct 52 to Jct 53 northbound carriageway closure</t>
  </si>
  <si>
    <t>Overall Scheme Details: A1M northbound and southbound Jct 52 to Jct 53
Carriageway closure for carriageway patching work</t>
  </si>
  <si>
    <t>A1M Jct 53 northbound exit slip road closure</t>
  </si>
  <si>
    <t>A1M Jct 52 northbound entry slip road closure</t>
  </si>
  <si>
    <t>A1M Jct 50 southbound exit slip road closure</t>
  </si>
  <si>
    <t xml:space="preserve">Overall Scheme Details: A1M southbound Jct 51 to Jct 50
Carriageway closure for carriageway renewal </t>
  </si>
  <si>
    <t>A1M Jct 51 to Jct 50 southbound carriageway closure</t>
  </si>
  <si>
    <t>A1 Jct 72 Southbound Entry Slip Road Closure</t>
  </si>
  <si>
    <t>Overall Scheme Details: A1 Southbound Jct 72 
Slip Road Closure for Barrier Repair</t>
  </si>
  <si>
    <t>A69</t>
  </si>
  <si>
    <t>A69 westbound constantius bridge carriageway closure</t>
  </si>
  <si>
    <t>Overall Scheme Details: A69 eastbound and westbound Constantius Bridge 
Carriageway closure for bridge joint repairs</t>
  </si>
  <si>
    <t>A19</t>
  </si>
  <si>
    <t>A19/A1231 Hylton Grange Interchange northbound entry slip road closure</t>
  </si>
  <si>
    <t>Overall Scheme Details: A19/A1231 Hylton Grange Interchange north and southbound slip road closures for electrical works</t>
  </si>
  <si>
    <t>A19/A1231 Hylton Grange Interchange southbound exit slip road closure</t>
  </si>
  <si>
    <t>A19/A174 Parkway southbound exit slip road closure</t>
  </si>
  <si>
    <t>Overall Scheme Details: A174 Parkway Roundabout including north and southbound exit slip road closures for maintenance works</t>
  </si>
  <si>
    <t>A19/A174 Parkway northbound exit slip road closure</t>
  </si>
  <si>
    <t>A174</t>
  </si>
  <si>
    <t>A174 Parkway Roundabout closure</t>
  </si>
  <si>
    <t>A174 eastbound approach closed to Parkway Roundabout</t>
  </si>
  <si>
    <t>A174 westbound exit closed from A174 Parkway Roundabout</t>
  </si>
  <si>
    <t>A19 Northbound Between Stockton Road and A1046 Portrack Interchange.  Carriageway Closure.</t>
  </si>
  <si>
    <t>Overall Scheme Details: A19 Northbound Between Stockton Road and A1046 Portrack Interchanges.  Carriageway and Lane closures for Structure/Maintenance works.</t>
  </si>
  <si>
    <t>M57</t>
  </si>
  <si>
    <t>M57 Southbound Jct 1 exit slip road closure</t>
  </si>
  <si>
    <t xml:space="preserve">Overall Scheme Details: M57 southbound J1 exit slip to Tarbuck Island carriageway closure due to works by Knowsley Council </t>
  </si>
  <si>
    <t>M61</t>
  </si>
  <si>
    <t>M61 Northbound Jct 4 exit slip road closure</t>
  </si>
  <si>
    <t>Overall Scheme Details: M61 northbound M61Nb  Jnc 4  to M61Nb Jnc 5 - carriageway closure for carriageway - reconstruction/renewal on behalf of National Highways</t>
  </si>
  <si>
    <t>M53</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</si>
  <si>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</si>
  <si>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</si>
  <si>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</si>
  <si>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</si>
  <si>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M56</t>
  </si>
  <si>
    <t>M56 Westbound Jct 14 to A494 Park Gate carriageway closure</t>
  </si>
  <si>
    <t>Overall Scheme Details: M56 both directions J14 to J16 - carriageway closure for carriageway - reconstruction/renewal on behalf of National Highways</t>
  </si>
  <si>
    <t>M56 Westbound Jct 14 entry slip road closure</t>
  </si>
  <si>
    <t>M56 Westbound to M53 Southbound link road closure</t>
  </si>
  <si>
    <t>M56 Westbound to M53 Northbound link road closure</t>
  </si>
  <si>
    <t>A494</t>
  </si>
  <si>
    <t>A494 Westbound Park Gate exit slip road closure</t>
  </si>
  <si>
    <t>A494 Eastbound Park Gate to M56 Jct 14 carriageway closure</t>
  </si>
  <si>
    <t>M53 Southbound to M56 Eastbound link road closure</t>
  </si>
  <si>
    <t>M53 Northbound to M56 Eastbound link road closure</t>
  </si>
  <si>
    <t>M56 Eastbound Jct 14 exit slip road closure</t>
  </si>
  <si>
    <t>M56 Eastbound Jct 16 entry slip road closure</t>
  </si>
  <si>
    <t>M65</t>
  </si>
  <si>
    <t>M65 Westbound Jct 5 entry slip road closure</t>
  </si>
  <si>
    <t>Overall Scheme Details: M65 Eastbound and Westbound Jct 5 due to improvement works on verge for Blackburn with Darwen Borough Council</t>
  </si>
  <si>
    <t>M65 Westbound Jct 5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</si>
  <si>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</si>
  <si>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</si>
  <si>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</si>
  <si>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</si>
  <si>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</si>
  <si>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</si>
  <si>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to M56 links closure</t>
  </si>
  <si>
    <t>Overall Scheme Details: M6 southbound J20 to J20 - carriageway closure for drainage on behalf of National Highways</t>
  </si>
  <si>
    <t>M6 southbound Jct 20 link to M56 Westbound closure</t>
  </si>
  <si>
    <t>M60</t>
  </si>
  <si>
    <t>M60 Anticlockwise Jct 3 exit slip road closure</t>
  </si>
  <si>
    <t>Overall Scheme Details: M60 both directions J2 to J4 - carriageway closure for drainage on behalf of National Highways</t>
  </si>
  <si>
    <t>M60 Clockwise Jct 3 exit slip road closure</t>
  </si>
  <si>
    <t>M65 eastbound jct 8 to 10 carriageway closure</t>
  </si>
  <si>
    <t>Overall Scheme Details: M65 Eastbound and Westbound junction 10 to junction 8 - Carriageway Closure for Horticulture (Cutting and Planting) on behalf of Amey</t>
  </si>
  <si>
    <t>M65 eastbound jct 8 entry slip road closure</t>
  </si>
  <si>
    <t>M65 eastbound jct 9 exit slip road closure</t>
  </si>
  <si>
    <t>M65 eastbound jct 10 exit slip road closure</t>
  </si>
  <si>
    <t>M57 northbound jct 1 entry slip road closure</t>
  </si>
  <si>
    <t xml:space="preserve">Overall Scheme Details: M57 northbound jct 1 entry slip road closure due to off network works </t>
  </si>
  <si>
    <t>M56 westbound jct 7 carriageway closure between exit and entry slip roads</t>
  </si>
  <si>
    <t>Overall Scheme Details: M56 both directions jct 6 to 7 - lane closure and slip road closures for carriageway - reconstruction/renewal on behalf of National Highways</t>
  </si>
  <si>
    <t>A56</t>
  </si>
  <si>
    <t>A56 Southbound Edenfield exit slip road closure</t>
  </si>
  <si>
    <t>Overall Scheme Details: A56 both directions Bent Gate  to M66  - carriageway closure for barriers - permanent on behalf of National Highways</t>
  </si>
  <si>
    <t>M60 clockwise jct 9 entry slip road closure</t>
  </si>
  <si>
    <t>Overall Scheme Details: M60 both directions Junction 8 to Junction 12 - carriageway closure for horticulture</t>
  </si>
  <si>
    <t>M60 clockwise jct 10 entry slip road closure</t>
  </si>
  <si>
    <t>M60 clockwise jct 10 exit slip road closure</t>
  </si>
  <si>
    <t>M60 clockwise jct 11 entry slip road closure</t>
  </si>
  <si>
    <t>M60 Clockwise Jct 9 to 12 carriageway closure</t>
  </si>
  <si>
    <t>M60 clockwise jct 11 exit slip road closure</t>
  </si>
  <si>
    <t>M60 clockwise link road to M62 westbound closure</t>
  </si>
  <si>
    <t>M60 clockwise link road to M602 eastbound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</si>
  <si>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</si>
  <si>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</si>
  <si>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</si>
  <si>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</si>
  <si>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M57 Southbound Switch Island to Jct 6 carriageway closure</t>
  </si>
  <si>
    <t>M57 Southbound Jct 6 exit slip road closure</t>
  </si>
  <si>
    <t>M6 southbound to M62 eastbound link road closure</t>
  </si>
  <si>
    <t>Overall Scheme Details: M6 both directions J20 to J22 - carriageway closure for carriageway - reconstruction/renewal on behalf of National Highways</t>
  </si>
  <si>
    <t>M6 southbound to M62 westbound link road closure</t>
  </si>
  <si>
    <t>M6 Southbound Jct 22 to 21a carriageway closure</t>
  </si>
  <si>
    <t>M6 Southbound Jct 22 entry slip road closure</t>
  </si>
  <si>
    <t>M65 Westbound Jct 2 Carriageway Closure between exit and entry slips</t>
  </si>
  <si>
    <t>Overall Scheme Details: M65 both directions Terminal Island Roundabout  to J2  - carriageway closure for barriers - permanent on behalf of National Highways</t>
  </si>
  <si>
    <t>M65 Westbound Carriageway Closure Jct 1 exit and entry slips</t>
  </si>
  <si>
    <t>A627M</t>
  </si>
  <si>
    <t>A627M Southbound Jct 1 to A663 Middleton Road carriageway closure</t>
  </si>
  <si>
    <t>Overall Scheme Details: A663 both directions A627M J1 to M60 - carriageway closure for white lining/road markings on behalf of National Highways</t>
  </si>
  <si>
    <t>A627M Southbound Jct 1 entry slip road closure</t>
  </si>
  <si>
    <t>M60 Clockwise Jct 17 entry slip road closure</t>
  </si>
  <si>
    <t>Overall Scheme Details: M60 both directions Jct 16  to Jct 19 - carriageway closure for construction improvement/upgrade on behalf of National Highways</t>
  </si>
  <si>
    <t>M60 clockwise jct 17 exit slip road closure</t>
  </si>
  <si>
    <t>M66</t>
  </si>
  <si>
    <t>M66 Southbound Jct 4 to M60 Clockwise Carriageway Closure</t>
  </si>
  <si>
    <t>M60 Jct 18 ACW to M66 Northbound Carriageway Closure</t>
  </si>
  <si>
    <t>M60 Anticlockwise Jct 6 exit slip road closure</t>
  </si>
  <si>
    <t>Overall Scheme Details: M60 anti-clockwise Jct7 to Jct 6 - carriageway closure for inspection/survey on behalf of National Highways</t>
  </si>
  <si>
    <t>M60 Anticlockwise Jct 6 entry slip road closure</t>
  </si>
  <si>
    <t>M62 jct 6 roundabout closure between A5300 southbound to Windy Arbor Road</t>
  </si>
  <si>
    <t xml:space="preserve">Overall Scheme Details: M62 jct 6 roundabout closure due to improvements </t>
  </si>
  <si>
    <t>M6 Northbound Jct 32 Exit slip road Closure</t>
  </si>
  <si>
    <t>Overall Scheme Details: M6 Northbound Junction 31A to Junction 32
Lane 3 closure for carriageway - reconstruction/renewal</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</si>
  <si>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</si>
  <si>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</si>
  <si>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</si>
  <si>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</si>
  <si>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</si>
  <si>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</si>
  <si>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</si>
  <si>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</si>
  <si>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10
Slip and lane closures for Hampshire County Council </t>
  </si>
  <si>
    <t>M27 westbound Jct 2 exit slip road closure</t>
  </si>
  <si>
    <t>Overall Scheme Details: M27 both directions Jct 2.
Slip road and lane closure for drainage work.</t>
  </si>
  <si>
    <t>A34 northbound Peartree exit slip road closure</t>
  </si>
  <si>
    <t>Overall Scheme Details: A34 northbound Peartree.
Slip road and lane closures for maintenance work.</t>
  </si>
  <si>
    <t>A34 northbound Peartree entry slip road closure</t>
  </si>
  <si>
    <t>A3M</t>
  </si>
  <si>
    <t>A3M southbound Jct 4 entry slip road closure</t>
  </si>
  <si>
    <t>Overall Scheme Details: A3M southbound Jct 4 to Jct 5.
Slip road and lane closures for maintenance work.</t>
  </si>
  <si>
    <t>A3M southbound Jct 5 exit slip road closure</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</si>
  <si>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</si>
  <si>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</si>
  <si>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</si>
  <si>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</si>
  <si>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A34 northbound Litchfield entry slip road closure</t>
  </si>
  <si>
    <t>Overall Scheme Details: A34 northbound Litchfield.
Slip road and lane closures for maintenance work.</t>
  </si>
  <si>
    <t>A34 northbound Litchfield exit slip road closure</t>
  </si>
  <si>
    <t>M3 northbound Chilworth link road closure</t>
  </si>
  <si>
    <t>Overall Scheme Details: M3 northbound Chilworth Roundabout to Jct 13.
Carriageway closure for maintenance work.</t>
  </si>
  <si>
    <t>M4</t>
  </si>
  <si>
    <t>M4 westbound Jct 12 exit slip road closure</t>
  </si>
  <si>
    <t>Overall Scheme Details: M4 westbound Jct 10 to Jct 12.
Slip road and lane closure for major improvement work.</t>
  </si>
  <si>
    <t>A3</t>
  </si>
  <si>
    <t>A3 both directions Queen Elizabeth Country Park link road closure</t>
  </si>
  <si>
    <t>Overall Scheme Details: A3 both directions QECP.
Slip road and lane closure for drainage work.</t>
  </si>
  <si>
    <t>A303 eastbound crematorium to M3 carriageway closure</t>
  </si>
  <si>
    <t>Overall Scheme Details: M3 both directions Jct 7 to Jct 13 
carriageway closure for carriageway - reconstruction/renewal</t>
  </si>
  <si>
    <t>M3 northbound Jct 10 to Jct 7 carriageway closure</t>
  </si>
  <si>
    <t>M27 eastbound Jct 12 exit slip road closure</t>
  </si>
  <si>
    <t>Overall Scheme Details: M27 both directions Portchester to Havant 
M275 southbound Jct 12
slip road and lane closure for surveys</t>
  </si>
  <si>
    <t>M275</t>
  </si>
  <si>
    <t>M275 southbound Dedicated slip from Western Road closed</t>
  </si>
  <si>
    <t>M4 westbound Jct 7 exit slip road closure</t>
  </si>
  <si>
    <t>Overall Scheme Details: M4 westbound Jct 7.
Slip road and lane closure for maintenance work.</t>
  </si>
  <si>
    <t>M3 southbound Jct 4a entry slip road closure</t>
  </si>
  <si>
    <t xml:space="preserve">Overall Scheme Details: M3 southbound Jct 4a - slip road and lane closure for structure maintenance </t>
  </si>
  <si>
    <t>A31</t>
  </si>
  <si>
    <t>A31 eastbound Ashley Heath carriageway closure between the exit and entry slips</t>
  </si>
  <si>
    <t>Overall Scheme Details: A31 both directions Ashley Heath to M27 Jct 2
Carriageway closures for emergency works</t>
  </si>
  <si>
    <t>A31 eastbound Ringwood to M27 Jct 2 carriageway closure</t>
  </si>
  <si>
    <t>M27 westbound Jct 2 to Stoney Cross carriageway closure</t>
  </si>
  <si>
    <t>A27</t>
  </si>
  <si>
    <t>A27 eastbound Fishbourne roundabout to Portfield roundabout carriageway closure</t>
  </si>
  <si>
    <t>Overall Scheme Details: A27 both directions Fishbourne Roundabout to Bognor Road Roundabout 
carriageway closures for surface works</t>
  </si>
  <si>
    <t>A27 westbound Portfield roundabout to Fishbourne roundabout carriageway closure</t>
  </si>
  <si>
    <t>A21</t>
  </si>
  <si>
    <t>A21 southbound Quarry Hill exit slip closure</t>
  </si>
  <si>
    <t xml:space="preserve">Overall Scheme Details: A21 southbound Powder Mill Lane to Vauxhall,
Slip closure for maintenance works </t>
  </si>
  <si>
    <t>A23</t>
  </si>
  <si>
    <t>A23 northbound London road entry slip road closure</t>
  </si>
  <si>
    <t>Overall Scheme Details: A23 northbound Bolney to Handcross,
Slip road and lane closures for maintenance work.</t>
  </si>
  <si>
    <t>A23 northbound Warninglid exit slip road closure</t>
  </si>
  <si>
    <t>A23 northbound London road exit slip road closure</t>
  </si>
  <si>
    <t>A23 northbound Warninglid entry slip road closure</t>
  </si>
  <si>
    <t>M20</t>
  </si>
  <si>
    <t>M20 eastbound Jct 12 entry slip road closure</t>
  </si>
  <si>
    <t>Overall Scheme Details: M20 both directions Jct 12 to Jct 13
slip road closures and width restriction for barrier works</t>
  </si>
  <si>
    <t>A2</t>
  </si>
  <si>
    <t>A2 eastbound Womensworld exit slip road closure</t>
  </si>
  <si>
    <t>Overall Scheme Details: A2 eastbound Womensworkd
Slip and lane closures for maintenance works</t>
  </si>
  <si>
    <t>A2 eastbound Womensworld entry slip road closure</t>
  </si>
  <si>
    <t>A21 northbound Cryals road  to  Pembury carriageway closure</t>
  </si>
  <si>
    <t>Overall Scheme Details: A21 both directions Pembury Bypass to Forstal Farm
carriageway closure for surface works</t>
  </si>
  <si>
    <t>A21 southbound Pembury to Cryals road carriageway closure</t>
  </si>
  <si>
    <t>A23 northbound Dale Hill (Texaco garage) entry slip road closure</t>
  </si>
  <si>
    <t xml:space="preserve">Overall Scheme Details: A23 both directions Patcham to Dale Hill
slip road, layby and lane closures for drainage works
</t>
  </si>
  <si>
    <t>A23 northbound Donkey Island exit and entry slip road closures</t>
  </si>
  <si>
    <t>A2 westbound Whitfield entry slip road closure</t>
  </si>
  <si>
    <t>Overall Scheme Details: A2 westbound Guston Rbt to Whitfield Rbt
slip road and lane closures for survey works</t>
  </si>
  <si>
    <t>A23 northbound Mill lane entry slip road closure</t>
  </si>
  <si>
    <t>Overall Scheme Details: A23 northbound Sayers Common to Hickstead 
slip road and lane closure for electrical works.</t>
  </si>
  <si>
    <t>A23 northbound Hickstead exit slip road closure</t>
  </si>
  <si>
    <t>A27 eastbound Holmbush to Hangleton carriageway closure</t>
  </si>
  <si>
    <t xml:space="preserve">Overall Scheme Details: A27 both directions Hangleton to Holmbush
carriageway closure for tunnel maintenance. 
</t>
  </si>
  <si>
    <t>A249</t>
  </si>
  <si>
    <t>A249 Northbound Grovehurst entry slip closure</t>
  </si>
  <si>
    <t xml:space="preserve">Overall Scheme Details: A249 Grovehurst slip road closures. Northbound entry closed. Southbound exit closed for joint works. Diversion is to Bobbing (B2006). </t>
  </si>
  <si>
    <t>A249 southbound Grovehurst exit slip closure</t>
  </si>
  <si>
    <t>M3 Eastbound Jct 2 to Jct 1 carriageway closure</t>
  </si>
  <si>
    <t>Overall Scheme Details: M3 Eastbound Jct 3 to Jct 1
Carriageway and lane closure for routine maintenance work
Diversion via National Highways and Local Authorities Network</t>
  </si>
  <si>
    <t>M25</t>
  </si>
  <si>
    <t>M25 Clockwise Jct 12 to M3 Eastbound Jct 2 link road closure</t>
  </si>
  <si>
    <t>M25 Anti-clockwise Jct 12 to M3 Eastbound Jct 2 link road closure</t>
  </si>
  <si>
    <t>M25 Anti-Clockwise Jct 17 to Jct 16 Carriageway and slip road closure</t>
  </si>
  <si>
    <t>Overall Scheme Details: M25 Anti-Clockwise Jct 17 to Jct 16
Carriageway and Lane closure for surfacing works. 
Diversion via Local Authorities and natioanl Highways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</si>
  <si>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</si>
  <si>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</si>
  <si>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</si>
  <si>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</si>
  <si>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A20</t>
  </si>
  <si>
    <t>A20 Westbound Swanley By-pass link road closure</t>
  </si>
  <si>
    <t>Overall Scheme Details: A20 Westbound Swanley By-pass Link Road
Link Road closure for electrical works
Diversions via Local Authorities Network</t>
  </si>
  <si>
    <t>M25 Clockwise Jct 20 exit slip road closure</t>
  </si>
  <si>
    <t>Overall Scheme Details: M25 Clockwise Jct 20
Slip Road and Lane Closure for Electrical Works
Diversion via National Highways Network</t>
  </si>
  <si>
    <t>M25 Anti-clockwise Jct 8 entry slip road closure</t>
  </si>
  <si>
    <t>Overall Scheme Details: M25 Anti-clockwise Jct 8 to Jct 7
Lane and slip road closure for technology works
Diversion via Local Authority and National Highway network</t>
  </si>
  <si>
    <t>A2 Westbound Dartford Heath to Danson Interchange carriageway closure</t>
  </si>
  <si>
    <t>Overall Scheme Details: A2 Westbound Dartford Heath to Danson Interchange
Carriageway and lane closure for routine maintenance works on the TfL Network
Diversion via Local Authorities Network</t>
  </si>
  <si>
    <t>M26</t>
  </si>
  <si>
    <t>M26 Eastbound M25 Jct 5 to Jct 2A carriageway closure</t>
  </si>
  <si>
    <t xml:space="preserve">Overall Scheme Details: M26 Eastbound M25 Jct 5 to Jct 2A
Carriageway and lane closure for hazardous tree and vegetation removal 
Diversion via National Highways and Local Authorities Network </t>
  </si>
  <si>
    <t>A282 Southbound Jct 1A to Jct 2 carriageway closure</t>
  </si>
  <si>
    <t>Overall Scheme Details: M25 Clockwise Dartford Crossing QEII Bridge Jct 31 to A282 Southbound to Jct 2
Carriageway and lane closure for maintenance works 
Diversion via National Highways and Local Authorities Network</t>
  </si>
  <si>
    <t>M4 Eastbound Jct 5 carriageway closure between the exit and entry slip road</t>
  </si>
  <si>
    <t>Overall Scheme Details: M4 Eastbound Jct 5 between the slip roads
Carriageway closure for waterproofing works
Diversion via Local Authority and National Highway network</t>
  </si>
  <si>
    <t>M25 Anti-Clockwise Jct 16 to M40 Eastbound and Westbound Jct 4B Link Road Closure</t>
  </si>
  <si>
    <t>Overall Scheme Details: M25 Anti-Clockwise Jct 16 to Jct 15 and M40 Eastbound and Westbound Jct 4B
Link Road and Lane Closure for Technology Works
Diversion Via National Highways Network</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</si>
  <si>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</si>
  <si>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</si>
  <si>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</si>
  <si>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A3 Northbound WIsley carriageway closure between the exit and entry slip road</t>
  </si>
  <si>
    <t xml:space="preserve">Overall Scheme Details: A3 Northbound Wisley between the slip roads and A3 Northbound Painshill between the slip roads
Carriageway and lane closure for joint replacement works
Diversion via Local Authority and National Highway network
</t>
  </si>
  <si>
    <t>A3 Northbound Painshill carriageway closure between the exit and entry slip road</t>
  </si>
  <si>
    <t>M25 Anti-clockwise Jct 10 to A3 Northbound Wisley link road closure</t>
  </si>
  <si>
    <t>Overall Scheme Details: M25 Anti-clockwise Jct 10 to A3 Northbound Wisley
Link road and lane closure for joint replacement works</t>
  </si>
  <si>
    <t>A1(M) Southbound Jct 4 Exit Slip road closure</t>
  </si>
  <si>
    <t>Overall Scheme Details: A1(M) Southbound Jct 5 to Jct 4
Lane and slip road closure for urgent carriageway repairs 
Diversion via National Highways Network</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</si>
  <si>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</si>
  <si>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</si>
  <si>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</si>
  <si>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</si>
  <si>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</si>
  <si>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</si>
  <si>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</si>
  <si>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</si>
  <si>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</si>
  <si>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</si>
  <si>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</si>
  <si>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</si>
  <si>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eastbound Lower Dean to Buckfastleigh carriageway closed</t>
  </si>
  <si>
    <t xml:space="preserve">Overall Scheme Details: A38 eastbound Marley Head to Buckfastleigh carriageway closures for structural maintenance works. Diversion via A385 and A384 </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</si>
  <si>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</si>
  <si>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</si>
  <si>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</si>
  <si>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</si>
  <si>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</si>
  <si>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southbound Jct 16 exit slip road closed</t>
  </si>
  <si>
    <t>Overall Scheme Details: M5 southbound Jct 16 exit slip road closed for white lining renewals.
Diversion via M5 southbound to Jct 17 and return M5 northbound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</si>
  <si>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</si>
  <si>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</si>
  <si>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</si>
  <si>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southbound Jct 12 exit and entry slip roads closed</t>
  </si>
  <si>
    <t xml:space="preserve">Overall Scheme Details: M5 Southbound Jct 12 exit and entry slip roads  carriageway closure for drainage works. 
Exit slip road diversion via M5 southbound to Jct 13 and return M5 northbound to Jct 12. 
Entry slip road diversion via A430 to A38 south, A419 to M5 Jct 13. </t>
  </si>
  <si>
    <t>A4</t>
  </si>
  <si>
    <t>A4 eastbound Cowley Way carriageway closure</t>
  </si>
  <si>
    <t>Overall Scheme Details: M5 southbound Jct 18 exit slip, westbound Avonmouth link road to St Brendans roundabout and A4 southbound Crowley Way to St Brendans - carriageway closure for structural inspections.
Diversion M5 and M49 traffic via - M5 southbound, exit at Jct 19 and return, exit at Jct 18, Portway roundabout, A4 Bristow Broadway to Srt Brendans roundabout. 
Diversion for Cowley Way via - Third Way and Avonmouth Way.</t>
  </si>
  <si>
    <t>M5/M49 southbound Jct 18 Avonmouth link road to St Brendans roundabout carriageway closure</t>
  </si>
  <si>
    <t>M5 southbound Jct 18 exit slip carriageway closure</t>
  </si>
  <si>
    <t>M5 southbound Jct 21 carriageway closure between the exit and entry slip (163/7 to 164/1)</t>
  </si>
  <si>
    <t>Overall Scheme Details: M5 southbound Jct 21 - carriageway closure between the exit and entry slips for St Georges Structural Upgrade scheme.
Diversion via - M5 Jct 21 exit and rejoin M5 via Jct 21 entry</t>
  </si>
  <si>
    <t>A303 westbound Wincanton exit slip road closure</t>
  </si>
  <si>
    <t>Overall Scheme Details: A303 westbound Wincanton exit slip road closure for barrier repair
Diversion via Sparkford and return</t>
  </si>
  <si>
    <t>A35</t>
  </si>
  <si>
    <t>A35 Stinsford to Bere Regis Full closure</t>
  </si>
  <si>
    <t xml:space="preserve">Overall Scheme Details: A35 Stinsford to Bere Regis - Full Closure - scheme works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</si>
  <si>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</si>
  <si>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</si>
  <si>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</si>
  <si>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</si>
  <si>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</si>
  <si>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</si>
  <si>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</si>
  <si>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</si>
  <si>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</si>
  <si>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</si>
  <si>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</si>
  <si>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southbound Jct 6 to Jct 4 carriageway closure</t>
  </si>
  <si>
    <t>Overall Scheme Details: M6 southbound Jct 6 to Jct 4.
Carriageway and link road closures for maintenance works. 
Diversion via National Highways and local authority network.</t>
  </si>
  <si>
    <t>M42</t>
  </si>
  <si>
    <t>M42 northbound Jct 7a to M6 Jct 4 southbound link road closure</t>
  </si>
  <si>
    <t>M6 southbound Jct 6 C-A entry link road closure</t>
  </si>
  <si>
    <t>M6 southbound Jct 6 E-A entry link road closure</t>
  </si>
  <si>
    <t>A38 southbound Fradley to Streethay carriageway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</si>
  <si>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</si>
  <si>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</si>
  <si>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</si>
  <si>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</si>
  <si>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M6 northbound Jct 8 to M5 southbound link road eastern arm southbound carriageway closure</t>
  </si>
  <si>
    <t xml:space="preserve">Overall Scheme Details: M6 both directions Jct 8 to M5 southbound link road ( eastern arm south ).
Carriageway closure for maintenance works. 
Diversion via National Highways and local authority network. 
</t>
  </si>
  <si>
    <t>A500 northbound Church Road exit slip road closure</t>
  </si>
  <si>
    <t>Overall Scheme Details: A500 northbound Church road.
Exit slip road closure for maintenance works.
Diversion via National Highways and local authority network.</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</si>
  <si>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</si>
  <si>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</si>
  <si>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</si>
  <si>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A46</t>
  </si>
  <si>
    <t>A46 northbound from M40 Jct 15 (exit slip and roundabout) to A46 entry slip road closure</t>
  </si>
  <si>
    <t>Overall Scheme Details: A46 northbound Warwick to M40 Jct 15.
Carriageway closure for maintenance works. 
Diversion via National Highways.</t>
  </si>
  <si>
    <t>A46 both directions Beckford to Ashton Under Hill carriageway closure</t>
  </si>
  <si>
    <t xml:space="preserve">Overall Scheme Details: A46 both direction Beckford to Ashton under Hill.
Carriageway closures for maintenance works.
Diversion via National Highways and local authority network. </t>
  </si>
  <si>
    <t>M54</t>
  </si>
  <si>
    <t>M54 eastbound Jct 1 entry slip road closure</t>
  </si>
  <si>
    <t xml:space="preserve">Overall Scheme Details: M54 eastbound Jct 1.
Entry slip road closures for maintenance works.
Diversion via National Highways network. </t>
  </si>
  <si>
    <t>A500 northbound Etruria between the exit and entry slip roads carriageway closure</t>
  </si>
  <si>
    <t>Overall Scheme Details: A500 both directions Etruria.
Carriageway closure for maintenance works.
Diversion via National Highways and local authority network.</t>
  </si>
  <si>
    <t>A45 eastbound Tollbar to Brandon Lane carriageway closure</t>
  </si>
  <si>
    <t>Overall Scheme Details: A45 eastbound Tollbar to Brandon Lane.
Carriageway closure for maintenance works.
Diversion via National Highways and local authority network.</t>
  </si>
  <si>
    <t>A500 southbound Wolstanton entry slip road closure</t>
  </si>
  <si>
    <t xml:space="preserve">Overall Scheme Details: A500 southbound Wolstanton.
Entry slip road closure for maintenance works. 
Diversion via National Highways and local authority network. 
</t>
  </si>
  <si>
    <t>A50</t>
  </si>
  <si>
    <t>A50 Eastbound Catchems to Tean</t>
  </si>
  <si>
    <t>Overall Scheme Details: A50 DBFO - Uttoxeter Blythe Bridge Bypass - Eastbound and Westbound - Full Carriageway Closures - Structure Maintenance</t>
  </si>
  <si>
    <t>A50 Eastbound Tean to A522</t>
  </si>
  <si>
    <t>Overall Scheme Details: A50 DBFO - Derby Southern Bypass - Westbound - Full Carriageway Closure - Lining and stud replacement Works</t>
  </si>
  <si>
    <t>M11 northbound Jct 14 exit slip / A14 interlink carriageway closure</t>
  </si>
  <si>
    <t>A11 northbound Tuttles interchange exit slip road closure</t>
  </si>
  <si>
    <t>Overall Scheme Details: A11 northbound 
Tuttles Lane - carriageway closure for carriageway - reconstruction/renewal on behalf of National Highways</t>
  </si>
  <si>
    <t>A12 southbound Birchwood Road exit slip road closure</t>
  </si>
  <si>
    <t>Overall Scheme Details: A12 both directions 
Birchwood Road Junction - exit slip road closure  and lane closures for inspection/survey on behalf of National Highways</t>
  </si>
  <si>
    <t>A1 both directions Carpenters Lodge exit slip - road closure</t>
  </si>
  <si>
    <t>Overall Scheme Details: A1 both directions
Carpenters Lodge exit slip - road closure for Burghley Horse Trials on behalf of Chevron</t>
  </si>
  <si>
    <t>M11 northbound Jct 11 exit slip road closure</t>
  </si>
  <si>
    <t>Overall Scheme Details: M11 both directions 
Jct 10 to Jct 14 - entry and exit slip road closures, lane closures and diversion routes for horticulture (cutting and planting) on behalf of National Highways</t>
  </si>
  <si>
    <t>M11 southbound Jct 11 entry slip road closure</t>
  </si>
  <si>
    <t>M11 southbound Jct 14 entry slip road closure</t>
  </si>
  <si>
    <t>A5 southbound Little Brickhill exit slip road closure</t>
  </si>
  <si>
    <t>A14 eastbound Jct 24 entry slip road closure</t>
  </si>
  <si>
    <t>Overall Scheme Details: A14 eastbound
Jct 24 - entry slip road closure and diversion route due to communications works on behalf of National Highways</t>
  </si>
  <si>
    <t>A421 eastbound from M1 Jct 13 to A6 carriageway closure</t>
  </si>
  <si>
    <t>M1 southbound Jct 24 entry slip road closure</t>
  </si>
  <si>
    <t xml:space="preserve">Overall Scheme Details: M1 northbound and southbound,  Jct 24 to Trowell.
Slip road, lane and lay-by closures due to maintenance works.
Diversion route via National Highways network and local authority network. </t>
  </si>
  <si>
    <t>M1 southbound Jct 24a exit slip road closure</t>
  </si>
  <si>
    <t xml:space="preserve">M1 southbound Jct 24 exit slip road closure </t>
  </si>
  <si>
    <t>A5 both directions Longshoot to Higham roundabout carriageway closure</t>
  </si>
  <si>
    <t>Overall Scheme Details: A5 northbound and southbound Burbage to Mancetter.
Carriageway and slip road closure due to horticultural works
Diversion via National Highways network.</t>
  </si>
  <si>
    <t>M1 northbound Jct 29a entry slip road closure</t>
  </si>
  <si>
    <t>Overall Scheme Details: M1 northbound Jct 29 to Jct 30
Slip road and lane closure due to technology works
Diversion via National Highways network and local authority network</t>
  </si>
  <si>
    <t>A52</t>
  </si>
  <si>
    <t>A52 eastbound Queens Drive entry slip road closure</t>
  </si>
  <si>
    <t>Overall Scheme Details: A52 eastbound Queens drive.
Slip road and lane closure due to maintenance works.
Diversion via National Highways and local authority network.</t>
  </si>
  <si>
    <t>A1 northbound Kettering entry slip road closure</t>
  </si>
  <si>
    <t>Overall Scheme Details: A1 northbound, Wothorpe to Tinwell.
Slip road and lane closures for maintenance works.
Diversion route via National Highways network and local authority network.</t>
  </si>
  <si>
    <t>A180</t>
  </si>
  <si>
    <t>A180 eastbound Jct 5 entry slip road closure</t>
  </si>
  <si>
    <t>Overall Scheme Details: A180 eastbound Barnetby to Brocklesby 
Slip road closure for general cleaning and maintenance 
Diversion A15 M180 A18 A1210 A160</t>
  </si>
  <si>
    <t>M1 northbound Woolley services entry slip road closure</t>
  </si>
  <si>
    <t xml:space="preserve">Overall Scheme Details: M1 northbound Jct 38 to Jct 39
Slip road and lane closures for general cleaning and maintenance
diversion via M1 </t>
  </si>
  <si>
    <t>M1 northbound Jct 39 exit slip road closure</t>
  </si>
  <si>
    <t>M1 northbound Jct 38 entry slip road closure</t>
  </si>
  <si>
    <t>M1 northbound Woolley services exit slip road closure</t>
  </si>
  <si>
    <t>M62 Jct 33 Ferrybridge roundabout southern quadrant closure</t>
  </si>
  <si>
    <t>M621 clockwise Jct 27 exit slip road closure</t>
  </si>
  <si>
    <t>A1m northbound Jct 36 entry slip road closure</t>
  </si>
  <si>
    <t>Overall Scheme Details: A1m northbound  and southbound Jct 35 to Jct 37
Slip road and lane closures for general cleaning and maintenance
Diversion route A630 A1m M18 A638</t>
  </si>
  <si>
    <t>A1m northbound Jct 37 exit slip road closure</t>
  </si>
  <si>
    <t>A1m northbound Sprotbrough depot access road exit and entry slip road closure</t>
  </si>
  <si>
    <t>A63 westbound Western Interchange exit slip road closure</t>
  </si>
  <si>
    <t>Overall Scheme Details: A63 westbound  Priory Way to Western Interchange
Carriageway closure for barrier/fence safety repairs 
Diversion via local authority networks</t>
  </si>
  <si>
    <t>A63 westbound  Priory Way to Western Interchange carriageway closure</t>
  </si>
  <si>
    <t>A1M Jct 53 to Jct 52 southbound carriageway closure</t>
  </si>
  <si>
    <t>A1M Jct 53 southbound entry slip road closure</t>
  </si>
  <si>
    <t>A1M Jct 52 southbound exit slip road closure</t>
  </si>
  <si>
    <t>A1M Jct 51 to Jct 52 northbound carriageway closure</t>
  </si>
  <si>
    <t>Overall Scheme Details: A1M northbound Jct 51 to Jct 52
Carriageway closures for carriageway renewal</t>
  </si>
  <si>
    <t>A1M Jct 51 northbound entry slip road closure</t>
  </si>
  <si>
    <t>A1M Jct 52 northbound exit slip road closure</t>
  </si>
  <si>
    <t>M56 Eastbound Jct 16 to 15 Carriageway Closure</t>
  </si>
  <si>
    <t>M56 Westbound Jct 15 to 16 Carriageway Closure</t>
  </si>
  <si>
    <t>M60 Anticlockwise Jct 24 exit slip road closure</t>
  </si>
  <si>
    <t>Overall Scheme Details: M60 both directions J24 to J25 - carriageway closure for barriers - permanent on behalf of National Highways</t>
  </si>
  <si>
    <t>M65 Westbound Jct 10 to 8 carriageway closure</t>
  </si>
  <si>
    <t xml:space="preserve">Overall Scheme Details: M65 Eastbound and Westbound Junction 10 to 8  lane closures and carriageway closures due to general maintenance works </t>
  </si>
  <si>
    <t>M65 Westbound Jct 10 entry slip road closure</t>
  </si>
  <si>
    <t>M65 Westbound Jct 9 entry slip road closure</t>
  </si>
  <si>
    <t>M65 Westbound Jct 8 exit slip road closure</t>
  </si>
  <si>
    <t>M56 westbound jct 7 exit slip road closure</t>
  </si>
  <si>
    <t>M62 Eastbound to M6 Southbound link road closure</t>
  </si>
  <si>
    <t>Overall Scheme Details: M6 southbound J22 to J21A - carriageway closure for drainage on behalf of National Highways</t>
  </si>
  <si>
    <t>M62 Westbound to M6 Southbound link road closure</t>
  </si>
  <si>
    <t>M6 Southbound to M62 Westbound link road closure</t>
  </si>
  <si>
    <t>M62 Westbound Jct 11 exit slip road closure</t>
  </si>
  <si>
    <t>M6 Southbound Jct 21 entry slip road closure</t>
  </si>
  <si>
    <t>A56 Southbound Bent Gate entry slip road closure</t>
  </si>
  <si>
    <t>Overall Scheme Details: A56 Northbound and Southbound junction 1 to bent gate - Carriageway Closure for Horticulture (Cutting and Planting) on behalf of Amey</t>
  </si>
  <si>
    <t>A56 Southbound Bent Gate to M66 jct 1 Carriageway Closure</t>
  </si>
  <si>
    <t>A56 southbound Edenfield exit slip road closure</t>
  </si>
  <si>
    <t>A663</t>
  </si>
  <si>
    <t>A663 (Broadgate) Eastbound Carriageway Closure</t>
  </si>
  <si>
    <t>M62 Westbound to M60 clockwise link road closure</t>
  </si>
  <si>
    <t>M62 eastbound jct 20 exit slip road closure</t>
  </si>
  <si>
    <t>Overall Scheme Details: M62 both directions Jct 18  to Jct 22 - carriageway closure for horticulture (cutting and planting) on behalf of National Highways</t>
  </si>
  <si>
    <t>M6 Southbound Scotland Border to Jct 44 Carriageway closure</t>
  </si>
  <si>
    <t xml:space="preserve">Overall Scheme Details: M6 Southbound Scotland Border to Jct 44 
Carriageway closure for carriageway - reconstruction/renewal </t>
  </si>
  <si>
    <t>M6 Southbound Jct 45 Entry slip road closure</t>
  </si>
  <si>
    <t>M6 Northbound Junction 36 to Junction 39 Carriageway closure</t>
  </si>
  <si>
    <t>Overall Scheme Details: M6 Northbound Junction 36 to Junction 39
Carriageway closure for Temporary VRS removal to allow for the programmed resurfacing</t>
  </si>
  <si>
    <t>M6 Northbound Jct 36 Entry slip road closure</t>
  </si>
  <si>
    <t>M6 Northbound Jct 37 Entry slip road closure</t>
  </si>
  <si>
    <t>M6 Northbound Jct 38 Entry slip road closure</t>
  </si>
  <si>
    <t>A3 northbound Dennis to Stoke carriageway closure</t>
  </si>
  <si>
    <t>Overall Scheme Details: A3 both directions Stoke to Dennis.
Carriageway, slip road and lane closures for structures work.</t>
  </si>
  <si>
    <t>M27 westbound Jct 11 to Jct 9 carriageway closure</t>
  </si>
  <si>
    <t>A34 southbound Peartree entry slip road closure</t>
  </si>
  <si>
    <t>Overall Scheme Details: A34 southbound Peartree.
Slip road and lane closure for maintenance work.</t>
  </si>
  <si>
    <t>A34 southbound Peartree exit slip road closure</t>
  </si>
  <si>
    <t>A27 westbound Warblington entry slip road closure</t>
  </si>
  <si>
    <t>Overall Scheme Details: A27 westbound Warblington
Slip and lane closure for Survey works</t>
  </si>
  <si>
    <t>A34 northbound Beacon Hill exit slip road closure</t>
  </si>
  <si>
    <t>Overall Scheme Details: A34 northbound Beacon Hill.
Slip road and lane closure for maintenance work.</t>
  </si>
  <si>
    <t>A34 northbound Beedon entry slip road closure</t>
  </si>
  <si>
    <t>Overall Scheme Details: A34 both directions Beedon - slip road and lane closure for white lining/road markings.</t>
  </si>
  <si>
    <t>A34 southbound Beedon exit slip road closure</t>
  </si>
  <si>
    <t>M3 southbound Jct 4 entry slip road closure</t>
  </si>
  <si>
    <t>Overall Scheme Details: M3 southbound Jct 4 - slip road closure for maintenance work</t>
  </si>
  <si>
    <t>A21 southbound Vauxhall Lane entry slip road closure</t>
  </si>
  <si>
    <t>Overall Scheme Details: A21 southbound Morleys to Longfield road Jct
Slip road's and lane closure for maintenance works.</t>
  </si>
  <si>
    <t>A21 southbound Vauxhall Lane exit slip road closure</t>
  </si>
  <si>
    <t>A21 southbound Pembury walks entry slip road closure</t>
  </si>
  <si>
    <t>A21 southbound Pembury walks exit slip road closure</t>
  </si>
  <si>
    <t>A23 northbound B2117 exit slip road closure</t>
  </si>
  <si>
    <t>A2070</t>
  </si>
  <si>
    <t>A2070 eastbound Cloverleaf exit slip road closure</t>
  </si>
  <si>
    <t>Overall Scheme Details: A2070 both directions Cloverleaf to Brenzit
Carriageway closure for resurfacing works</t>
  </si>
  <si>
    <t>A2070 westbound Cloverleaf exit slip road closure</t>
  </si>
  <si>
    <t>A2070 both directions Cloverleaf to Brenzit Carriageway closure</t>
  </si>
  <si>
    <t>A406</t>
  </si>
  <si>
    <t>A406 Eastbound Redbridge to M11 Northbound Jct 4 link road closure</t>
  </si>
  <si>
    <t xml:space="preserve">Overall Scheme Details: A406 Eastbound Redbridge to M11 Northbound Jct 4 link road 
Link road closure for urgent pothole repairs 
Diversion via Local Authorities and National Highways Network </t>
  </si>
  <si>
    <t>A38 westbound Peartree to Marley Head carriageway closed</t>
  </si>
  <si>
    <t>Overall Scheme Details: A38 westbound Peartree to Marley Head carriageway closure for structural maintenance works. Diversion via local authority road, A384 and A385</t>
  </si>
  <si>
    <t xml:space="preserve">Overall Scheme Details: M5 southbound Jct 16 exit &amp; entry slip road closed - including M4 both directions exit slips to M5 southbound for white lining renewals.
M4 diversions via - M5 northbound, exit Jct 14, B4509, A38 Southbound, at Jct 16 remain on A38 exit onto Hayes Way, Merlin Rd and rejoin the M5 at Jct 17.
M5 exit diversion - M5 southbound exit at Jct 17 and return northbound.
M5 entry slip diversion - A38 exit onto Hayes Way, Merlin Rd and rejoin the M5 at Jct 17.
</t>
  </si>
  <si>
    <t>M4 westbound Jct 20 to M5 southbound exit slip closed</t>
  </si>
  <si>
    <t>M4 eastbound Jct 20 to M5 southbound exit slip closed</t>
  </si>
  <si>
    <t>M6 northbound Jct 12 to Jct 13 carriageway closure</t>
  </si>
  <si>
    <t xml:space="preserve">Overall Scheme Details: M6 northbound Jct 12 to Jct 13.
Carriageway closure for maintenance works. 
Diversion via National Highways and local authority network. </t>
  </si>
  <si>
    <t>M42 northbound Jct 7a to M6 south link road closure</t>
  </si>
  <si>
    <t>Overall Scheme Details: M42/A45 both directions Bickenhill to Coleshill
Carriageway and lane closures for HS2 works.
Diversions are via National Highways and local authority networks.</t>
  </si>
  <si>
    <t>A50 westbound Heron Cross between the exit and entry slip roads carriageway closure</t>
  </si>
  <si>
    <t xml:space="preserve">Overall Scheme Details: A50 westbound Heron Cross to Blurton Road
Carriageway closure for maintenance works. 
Diversion via National Highways and local authority network. 
</t>
  </si>
  <si>
    <t>A40</t>
  </si>
  <si>
    <t>A40 Wilton to dixton carriageway closure westbound</t>
  </si>
  <si>
    <t xml:space="preserve">Overall Scheme Details: A40 westbound Wilton to Dixton.
Carriageway closure for maintenance works. 
Diversion via national highways and local authority network. </t>
  </si>
  <si>
    <t>M6 southbound Jct 15 entry slip road closure</t>
  </si>
  <si>
    <t xml:space="preserve">Overall Scheme Details: M6 southbound Jct 15.
Entry slip road closure for maintenance works.  
Diversion via National Highways network.
</t>
  </si>
  <si>
    <t>A14 westbound Jct 34 entry slip road closure</t>
  </si>
  <si>
    <t>Overall Scheme Details: A14 both directions
Jct 33 to Jct 35 - carriageway closure for electrical works on behalf of National Highways</t>
  </si>
  <si>
    <t>A14 westbound Jct 59 to Jct 58a carriageway closure</t>
  </si>
  <si>
    <t>A47 westbound Castor exit slip road closure</t>
  </si>
  <si>
    <t>Overall Scheme Details: A47 both directions
Castor to Jct 18 - slip road carriageway closures for horticulture (cutting and planting) on behalf of National Highways</t>
  </si>
  <si>
    <t>A47 eastbound Castor entry slip road closure</t>
  </si>
  <si>
    <t>A11 northbound B1106 entry slip road closure</t>
  </si>
  <si>
    <t>Overall Scheme Details: A11 northbound
B1106 Elveden -  Slip road carriageway closures for carriageway - reconstruction/renewal on behalf of National Highways</t>
  </si>
  <si>
    <t>A11 northbound B1106 exit slip road closure</t>
  </si>
  <si>
    <t>A14 westbound Jct 50 entry slip road closure</t>
  </si>
  <si>
    <t>Overall Scheme Details: A14 westbound 
Jct 50 to Jct 49 - carriageway closure for drainage on behalf of National Highways</t>
  </si>
  <si>
    <t>A421 westbound Black Cat Roundabout to Water End Interchange carriageway closure</t>
  </si>
  <si>
    <t>Overall Scheme Details: A1 / A421 both directions 
Biggleswade to St Neots - carriageway closures, lane closures, narrow lanes, permanent layby closures and diversion routes for construction - bypass/new on behalf of National Highways</t>
  </si>
  <si>
    <t>A1 southbound Wyboston to Black Cat Roundabout carriageway closure</t>
  </si>
  <si>
    <t>A1 southbound Black Cat Roundabout to Tempsford carriageway closure</t>
  </si>
  <si>
    <t>A1 northbound Tempsford to Black Cat Roundabout carriageway closure</t>
  </si>
  <si>
    <t>M11 southbound Jct 10 exit slip road closure</t>
  </si>
  <si>
    <t>M11 northbound Jct 12 entry slip road closure</t>
  </si>
  <si>
    <t>M11 southbound Jct 12 exit slip road closure</t>
  </si>
  <si>
    <t>M11 northbound Jct 10 entry slip road closure</t>
  </si>
  <si>
    <t>A5 southbound Little Brickhill exit slip carriageway closure</t>
  </si>
  <si>
    <t>M1 northbound Jct 10 entry slip road closure</t>
  </si>
  <si>
    <t>Overall Scheme Details: M1 northbound
Jct 10 to Jct 11 - entry slip road closure, lane closure and diversion route due to barrier/fence safety repair works on behalf of Ringway</t>
  </si>
  <si>
    <t>M1 northbound Trowell services exit slip road closure</t>
  </si>
  <si>
    <t>Overall Scheme Details: M1 northbound and southbound, Trowell to Jct 27
Slip road and lane closures for horticultural works.
Diversion route via National Highways network and local authority network</t>
  </si>
  <si>
    <t>M1 northbound Trowell services entry slip road closure</t>
  </si>
  <si>
    <t>A46 northbound lay- by closure</t>
  </si>
  <si>
    <t>Overall Scheme Details: A46 northbound and southbound Flintham to Newark on Trent
Slip road, lane and mobile lane closures due to maintenance works</t>
  </si>
  <si>
    <t>A46 southbound lay-by closure</t>
  </si>
  <si>
    <t>A46 both directions Farndon to Cattle Market carriageway closure</t>
  </si>
  <si>
    <t>A1 southbound Kettering exit slip road closure</t>
  </si>
  <si>
    <t>Overall Scheme Details: A1  southbound,  Tickencote to Wothorpe.
Slip road closure and temporary event signing for the Burghley House horse trials.</t>
  </si>
  <si>
    <t>M1 southbound Jct 29a entry slip road closure</t>
  </si>
  <si>
    <t>Overall Scheme Details: M1 southbound Jct 29a
Slip road and lane closure due to maintenance works
Diversion via National Highways network and local authority network</t>
  </si>
  <si>
    <t>A43</t>
  </si>
  <si>
    <t>A43 northbound service access road carriageway closure</t>
  </si>
  <si>
    <t xml:space="preserve">Overall Scheme Details: A43 northbound, Rothersthorpe to M1 Jct 15a.
Carriageway and lane closures for maintenance works.
Diversion route via National Highways network. 
</t>
  </si>
  <si>
    <t>A160</t>
  </si>
  <si>
    <t>A160 eastbound Brocklesby exit slip road closure</t>
  </si>
  <si>
    <t>Overall Scheme Details: A180 eastbound Barnetby to Brockleby A160 westbound Harbrough to Brocklesby 
Slip road closure for general cleaning and maintenance
Diversion  A180 A1173 A15</t>
  </si>
  <si>
    <t>A160 eastbound Brocklesby entry slip road closure</t>
  </si>
  <si>
    <t>M1 southbound Jct 37 entry slip road closure</t>
  </si>
  <si>
    <t>Overall Scheme Details: M1 southbound Jct 37
Slip road closure for inspections
Diversion A628 M1 A637</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</si>
  <si>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</si>
  <si>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</si>
  <si>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</si>
  <si>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</si>
  <si>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</si>
  <si>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</si>
  <si>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</si>
  <si>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A1M northbound Jct 44 exit slip road closure</t>
  </si>
  <si>
    <t>A61</t>
  </si>
  <si>
    <t>A61 northbound and southbound Westwood to Wentworth carriageway closure</t>
  </si>
  <si>
    <t xml:space="preserve">Overall Scheme Details: A61 northbound and southbound Wortley to Wentworth 
Carriageway and lane closures for carriageway reconstruction works 
Diversion A61 and local authority network </t>
  </si>
  <si>
    <t>A1m northbound Jct 37 to Jct 38, carriageway closure</t>
  </si>
  <si>
    <t xml:space="preserve">Overall Scheme Details: A1m northbound and southbound Jct 36 to Jct 38
Carriageway closure and lane closure for general cleaning and maintenance
Diversion local authority network 
</t>
  </si>
  <si>
    <t>A1m northbound Jct 37 entry slip road closure</t>
  </si>
  <si>
    <t>A1m northbound Jct 38 exit slip road closure</t>
  </si>
  <si>
    <t>M61 northbound jct 4 entry slip road closure</t>
  </si>
  <si>
    <t>M60 anticlockwise Jct 9 - 6 Carriageway Closure</t>
  </si>
  <si>
    <t>Overall Scheme Details: M60 both directions Junction 11 to Junction 6 - carriageway closure for horticulture (cutting and planting) on behalf of National Highways</t>
  </si>
  <si>
    <t>M60 anticlockwise jct 9 entry slip road closure</t>
  </si>
  <si>
    <t>M60 anticlockwise jct 8 exit slip road closure</t>
  </si>
  <si>
    <t>M60 anticlockwise jct 8 entry to CD road closure</t>
  </si>
  <si>
    <t>M60 anticlockwise jct 7 CD Road carriageway closure between exit &amp; entry slip roads</t>
  </si>
  <si>
    <t>M60 anticlockwise jct 12 to 11 carriageway closure</t>
  </si>
  <si>
    <t>M60 Anticlockwise Jct 19 free flow link closure</t>
  </si>
  <si>
    <t>A580</t>
  </si>
  <si>
    <t>A580 Westbound to M61 Northbound link road closure</t>
  </si>
  <si>
    <t>Overall Scheme Details: M61 northbound Jct 1  to Jct 2  - carriageway closure for electrical works on behalf of National Highways</t>
  </si>
  <si>
    <t>A66 Eastbound and Westbound Ramsay Brow  to Stainburn Roundabout Carriageway closure</t>
  </si>
  <si>
    <t xml:space="preserve">Overall Scheme Details: A66 Eastbound and Westbound Ramsay Brow  to Stainburn Roundabout
Carriageway closure for Resurfacing Works </t>
  </si>
  <si>
    <t>A34 northbound Tot Hill entry slip road and overbridge closure</t>
  </si>
  <si>
    <t>Overall Scheme Details: A34 northbound Tot Hill.
Slip road and lane closure for maintenance work.</t>
  </si>
  <si>
    <t>A34 northbound Tot Hill exit slip road closure</t>
  </si>
  <si>
    <t>M4 eastbound Membury Services closure</t>
  </si>
  <si>
    <t>Overall Scheme Details: M4 eastbound Membury Services - slip road and lane closure for drainage works.</t>
  </si>
  <si>
    <t>M27 westbound to M3 northbound link road closure</t>
  </si>
  <si>
    <t>Overall Scheme Details: M27/M3 all directions Jct 13
Carriageway and lane closures for barrier repairs</t>
  </si>
  <si>
    <t>A23 southbound Dale Hill entry slip road closure</t>
  </si>
  <si>
    <t>Overall Scheme Details: A23 southbound Albourne to Patcham
Slip and lane closures for maintenance works</t>
  </si>
  <si>
    <t>A23 southbound Donkey Island exit and entry slip road closure</t>
  </si>
  <si>
    <t>A23 southbound Pyecombe services exit slip road closure</t>
  </si>
  <si>
    <t>A21 southbound Hastings Road Exit Slip road closure</t>
  </si>
  <si>
    <t>Overall Scheme Details: A21 southbound Tonbridge to Lamberhurst,
Slip road's and lane closure for maintenance works.</t>
  </si>
  <si>
    <t>A2 westbound Wainscott entry slip road closure</t>
  </si>
  <si>
    <t>Overall Scheme Details: A2 westbound M2 Junction 2 to Gravesend
Slip and lane closures for maintenance works</t>
  </si>
  <si>
    <t>A2 westbound Brewers road exit slip road closure</t>
  </si>
  <si>
    <t>A2 westbound Brewers road entry slip road closure</t>
  </si>
  <si>
    <t>A2 westbound Cobham services exit and entry slip road closure</t>
  </si>
  <si>
    <t>A2 westbound Marling Cross exit slip road closure</t>
  </si>
  <si>
    <t>A27 eastbound Ashcombe to Southerham carriageway closure</t>
  </si>
  <si>
    <t>Overall Scheme Details: A27 eastbound Falmer to Beddingham roundabout
carriageway and lane closures for survey works</t>
  </si>
  <si>
    <t>A2 eastbound Whitfield entry slip road closure</t>
  </si>
  <si>
    <t>Overall Scheme Details: A2 eastbound Whitfield Rbt to Guston Rbt
slip road and lane closures for survey works</t>
  </si>
  <si>
    <t>M2</t>
  </si>
  <si>
    <t>M2 westbound Jct 3 entry slip closure</t>
  </si>
  <si>
    <t>Overall Scheme Details: M2 westbound Jct 3
entry slip road closure for barrier repair works</t>
  </si>
  <si>
    <t>A2 westbound Whitfield to Coldharbour lane carriageway closure</t>
  </si>
  <si>
    <t>Overall Scheme Details: A2 both directions Brenley Corner  to Whitfield
Carriageway and lane closures for surface works</t>
  </si>
  <si>
    <t>Overall Scheme Details: M25 Clockwise Dartford Crossing QEII Bridge Jct 31 to A282 Southbound Jct 2
Carriageway, lane and link road closure for technology works
Diversion via National Highways and Local Authorities Network</t>
  </si>
  <si>
    <t>A282 Southbound Jct 1B to Jct 2 link road closure</t>
  </si>
  <si>
    <t>A30 Westbound Crooked Billet exit slip road closure</t>
  </si>
  <si>
    <t>Overall Scheme Details: A30 Westbound Town Lane to Crooked Billet
Lane closure for carriageway repairs
Diversion via National Highway network</t>
  </si>
  <si>
    <t>M4 Westbound Jct 4B to Jct 5 carriageway closure</t>
  </si>
  <si>
    <t>Overall Scheme Details: M4 Westbound Jct 4B to Jct 5
Carriageway and link road closures for routine maintenance works
Diversion via National Highways and Local Authorities Network</t>
  </si>
  <si>
    <t>M25 Clockwise Jct 28 Entry Slip Closure</t>
  </si>
  <si>
    <t>Overall Scheme Details: M25 Clockwise Jct 28 to Jct 29 
Lane and slip road closure for urgent safety fence repairs 
Diversion via Local Authorities and National Highways Network</t>
  </si>
  <si>
    <t>M5 southbound Jct 18 entry slip road closed</t>
  </si>
  <si>
    <t>Overall Scheme Details: M5 southbound Jct 18 / 18a exit and entry slip roads closed for road markings renewal.
Diversion for exit slip road via M5 southbound, exit at Jct 19 and return northbound.
Diversion for entry slip roads via M5 northbound, exit at Jct 17 and return southbound.</t>
  </si>
  <si>
    <t>M5 southbound Jct 18a entry slip road closed</t>
  </si>
  <si>
    <t>M5 southbound Jct 18 exit slip road closed</t>
  </si>
  <si>
    <t>M5 southbound Jct 23 to 24 carriageway closure</t>
  </si>
  <si>
    <t>Overall Scheme Details: M5 southbound Jct 23 to 24 carriageway closure for resurfacing.
Diversion via A39 and A38.</t>
  </si>
  <si>
    <t>M4 westbound Jct 17 entry slip road closure</t>
  </si>
  <si>
    <t>Overall Scheme Details: M4 westbound Jct 17 entry slip road closure for inspections
Diversion eastbound to Jct 16 and return</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</si>
  <si>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</si>
  <si>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</si>
  <si>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</si>
  <si>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</si>
  <si>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M42 southbound Jct 8 to M6 northbound Jct 4a link road closure</t>
  </si>
  <si>
    <t>Overall Scheme Details: M42 both directions Jct 5a to Jct 9.
Carriageway closures for HS2 works.
Diversion via National Highways and local authority network.</t>
  </si>
  <si>
    <t>M42 northbound Jct 3a link road closure</t>
  </si>
  <si>
    <t>Overall Scheme Details: M42 northbound Jct 3a to Jct 4.
Carriageway closure for maintenance works.
Diversion via National Highways and local authority network.</t>
  </si>
  <si>
    <t>M54 westbound Jct 1 entry slip road closure</t>
  </si>
  <si>
    <t xml:space="preserve">Overall Scheme Details: M54 westbound Jct 1.
Entry slip road closure for maintenance works.
Diversion via National Highways and local authority network.
</t>
  </si>
  <si>
    <t>A120</t>
  </si>
  <si>
    <t>A120 eastbound Notely entry slip carriageway closure</t>
  </si>
  <si>
    <t>Overall Scheme Details: A120 both directions
 Marks Farm Roundabout to Galleys Interchange - carriageway closure for white lining road markings on behalf of National Highways</t>
  </si>
  <si>
    <t>A120  westbound Marks Farm Roundbout to Galleys Roundabout carriageway closure</t>
  </si>
  <si>
    <t>A120 Galley's Corner Roundabout carriageway closure</t>
  </si>
  <si>
    <t>A120 eastbound Panners Interchange to Galley's Corner carriageway closure</t>
  </si>
  <si>
    <t>M1 northbound Jct 11A to Jct 13 carriageway closure</t>
  </si>
  <si>
    <t>Overall Scheme Details: M1 northbound
Jct 11A to Jct 13 - carriageway closure, lane closures and diversion route due to carriageway - reconstruction/renewal works on behalf of National Highways</t>
  </si>
  <si>
    <t>M45 eastbound Thurlaston to M1 Jct 17 carriageway closure</t>
  </si>
  <si>
    <t>A14 eastbound Jct 1 exit slip road closure</t>
  </si>
  <si>
    <t>Overall Scheme Details: A14 eastbound Jct 1. 
Slip road and lane closure for maintenance works.
Diversion route via National Highways network.</t>
  </si>
  <si>
    <t>M62 eastbound Jct 37 entry slip road closure</t>
  </si>
  <si>
    <t>Overall Scheme Details: M62 eastbound Jct 36 to Jct 38 
Carriageway closure and Slip road closure and lane closures for carriageway repairs 
Diversion A614 M62 A161</t>
  </si>
  <si>
    <t>M62 eastbound Jct 37 to Jct 38, carriageway closure</t>
  </si>
  <si>
    <t>M62 eastbound Jct 38 exit slip road closure</t>
  </si>
  <si>
    <t>A1M northbound Sprotborough depot access road closure</t>
  </si>
  <si>
    <t xml:space="preserve">Overall Scheme Details: A1M northbound Jct 35 to Jct 37
Carriageway and lane closures for carriageway repairs
Diversion via local authority </t>
  </si>
  <si>
    <t>A1M northbound Jct 36 entry slip road closure</t>
  </si>
  <si>
    <t>A1M northbound Jct 37 exit slip road closure</t>
  </si>
  <si>
    <t>A1M northbound Jct 36 to Jct 37 carriageway closure</t>
  </si>
  <si>
    <t>M62 eastbound Jct 27 carriageway closure between exit and entry slip roads</t>
  </si>
  <si>
    <t xml:space="preserve">Overall Scheme Details: M62 eastbound Jct 26 to Jct 28 
Carriageway and lane closures for carriageway repairs
Diversion via M62 </t>
  </si>
  <si>
    <t>A1 Jct 79 northbound entry slip road closure</t>
  </si>
  <si>
    <t>Overall Scheme Details: A1 northbound and southbound Jct 79 
Entry slip road closure for SU works</t>
  </si>
  <si>
    <t>M62 easbound Jct 32a to A1M north and south closed</t>
  </si>
  <si>
    <t>Overall Scheme Details: M62 eastbound junction 32a link roads to A1M northbound and southbound closed for structure inspections. Diversion on National Highways network. Lane closures on the A1M southbound junction 41 to junction 40.</t>
  </si>
  <si>
    <t>A1M Southbound J42 exit slip closed</t>
  </si>
  <si>
    <t>Overall Scheme Details: A1M junction 42 slip road closures and A63 overbridge closures for overhead power line works. Diversion on Local Authority and National Highways network</t>
  </si>
  <si>
    <t>A1M Southbound J42 entry slip closed</t>
  </si>
  <si>
    <t>M61 Northbound Jct 4 Carriageway closure between exit and entry slips</t>
  </si>
  <si>
    <t>M61 Southbound Jct 3 carriageway closure between exit and entry slip road</t>
  </si>
  <si>
    <t xml:space="preserve">Overall Scheme Details: M61 Junction 3 - A666 Northbound &amp; Southbound carriageway closure due to maintenance works </t>
  </si>
  <si>
    <t>M61 Northbound Jct 3 carriageway closure between exit and entry slip road</t>
  </si>
  <si>
    <t>M53 Northbound Jct 5 to 4 Carriageway Closure</t>
  </si>
  <si>
    <t>M53 Northbound Jct 5 entry slip road closure</t>
  </si>
  <si>
    <t>M53 Northbound Jct 4 exit slip road closure</t>
  </si>
  <si>
    <t>M53 Southbound Jct 12 to A55 Jct 40 carriageway closure</t>
  </si>
  <si>
    <t xml:space="preserve">Overall Scheme Details: A55 Southbound M53  Jct 12 to Jct 40 - carriageway closure for drainage </t>
  </si>
  <si>
    <t>A55</t>
  </si>
  <si>
    <t>A55 Southbound  jct 41 entry slip road closure</t>
  </si>
  <si>
    <t>A55 Southbound jct 40 exit slip road closure</t>
  </si>
  <si>
    <t>M61 Northbound Rivington Services exit slip road closures</t>
  </si>
  <si>
    <t xml:space="preserve">Overall Scheme Details: M61 Northbound junction 6  to junction 8 - Carriageway Closure for Horticulture </t>
  </si>
  <si>
    <t>M61 Northbound Rivington Services entry slip road closure</t>
  </si>
  <si>
    <t>M56 Eastbound Jct 5 to 2 Carriageway Closure</t>
  </si>
  <si>
    <t xml:space="preserve">Overall Scheme Details: M56 Eastbound Junction 6 to Junction 3a - Lane Closure for Horticulture (Cutting and Planting) </t>
  </si>
  <si>
    <t>M56 Eastbound Jct 5 entry slip road closure</t>
  </si>
  <si>
    <t>M56 Eastbound Jct 4 entry slip road closure</t>
  </si>
  <si>
    <t>M56 Eastbound Jct 6 Carriageway Closure between exit and entry slips</t>
  </si>
  <si>
    <t>M56 eastbound jct 14 exit slip road closure</t>
  </si>
  <si>
    <t>Overall Scheme Details: M56 eastbound J14 to J12 - lane closure and slip road closures for drainage on behalf of National Highways</t>
  </si>
  <si>
    <t>M56 eastbound jct 14 entry slip road closure</t>
  </si>
  <si>
    <t>M57 Northbound Jct 6 to Switch Island carriageway closure</t>
  </si>
  <si>
    <t>Overall Scheme Details: M57 northbound and southbound Junction 6 to Switch Island - carriageway closure for horticulture (cutting and planting) on behalf of National Highways</t>
  </si>
  <si>
    <t>M57 Northbound Jct 5 entry slip road closure</t>
  </si>
  <si>
    <t>M57 Northbound jct 6 entry slip road closure</t>
  </si>
  <si>
    <t>M56 Eastbound to M6 Northbound link road closure</t>
  </si>
  <si>
    <t>Overall Scheme Details: M6 northbound J20 to J21 - carriageway closure for drainage on behalf of National Highways</t>
  </si>
  <si>
    <t>M6 Northbound Jct 20 free flow link from A50 closure</t>
  </si>
  <si>
    <t>M6 Northbound Jct 21 exit slip road closure</t>
  </si>
  <si>
    <t>A556</t>
  </si>
  <si>
    <t>A556 Southbound entry slip road closure from B5569</t>
  </si>
  <si>
    <t>Overall Scheme Details: A556 southbound B5569 to A556 Sb - carriageway closure for barriers - permanent on behalf of National Highways</t>
  </si>
  <si>
    <t>A31 westbound Palmersford to Ameysford carriageway closure</t>
  </si>
  <si>
    <t>Overall Scheme Details: A31 both directions  Ameysford Roundabout to Palmersford Roundabout
Carriageway and lane closures for Scottish and Southern Power</t>
  </si>
  <si>
    <t>A31 eastbound Ameysford to Ferndown carriageway closure</t>
  </si>
  <si>
    <t>A31 westbound Ferndown entry slip road closure</t>
  </si>
  <si>
    <t>A27 eastbound Langstone carriageway closure between the exit and entry slip roads</t>
  </si>
  <si>
    <t>Overall Scheme Details: A27 both directions Langstone
Carriageway closure for structures work</t>
  </si>
  <si>
    <t>M3 southbound Jct 3 entry slip road closure</t>
  </si>
  <si>
    <t>Overall Scheme Details: M3 southbound Jct 3.
Slip road and lane closure for maintenance work.</t>
  </si>
  <si>
    <t>A2 westbound A2050 to Brenley carriageway closure</t>
  </si>
  <si>
    <t>Overall Scheme Details: A2 westbound Bridge to Brenley
carriageway, slip road, lane and layby closure for maintenance works</t>
  </si>
  <si>
    <t>M25 Anti-clockwise Jct 31 entry slip road closure</t>
  </si>
  <si>
    <t xml:space="preserve">Overall Scheme Details: M25 Anti-clockwise Jct 31 Entry Slip Road
Slip road closure for bridge maintenance      
Diversion via Local Authorities and National Highways Network     
</t>
  </si>
  <si>
    <t>A282 Northbound Dartford Crossing East Tunnel closure No access over Dartford Crossing for vehicles over 4.8m</t>
  </si>
  <si>
    <t>Overall Scheme Details: A282 Northbound Dartford Crossing East Tunnel
Tunnel closure for contraflow
Diversion via National Highways Network</t>
  </si>
  <si>
    <t>M25 Clockwise Dartford Crossing QEII Bridge Jct 31 to Jct 1A bridge closure</t>
  </si>
  <si>
    <t>Overall Scheme Details: M25 Clockwise Dartford Crossing QEII Bridge Jct 31 to Jct 1A
Bridge closure for bridge maintenance works
Diversion via National Highways Network</t>
  </si>
  <si>
    <t>M25 Clockwise Jct 25 to Jct 26 carriageway closure</t>
  </si>
  <si>
    <t>Overall Scheme Details: M25 Clockwise Jct 25 to Jct 26 
Carriageway, slip road and lane closure for tunnel works 
Diversion via Local Authorities and National Highways Network</t>
  </si>
  <si>
    <t>M1 Northbound Jct 6 Entry Slip and Exit Slip Road Closure</t>
  </si>
  <si>
    <t>Overall Scheme Details: A405 Southbound J21A to M1 Northbound Jct 6
Slip Road and Lane Closure For Urgent Safety Fence Repairs
Diversion via National Highways Network</t>
  </si>
  <si>
    <t>A1(M) Southbound Jct 4 to Jct 2 Carriageway and Slip Road Closure</t>
  </si>
  <si>
    <t>Overall Scheme Details: A1(M) Southbound Jct 4 to Jct 2 
Carriageway, Slip Road and Lane Closure for Tunnel Works
Diversion via Local Authorities Network</t>
  </si>
  <si>
    <t>A1(M) Northbound Jct 3 to Jct 4 Carriageway and Slip Road Closure</t>
  </si>
  <si>
    <t>Overall Scheme Details: A1(M) Northbound Jct 3 to Jct 4
Carriageway, Slip Road and Lane Closure for Tunnel Works
Diversion via Local Authorities Network</t>
  </si>
  <si>
    <t>A30 westbound Kennards House to Five Lanes carriageway closure</t>
  </si>
  <si>
    <t>Overall Scheme Details: A30 both directions Carminnow Cross to Kennards House carriageway closure for carriageway upgrade.
Diversion via A388 to Carkeel and A38 to Carminnow Cross and reverse. Westbound is open from Five Lanes</t>
  </si>
  <si>
    <t>A30 eastbound Carminnow Cross to Kennards House carriageway closure</t>
  </si>
  <si>
    <t>M42 southbound Jct 6 between the exit and entry slip roads carriageway closure</t>
  </si>
  <si>
    <t>Overall Scheme Details: M42 both directions Jct 6 to Jct 7.
Carriageway and lane closures for maintenance works.
Diversion via National Highways network.</t>
  </si>
  <si>
    <t>A38 southbound Fradley Park to Streethay carriageway closure</t>
  </si>
  <si>
    <t>Overall Scheme Details: A38 southbound Fradley Park to Streethay.
Carriageway closure for maintenance works.
Diversion via National Highways and local authority network.</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</si>
  <si>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</si>
  <si>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</si>
  <si>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M180 westbound Jct 3 to Jct 2 carriageway closure</t>
  </si>
  <si>
    <t>M181</t>
  </si>
  <si>
    <t>M181 southbound to M180 westbound Jct 3 entry slip road closure</t>
  </si>
  <si>
    <t>M180 westbound Jct 2 exit slip road closure</t>
  </si>
  <si>
    <t>M606 southbound Jct 26 to M62 eastbound Jct 26 link road closure</t>
  </si>
  <si>
    <t xml:space="preserve">Overall Scheme Details: M62 eastbound Jct 26 to Jct 27, M606 southbound Jct 1 to Jct 26 M621 clockwise Jct 27
Carriageway closure and lane closures for electrical works
Diversion A58 A650 A62 </t>
  </si>
  <si>
    <t>M62 eastbound Jct 26 entry slip road closure</t>
  </si>
  <si>
    <t>M621 clockwise Jct 27, carriageway closure</t>
  </si>
  <si>
    <t>M62 eastbound Jct 27 exit slip road closure</t>
  </si>
  <si>
    <t>M62 eastbound Jct 26 to Jct 27, carriageway closure</t>
  </si>
  <si>
    <t>M180 eastbound Jct 4 exit slip road closure</t>
  </si>
  <si>
    <t>Overall Scheme Details: M180 eastbound Jct 3 to Jct 4
Slip road closure and lane closures for general cleaning and maintenance 
Diversion M180 A15</t>
  </si>
  <si>
    <t>M18 southbound Jct 5 exit slip road closure</t>
  </si>
  <si>
    <t>Overall Scheme Details: M18 southbound Jct 6 to Jct 5 
carriageway and lane closure for carriageway improvements
diversion via M62  A162 A1t A1m</t>
  </si>
  <si>
    <t>M18 southbound Jct 6 entry slip road closure</t>
  </si>
  <si>
    <t>M18 southbound Jct 6 to Jct 5 carriageway closure</t>
  </si>
  <si>
    <t>M62 westbound Jct 27 entry slip road closure</t>
  </si>
  <si>
    <t>Overall Scheme Details: M62 westbound Jct 27 to Jct 26 and M621 anticlockwise Jct 1 to Jct 27.
Carriageway and lane closures for electrical works.
Diversion via A58, A650 and A62.</t>
  </si>
  <si>
    <t>M62 westbound Jct 27 to Jct 26 Carriageway closure</t>
  </si>
  <si>
    <t>M621 anti clockwise Jct 27 carriageway closure between exit and entry slip roads</t>
  </si>
  <si>
    <t>M1 northbound Jct 39 to Jct 40 carriageway closure</t>
  </si>
  <si>
    <t>Overall Scheme Details: M1 northbound Jct 39 to Jct 40 
Carriageway closure for white lining/road markings
Diversion via local authority networks</t>
  </si>
  <si>
    <t>M1 northbound Jct 39 entry slip road closure</t>
  </si>
  <si>
    <t>M1 northbound Jct 40 exit slip road closure</t>
  </si>
  <si>
    <t>M61 Southbound Jct 5 entry slip road closure</t>
  </si>
  <si>
    <t>M61 Southbound Jct 5 to 4 Carriageway Closure</t>
  </si>
  <si>
    <t>M61 Southbound Jct 4 exit slip road closure</t>
  </si>
  <si>
    <t>M56 Westbound Jct 5 to 6 carriageway closure</t>
  </si>
  <si>
    <t>Overall Scheme Details: M56 westbound Junction 5 to Junction 6 - carriageway closure for horticulture (cutting and planting) on behalf of National Highways</t>
  </si>
  <si>
    <t>M56 Westbound Jct 5 entry slip road closure</t>
  </si>
  <si>
    <t>M56 Westbound Jct 6 exit slip road closure</t>
  </si>
  <si>
    <t>M60 clockwise jct 12 to 13 carriageway closure</t>
  </si>
  <si>
    <t xml:space="preserve">Overall Scheme Details: M60 clockwise and anticlockwise jct 9 - 14 lane closures and carriageway closures due to maintenance works </t>
  </si>
  <si>
    <t>M62 eastbound to M60 clockwise link road closure</t>
  </si>
  <si>
    <t>M60 clockwise jct 13 exit slip road closure</t>
  </si>
  <si>
    <t>M602</t>
  </si>
  <si>
    <t>M602 westbound to M60 clockwise link road closure</t>
  </si>
  <si>
    <t>M53 northbound jct 2 entry slip road closure</t>
  </si>
  <si>
    <t>Overall Scheme Details: M53 Northbound Junction 3 to Junction 1 - Carriageway Closure for Drainage on behalf of Amey</t>
  </si>
  <si>
    <t>M53 northbound jct 1 exit slip road closure</t>
  </si>
  <si>
    <t>M53 northbound jct 3 entry slip road closure</t>
  </si>
  <si>
    <t>M53 northbound jct 2 exit slip road closure</t>
  </si>
  <si>
    <t>M53 northbound Jct 3 to 1 Carriageway Closure</t>
  </si>
  <si>
    <t>M53 Northbound Moreton Spur carriageway closure</t>
  </si>
  <si>
    <t>A5103</t>
  </si>
  <si>
    <t>A5103 Northbound Altrincham Road entry slip road closure</t>
  </si>
  <si>
    <t>Overall Scheme Details: A5103 northbound M56 to Mersey Crescent - carriageway closure for horticulture (cutting and planting) on behalf of National Highways</t>
  </si>
  <si>
    <t>A5103 Northbound Palatine Road exit slip road closure</t>
  </si>
  <si>
    <t>M6 Southbound to M65 Eastbound link road closure</t>
  </si>
  <si>
    <t>Overall Scheme Details: M6 Southbound Junction 29 - carriageway closure for horticulture (cutting and planting) on behalf of National Highways</t>
  </si>
  <si>
    <t>M65 westbound Jct 8 to 7 carriageway closure</t>
  </si>
  <si>
    <t xml:space="preserve">Overall Scheme Details: M65 Eastbound and Westbound junction 7 to 8 lane closures and carriageway closures due to general maintenance works </t>
  </si>
  <si>
    <t>M65 Westbound Jct 8 entry slip road closure</t>
  </si>
  <si>
    <t>M65 westbound jct 7 exit slip road closure</t>
  </si>
  <si>
    <t>A20 westbound Eastern Docks to Western Heights roundabout carriageway closure</t>
  </si>
  <si>
    <t>Overall Scheme Details: A20 both directions Eastern Docks to Western Heights roundabout
carriageway and lane closures for maintenance works.</t>
  </si>
  <si>
    <t>M2 eastbound Jct 5 entry slip road closure</t>
  </si>
  <si>
    <t>Overall Scheme Details: M2 eastbound Jct 5
slip road and lane closure for maintenance works</t>
  </si>
  <si>
    <t>Overall Scheme Details: A282 Northbound Dartford Crossing East Tunnel
Tunnel closure for maintenance works
Diversion via National Highways Network</t>
  </si>
  <si>
    <t>A30 eastbound Holyway Cross exit slip closure 24/7</t>
  </si>
  <si>
    <t>Overall Scheme Details: A30 eastbound Holyway Cross exit slip closed 24/7 for carriageway upgrade.
Diversion via Kennards House and back.</t>
  </si>
  <si>
    <t>A45 westbound Tollbar entry slip road closure</t>
  </si>
  <si>
    <t xml:space="preserve">Overall Scheme Details: A45 westbound Tollbar.
Entry slip road closures for maintenance works.
Diversion via National Highways and local authority network. 
</t>
  </si>
  <si>
    <t>M42 northbound Jct 4 entry slip road closure</t>
  </si>
  <si>
    <t xml:space="preserve">Overall Scheme Details: M42 northbound Jct 4.
Entry slip road closure for maintenance works. 
Diversion via National Highways and local authority network. </t>
  </si>
  <si>
    <t>A14 eastbound Jct 33 to Jct 35 carriageway closure</t>
  </si>
  <si>
    <t>A12 northbound Jct 21 - carriageway closure between the Exit slip and entry slip road</t>
  </si>
  <si>
    <t>Overall Scheme Details: A12 northbound
Jct 21 - carriageway closure for structure - new/reconstruction on behalf of National Highways</t>
  </si>
  <si>
    <t>A12 southbound Jct 33 to Jct 29 carriageway closure</t>
  </si>
  <si>
    <t>Overall Scheme Details: A12 southbound
Jct 33 to Jct 29 - carriageway closure for construction - bridge/structure on behalf of National Highways</t>
  </si>
  <si>
    <t>A11 southbound Balsham Road to Worsted Lodge carriageway closure</t>
  </si>
  <si>
    <t>Overall Scheme Details: A11 southbound 
Balsham Road to Worsted Lodge - carriageway closure for carriageway - reconstruction/renewal on behalf of National Highways</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</si>
  <si>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</si>
  <si>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</si>
  <si>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M11 northbound Jct 9A exit slip road closure</t>
  </si>
  <si>
    <t>Overall Scheme Details: M11 both directions 
Jct 9A to Jct 6 - exit and entry slip road closures, mobile lane closures and diversion route for horticulture (cutting and planting) on behalf of National Highways</t>
  </si>
  <si>
    <t>M11 southbound Jct 9A entry slip road closure</t>
  </si>
  <si>
    <t>A14 eastbound Jct 43 to Jct 51 carriageway closure</t>
  </si>
  <si>
    <t>Overall Scheme Details: A14 eastbound 
Jct 43 to Jct 51 - carriageway closure for carriageway - reconstruction/renewal on behalf of National Highways</t>
  </si>
  <si>
    <t>A12 northbound Jct 28 to Jct 29 carriageway closure</t>
  </si>
  <si>
    <t>Overall Scheme Details: A12 northbound 
Jct 28 to Jct 29 - carriageway closure for carriageway - reconstruction/renewal on behalf of National Highways</t>
  </si>
  <si>
    <t>A47 westbound Jct 16 entry slip road closure</t>
  </si>
  <si>
    <t>A47 westbound Jct 15 entry slip road closure</t>
  </si>
  <si>
    <t>A47 westbound Jct 15 exit slip road closure</t>
  </si>
  <si>
    <t>A47 eastbound Jct 16 entry slip road closure</t>
  </si>
  <si>
    <t>M11 southbound Jct 7A carriageway closure</t>
  </si>
  <si>
    <t>Overall Scheme Details: M11 southbound 
Jct 8 to Jct 7A - carriageway closure for communications on behalf of National Highways</t>
  </si>
  <si>
    <t>M11 northbound Jct 7A to Jct 8 carriageway closure</t>
  </si>
  <si>
    <t>Overall Scheme Details: M11 northbound
Jct 7A to Jct 8  - carriageway closure for communications on behalf of National Highways</t>
  </si>
  <si>
    <t>M11 northbound Jct 10 exit slip road closure</t>
  </si>
  <si>
    <t>M11 southbound Jct 13 entry slip road closure</t>
  </si>
  <si>
    <t>A1 northbound Brampton Hut exit slip road closure and southwest roundabout closure</t>
  </si>
  <si>
    <t>Overall Scheme Details: A1 both directions 
Brampton Hut - carriageway closure for white lining/road markings on behalf of National Highways</t>
  </si>
  <si>
    <t>A421 eastbound A6 junction to A603 carriageway closure</t>
  </si>
  <si>
    <t>M11 southbound Jct 11 exit slip road closure</t>
  </si>
  <si>
    <t>Overall Scheme Details: M11 southbound 
Jct 12 to Jct 11 - carriageway closure for carriageway - reconstruction/renewal on behalf of National Highways</t>
  </si>
  <si>
    <t>M40 Southbound Jct 3 entry slip road closure</t>
  </si>
  <si>
    <t>Overall Scheme Details: M40 Southbound Jct 3, entry slip road closure for maintenance works.
Diversion via local authority roads and National Highways network.</t>
  </si>
  <si>
    <t>M1 northbound Jct 26 exit slip road closure</t>
  </si>
  <si>
    <t>M1 northbound Jct 26 entry slip road closure</t>
  </si>
  <si>
    <t>A46 both directions Cattlemarket roundabout to Brownhills roundabout carriageway closure</t>
  </si>
  <si>
    <t xml:space="preserve">Overall Scheme Details: A46 northbound and southbound Newark on Trent to Swinderby.
Carriageway, Lay-By and lane closure and temporary traffic signals for horticultural works.
Diversion route via National Highways and local authority network. </t>
  </si>
  <si>
    <t>A45 northbound lay-by closure</t>
  </si>
  <si>
    <t xml:space="preserve">Overall Scheme Details: A45 northbound and southbound Chowns Mill to Thrapston.
Carriageway, layby and lane closure for maintenance works. 
</t>
  </si>
  <si>
    <t>A45 southbound lay-by closure</t>
  </si>
  <si>
    <t>A45 both direction Stanwick to Raunds carriageway closure</t>
  </si>
  <si>
    <t>A5 both directions Higham roundabout to Redgate Jct carriageway closure</t>
  </si>
  <si>
    <t>A38 Kingsway roundabout partial carriageway closure</t>
  </si>
  <si>
    <t>M1 northbound Jct 28 entry slip road closure</t>
  </si>
  <si>
    <t xml:space="preserve">Overall Scheme Details: M1 northbound Jct 28 to Jct 29a.
Slip road and lane closures for maintenance works. 
Diversion Via National Highways network. </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</si>
  <si>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</si>
  <si>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</si>
  <si>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Harlaxton entry slip road closure</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</si>
  <si>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</si>
  <si>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</si>
  <si>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</si>
  <si>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</si>
  <si>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</si>
  <si>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</si>
  <si>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</si>
  <si>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</si>
  <si>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</si>
  <si>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</si>
  <si>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</si>
  <si>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</si>
  <si>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</si>
  <si>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</si>
  <si>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</si>
  <si>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</si>
  <si>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</si>
  <si>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</si>
  <si>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M1 southbound Jct 18 exit slip road closure</t>
  </si>
  <si>
    <t>Overall Scheme Details: M1 southbound Jct 18 to Jct 16
Slip road and lane closure due to survey works
Diversion via National Highways network and local authority network</t>
  </si>
  <si>
    <t>A52 eastbound Bus lane carriageway closure</t>
  </si>
  <si>
    <t>Overall Scheme Details: A52 eastbound QMC to Dunkirk.
Bus lane closure for maintenance works.</t>
  </si>
  <si>
    <t>A180 eastbound Stallingborough exit slip road closure</t>
  </si>
  <si>
    <t>Overall Scheme Details: A180 eastbound Stallingborough to Pyewipe
Slip road and lane closures for general cleaning and maintenance
Diversion A180</t>
  </si>
  <si>
    <t>A180 eastbound Stallingborough entry slip road closure</t>
  </si>
  <si>
    <t>A180 eastbound Great coates exit slip road closure</t>
  </si>
  <si>
    <t>A180 eastbound Great coates entry slip road closure</t>
  </si>
  <si>
    <t>M1 northbound Jct 41 exit slip road closure</t>
  </si>
  <si>
    <t>Overall Scheme Details: M1 northbound Jct 41 to Jct 43 and M62 eastbound and westbound Jct 29.
Slip road and lane closures for general cleaning and maintenance works.
Diversion route via M1 and M621</t>
  </si>
  <si>
    <t>M1 northbound Jct 42 entry slip road closure</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</si>
  <si>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</si>
  <si>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</si>
  <si>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</si>
  <si>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</si>
  <si>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M621 clockwise Jct 27 to Jct 1, carriageway closure</t>
  </si>
  <si>
    <t>Overall Scheme Details: M62 eastbound Jct 27 M621 clockwise and anticlockwise Jct 27 to Jct 1
Carriageway closure and lane closures for inspections
Diversion M62 A653 A6110 M621</t>
  </si>
  <si>
    <t>M621 clockwise Jct 27 entry slip road closure</t>
  </si>
  <si>
    <t>M621 clockwise Jct 1 exit slip road closure</t>
  </si>
  <si>
    <t>M1 northbound Jct 38 carriageway closure between exit and entry slip roads</t>
  </si>
  <si>
    <t>Overall Scheme Details: M1 northbound Jct 38
carriageway closure for Technology works
Diversion vis A637</t>
  </si>
  <si>
    <t>A1033</t>
  </si>
  <si>
    <t>A1033 eastbound Somerden to Saltend, carriageway closure</t>
  </si>
  <si>
    <t xml:space="preserve">Overall Scheme Details: A1033 eastbound and westbound Marfleet to Saltend
Carriageway closure and lane closures for survey works
Diversion local authority network </t>
  </si>
  <si>
    <t>A1033 westbound Saltend to Somerden, carriageway closure</t>
  </si>
  <si>
    <t>A1033 westbound Saltend entry slip road closure</t>
  </si>
  <si>
    <t>M18 northbound Jct 3 entry slip road closure</t>
  </si>
  <si>
    <t>Overall Scheme Details: M18 northbound Jct 3 to Jct 4
Slip road closure for barrier repairs
Diversion via M18</t>
  </si>
  <si>
    <t>A1M Jct 62 northbound entry slip road closure</t>
  </si>
  <si>
    <t>Overall Scheme Details: A1M northbound and southbound Jct 62 Int.
Carriageway closure for carriageway renewal</t>
  </si>
  <si>
    <t>A1M Jct 62 partial circulatory closure (1)</t>
  </si>
  <si>
    <t>A1M Jct 62 southbound exit slip road closure</t>
  </si>
  <si>
    <t>A19 Killingworth Southbound Exit Slip Road Closure</t>
  </si>
  <si>
    <t>Overall Scheme Details: A19 Southbound Moorfarm to Killingworth 
Carriageway Closure for Electrical Works</t>
  </si>
  <si>
    <t>A19 Moorfarm to Killingworth Southbound Carriageway Closure</t>
  </si>
  <si>
    <t>M60 Clockwise Jct 11 entry slip road closure</t>
  </si>
  <si>
    <t>Overall Scheme Details: M60 clockwise J10 to J12 - lane closure for barrier/fence safety repairs on behalf of National Highways</t>
  </si>
  <si>
    <t>Overall Scheme Details: M6 both directions J20 to J21 - carriageway closure for carriageway - reconstruction/renewal on behalf of National Highways</t>
  </si>
  <si>
    <t>M6 Northbound Jct 21 entry slip road closure</t>
  </si>
  <si>
    <t>M61 Southbound Rivington Services exit slip road closures</t>
  </si>
  <si>
    <t>Overall Scheme Details: M61 Southbound junction 8 to junction 6 - Carriageway Closure for Horticulture (Cutting and Planting) on behalf of Amey</t>
  </si>
  <si>
    <t>M61 Southbound Rivington Services  entry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</si>
  <si>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</si>
  <si>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</si>
  <si>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</si>
  <si>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</si>
  <si>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M60 clockwise jct 24 to 26 carriageway closure</t>
  </si>
  <si>
    <t xml:space="preserve">Overall Scheme Details: M60 clockwise and anticlockwise jct 23 - 1 lane closures and carriageway closures due to maintenance works </t>
  </si>
  <si>
    <t>M60 clockwise jct 25 exit slip road closure</t>
  </si>
  <si>
    <t>M60 clockwise jct 24 entry slip road closure</t>
  </si>
  <si>
    <t>M60 Anticlockwise Jct 25 entry slip road closure</t>
  </si>
  <si>
    <t>A666</t>
  </si>
  <si>
    <t>A666 Southbound Kearsley Spur carriageway closure between exit and entry slip roads</t>
  </si>
  <si>
    <t>Overall Scheme Details: M61 both directions J3 to J1 - carriageway closure for electrical works</t>
  </si>
  <si>
    <t>M60 Clockwise Jct 7 to 8 CD link carriageway closure</t>
  </si>
  <si>
    <t>Overall Scheme Details: M60 clockwise J5 to J7 - carriageway closure for structure - maintenance on behalf of National Highways</t>
  </si>
  <si>
    <t>M60 Clockwise Jct 6 entry slip road closure</t>
  </si>
  <si>
    <t>M60 Clockwise Jct 7 exit slip road closure</t>
  </si>
  <si>
    <t>M60 Clockwise Jct 8 exit slip road closure</t>
  </si>
  <si>
    <t>M60 Clockwise Jct 7 entry slip road closure</t>
  </si>
  <si>
    <t>M65 Eastbound Jct 6 exit slip road closure</t>
  </si>
  <si>
    <t>Overall Scheme Details: M65  Eastbound Jct 4 to 6  Carriageway  closure  due to improvement works  for Blackburn with Darwen Borough Council</t>
  </si>
  <si>
    <t>M65 Eastbound Jct 5 exit slip road closure</t>
  </si>
  <si>
    <t>M65 Eastbound Jct 5 entry slip road closure</t>
  </si>
  <si>
    <t>M65 Eastbound Jct 4 to 6 Carriageway Closure</t>
  </si>
  <si>
    <t>M65 Eastbound Jct 4 entry slip road closure</t>
  </si>
  <si>
    <t>M6 Southbound Jct 22 exit slip road closure</t>
  </si>
  <si>
    <t>Overall Scheme Details: M6 southbound Jct 21 to Jct 22 - lane closure for barrier/fence safety repairs on behalf of National Highways</t>
  </si>
  <si>
    <t>M57 Southbound Jct 4 carriageway closure between exit and entry slip roads</t>
  </si>
  <si>
    <t>Overall Scheme Details: M57 southbound J5 to J4 - carriageway closure for structure - maintenance on behalf of National Highways</t>
  </si>
  <si>
    <t>M6 southbound Sandbach services closed</t>
  </si>
  <si>
    <t>Overall Scheme Details: M6 both directions Jct18 to Jct 17 - carriageway closure for structure - maintenance on behalf of National Highways</t>
  </si>
  <si>
    <t>M66 Southbound Jct 3 to 4 Carriageway Closure</t>
  </si>
  <si>
    <t>M66 Southbound Jct 3 entry slip road closure</t>
  </si>
  <si>
    <t>M66 Southbound Jct 4 exit slip road closure</t>
  </si>
  <si>
    <t>M66 Southbound to M62 Eastbound link road closure</t>
  </si>
  <si>
    <t>M60 ACW to M66 Northbound Jct 4 Carriageway Closure between exit and entry slips</t>
  </si>
  <si>
    <t>M55</t>
  </si>
  <si>
    <t>M55 Eastbound Jct 1 Carriageway closure between slip roads (Mp 24/1 - 24/7)</t>
  </si>
  <si>
    <t>M6 Southbound Jct 32 Entry slip road closure</t>
  </si>
  <si>
    <t>M6 Northbound Jct 31 to 32 Carriageway closure (Mp 349/3 - 356/5)</t>
  </si>
  <si>
    <t>M6 Northbound Jct 32 Entry slip road closure</t>
  </si>
  <si>
    <t>A3 northbound Longmoor carriageway closure between the exit and entry slip roads</t>
  </si>
  <si>
    <t>Overall Scheme Details: A3 both directions Hogs Back to Longmoor.
Carriageway closures for resurfacing work.</t>
  </si>
  <si>
    <t>A3 northbound Griggs Green to Thursley carriageway closure</t>
  </si>
  <si>
    <t>A34 southbound Hinksey Hill to Marcham carriageway closure</t>
  </si>
  <si>
    <t>Overall Scheme Details: A34 southbound Hinksey Hill to Marcham.
Carriageway closure for surveys.</t>
  </si>
  <si>
    <t>A34 southbound East Ilsley Entry slip road closure</t>
  </si>
  <si>
    <t>Overall Scheme Details: A34 southbound East Ilsley
Entry slip road and lane closure for BT works</t>
  </si>
  <si>
    <t>A34 northbound Whitchurch exit slip road closure</t>
  </si>
  <si>
    <t>Overall Scheme Details: A34 northbound Whitchurch.
Slip road and lane closure for maintenance work.</t>
  </si>
  <si>
    <t>M27 eastbound to M3 northbound link road closure</t>
  </si>
  <si>
    <t>Overall Scheme Details: M27/M3 all directions Jct 4 to 14
Carriageway and lane closures for Inspections/Surveys</t>
  </si>
  <si>
    <t>A34 northbound Chieveley exit slip road closure</t>
  </si>
  <si>
    <t>Overall Scheme Details: A34 northbound Chieveley.
slip road and lane closure for carriageway reconstruction/renewal</t>
  </si>
  <si>
    <t>A3M northbound Horndean entry slip road closure</t>
  </si>
  <si>
    <t>Overall Scheme Details: A3M northbound Horndean
Slip and lane closure for maintenance works</t>
  </si>
  <si>
    <t>M3 southbound Jct 5 entry slip road closure</t>
  </si>
  <si>
    <t xml:space="preserve">Overall Scheme Details: M3 both directions Jct 5.
Slip road and lane closure for maintenance work.
</t>
  </si>
  <si>
    <t>M3 southbound Jct 5 exit slip road closure</t>
  </si>
  <si>
    <t>M3 northbound Jct 5 exit slip road closure</t>
  </si>
  <si>
    <t>M3 northbound Jct 5 entry slip road closure</t>
  </si>
  <si>
    <t>A2 westbound Dover Road exit slip road closure</t>
  </si>
  <si>
    <t>Overall Scheme Details: A2 westbound Dover Road
Slip and lane closure for maintenance works</t>
  </si>
  <si>
    <t>A27 eastbound Free Flow link road onto A23 northbound closed</t>
  </si>
  <si>
    <t xml:space="preserve">Overall Scheme Details: A23 both directions Patcham to Pyecombe Dale Hill 
A27 both directions Devils Dyke to Patcham
slip road and lane closures for surveys
</t>
  </si>
  <si>
    <t>A23 northbound South Downs Way entry slip road closure</t>
  </si>
  <si>
    <t>M20 eastbound jct 7 to jct 9 carriageway closure - diversion  A249/M2/A2/A20/M20</t>
  </si>
  <si>
    <t>Overall Scheme Details: M20 both directions junction 7 to junction 9
carriageway and lane closures for construction works</t>
  </si>
  <si>
    <t>M20 westbound Jct 9 to Jct 8 carriageway closure - Diversion via M20/A20/A2/M2/A229</t>
  </si>
  <si>
    <t>A21 northbound Vauxhall Entry Slip road closure</t>
  </si>
  <si>
    <t>Overall Scheme Details: A21 northbound Vauxhall,
Slip road closure for survey works.</t>
  </si>
  <si>
    <t>A23 eastbound London road exit slip road closure</t>
  </si>
  <si>
    <t>Overall Scheme Details: A23 both directions London Road to Airport Way
slip road and lane closures for street lighting works</t>
  </si>
  <si>
    <t>M23</t>
  </si>
  <si>
    <t>M23 northbound Jct 10 entry slip road closure</t>
  </si>
  <si>
    <t>Overall Scheme Details: M23 northbound Jct 10,
Slip road and lane closure for drainage works.</t>
  </si>
  <si>
    <t>M25 Clockwise  Jct 18 to Jct 20  Carriageway and slip road closure</t>
  </si>
  <si>
    <t>Overall Scheme Details: M25 Clockwise  Jct 18 to Jct 20 
Carriageway and slip road closure for Cyclical Maintenance. 
Diversion via Local Authorties network</t>
  </si>
  <si>
    <t>A1089 Asda Roundabout Western quadrant full closure</t>
  </si>
  <si>
    <t xml:space="preserve">Overall Scheme Details: A1089 Northbound Tilbury to Marshfoot 
Carriageway, slip road and lane closure for resurfacing works 
Diversion via Local Authorities and National Highways Network </t>
  </si>
  <si>
    <t>A1089 Northbound Tilbury to Marshfoot carriageway closure</t>
  </si>
  <si>
    <t>M25 Clockwise Jct 5 carriageway closure between the exit and entry slip roads</t>
  </si>
  <si>
    <t>Overall Scheme Details: M25 Clockwise Jct 4 to Jct 5
Carriageway and lane closure for safety fence repairs
Diversion via National Highways and Local Authorities Network</t>
  </si>
  <si>
    <t>M3 Eastbound Jct 2 to M25 Clockwise and Anti-clockwise Jct 12 exit slip road and link road closure</t>
  </si>
  <si>
    <t>Overall Scheme Details: M25 Anti-clockwise Jct 13 to Jct 11
Carriageway, lane and link road closure for routine maintenance work
Diversion via Local Authorities and National Highways Network</t>
  </si>
  <si>
    <t>M25 Anti-clockwise Jct 13 to Jct 11 carriageway closure</t>
  </si>
  <si>
    <t>M11 Northbound Jct 6 to M25 Anti-clockwise Jct 27 Link road closure</t>
  </si>
  <si>
    <t>Overall Scheme Details: M11 Northbound Jct 6 to M25 Anti-clockwise Jct 27 Link road 
Lane and link road closure for electrical works 
Diversion via National Highways Network</t>
  </si>
  <si>
    <t>A3 Northbound Painshill entry slip road closure</t>
  </si>
  <si>
    <t>Overall Scheme Details: A3 Northbound Painshill
Slip road and lane closure for joint replacement works
Diversion via National Highway network</t>
  </si>
  <si>
    <t>A2 Westbound Darenth Interchange to M25 Clockwise Jct 2 link road closure</t>
  </si>
  <si>
    <t>Overall Scheme Details: A2 Westbound Darenth Interchange to M25 Clockwise Jct 2 Link Road
Lane and link road closure for electrical works
Diversion via National Highways Network</t>
  </si>
  <si>
    <t>M25 Anti-clockwise Jct 25 to Jct 24 carriageway closure</t>
  </si>
  <si>
    <t>Overall Scheme Details: M25 Anti-clockwise Jct 25 to Jct 24 
Carriageway, slip road and lane closure for carriageway repairs 
Diversion via Local Authority and National Highways Network</t>
  </si>
  <si>
    <t>M25 Clockwise Jct 23 to Jct 25 Carriageway and slip road closure</t>
  </si>
  <si>
    <t xml:space="preserve">Overall Scheme Details: M25 Clockwise Jct 23 to Jct 25 
Carriageway and lane closure for urgent repairs 
Diversion via National Highways and Local Authorities Network
</t>
  </si>
  <si>
    <t>A30 eastbound Holyway Cross entry slip closed</t>
  </si>
  <si>
    <t>Overall Scheme Details: A30 eastbound Holyway Cross entry slip closed for carriageway upgrade.
Diversion via Two Bridges.</t>
  </si>
  <si>
    <t>A38 westbound Dartbridge to Marley Head carriageway closed</t>
  </si>
  <si>
    <t>Overall Scheme Details: A38 westbound Dartbridge to Marley Head carriageway closure for structural maintenance works. Diversion via A384 &amp; A385</t>
  </si>
  <si>
    <t>A30 eastbound Carland Cross entry slip carriageway closure</t>
  </si>
  <si>
    <t>Overall Scheme Details: A30 eastbound Carland Cross entry slip - carriageway closure for Chiverton to Carland improvement scheme.
Diversion via - A30 westbound, exit at Chiverton and return eastbound.</t>
  </si>
  <si>
    <t>M5 Southbound Jct 16 exit slip road carriageway closure</t>
  </si>
  <si>
    <t xml:space="preserve">Overall Scheme Details: M5 Southbound Jct 16 exit slip road carriageway closure for electrical works. Diversion via M5 south to Jct 17 and return. </t>
  </si>
  <si>
    <t>M5 Northbound Jct 19 Entry Slip Closed</t>
  </si>
  <si>
    <t>Overall Scheme Details: M5 Northbound Jct 19 Entry Slip Closure for Drainage
Diversion M5 Southbound to Jct 20 and return</t>
  </si>
  <si>
    <t>M5 northbound Jct 12 entry slip closed</t>
  </si>
  <si>
    <t xml:space="preserve">Overall Scheme Details: M5 northbound Jct 12 entry slip closed for electrical works.
Diversion via M5 Jct 13 and return. </t>
  </si>
  <si>
    <t>A35 Long Bredy to Monkey Jump</t>
  </si>
  <si>
    <t>Overall Scheme Details: A35 Long Bredy to Monkey Jump - Full closure -  scheme works</t>
  </si>
  <si>
    <t>A50 eastbound Meir Tunnel carriageway closure</t>
  </si>
  <si>
    <t xml:space="preserve">Overall Scheme Details: A50 both directions Meir Tunnel.
Carriageway and slip road closure for maintenance works.
Diversion via National Highways and local authority network. </t>
  </si>
  <si>
    <t>A50 westbound Catchems Corner entry slip road closure</t>
  </si>
  <si>
    <t>A50 westbound Meir Tunnel carriageway closure</t>
  </si>
  <si>
    <t>M5 northbound Jct 8 entry slip road closure</t>
  </si>
  <si>
    <t>Overall Scheme Details: M5 both directions Jct 7 to Jct 9.
Carriageway closure for maintenance works. 
Diversion via National Highways network.</t>
  </si>
  <si>
    <t>A5 northbound Felton Butler to Wolfshead roundabout carriageway closure</t>
  </si>
  <si>
    <t>Overall Scheme Details: A5 both directions Wolfshead roundabout to Felton Butler.
Carriageway closure for maintenance works. 
Diversion via National Highways and local authority network.</t>
  </si>
  <si>
    <t>A500 Shelton northbound entry slip road closure</t>
  </si>
  <si>
    <t>Overall Scheme Details: A500 both directions Shelton to Wolstanton.
Carriageway closure for maintenance works.
Diversion via National Highways and local authority network.</t>
  </si>
  <si>
    <t>A500 northbound Shelton New Road to Etruria carriageway closure</t>
  </si>
  <si>
    <t>M42 northbound jct 11 exit slip road closure</t>
  </si>
  <si>
    <t xml:space="preserve">Overall Scheme Details: M42 both directions Jct 11.
Entry and exit closure for maintenance works. 
Diversion via national Highways network and local authority. </t>
  </si>
  <si>
    <t>M42 southbound jct 11 entry slip road closure</t>
  </si>
  <si>
    <t>M42 southbound Jct 6 between slips carriageway closure</t>
  </si>
  <si>
    <t>Overall Scheme Details: M42 both directions Jct 6.
Carriageway closure for maintenance works.
Diversion via National Highways network.</t>
  </si>
  <si>
    <t xml:space="preserve">Overall Scheme Details: M54 westbound Jct 2.
Entry slip road closure for maintenance works.
Diversion via National Highways and local authority network.
</t>
  </si>
  <si>
    <t>M54 westbound Jct 2 entry slip road closure</t>
  </si>
  <si>
    <t>A50 Eastbound Jct 4 Entry Slip Full Closure</t>
  </si>
  <si>
    <t>Overall Scheme Details: A50 DBFO - Derby Southern Bypass - Junction 4 Toyota Interchange - Eastbound and Westbound - Lane Closures, Full Slip Road Closures, Temporary Speed Limit and Narrow Lanes - Geotechnical works</t>
  </si>
  <si>
    <t>A120 westbound Dunmow entry slip carriageway closure</t>
  </si>
  <si>
    <t>Overall Scheme Details: A120 westbound
 Dunmow to Stanstead - carriageway closure for carriageway - reconstruction renewal on behalf of National Highways</t>
  </si>
  <si>
    <t>A120 westbound Stanstead entry slip carriageway closure</t>
  </si>
  <si>
    <t>A14 eastbound Jct 57 exit slip road closure</t>
  </si>
  <si>
    <t>Overall Scheme Details: A14 both directions
Jct 43 to Jct 62 - exit slip road closure, lane closures and diversion route for drainage on behalf of National Highways</t>
  </si>
  <si>
    <t>A14 westbound Jct 45 to Jct 44 carriageway closure</t>
  </si>
  <si>
    <t>Overall Scheme Details: A14 westbound 
Jct 45 to Jct 44 - carriageway closure for electrical works on behalf of National Highways</t>
  </si>
  <si>
    <t>A162 northbound Ferrybridge carriageway closure between exit and entry slip roads</t>
  </si>
  <si>
    <t>Overall Scheme Details: A180 eastbound Great Coates to Pyewipe
Slip road and lane closures for electrical works 
Diversion via A180</t>
  </si>
  <si>
    <t>A19 Dudley to Moorfarm Southbound Carriageway Closure</t>
  </si>
  <si>
    <t>Overall Scheme Details: A19 Southbound Dudley to Moorfarm
Carriageway Closure for Electrical Works</t>
  </si>
  <si>
    <t>A1m northbound Jct 34 entry slip road closure</t>
  </si>
  <si>
    <t>Overall Scheme Details: A1m northbound Jct 34 to Jct 35
Slip road closure for general cleaning and maintenance
Diversion A614 A1m A57</t>
  </si>
  <si>
    <t>A1M Southbound J48 entry slip road closed</t>
  </si>
  <si>
    <t>Overall Scheme Details: A1M southbound junction 48 entry slip road closed for safety fence repairs. Diversion on Local Authority network</t>
  </si>
  <si>
    <t>A2 westbound Marling Cross entry slip road closure</t>
  </si>
  <si>
    <t>Overall Scheme Details: A2 both directions Wrotham to M2 Jct 2
slip road and lane closure for survey works</t>
  </si>
  <si>
    <t>A2 eastbound Coldharbour lane entry slip road closure</t>
  </si>
  <si>
    <t>Overall Scheme Details: A2 eastbound Bridge to Coldharbour lane
Slip road and lane closures for maintenance works..</t>
  </si>
  <si>
    <t>A2 eastbound Coldharbour lane exit slip road closure</t>
  </si>
  <si>
    <t>A2 westbound Honeywood Interchange entry slip road closure</t>
  </si>
  <si>
    <t>Overall Scheme Details: A2 westbound Whiltfield to Guston 
slip road and lane closure for horticulture work.</t>
  </si>
  <si>
    <t>A20 eastbound Courtwood to Western Heights Roundabout carriageway closure</t>
  </si>
  <si>
    <t>Overall Scheme Details: A20 eastbound Courtwood to Western Heights Roundabout,
Carriageway closure for electrical works</t>
  </si>
  <si>
    <t>A21 northbound Morleys road roundabout to A25 carriageway closure</t>
  </si>
  <si>
    <t>Overall Scheme Details: A21 northbound Morleys Jct to A25
carriageway closure for maintenance works</t>
  </si>
  <si>
    <t>A23 northbound Hickstead entry slip road closure</t>
  </si>
  <si>
    <t>A3 northbound Hazel Grove entry slip road closure</t>
  </si>
  <si>
    <t>A3 northbound Hazel Grove exit slip road closure</t>
  </si>
  <si>
    <t>A3 northbound University to Burpham carriageway closure</t>
  </si>
  <si>
    <t>Overall Scheme Details: A3 northbound University to Burpham
Carriageway closure for tree works</t>
  </si>
  <si>
    <t>A3 Southbound Esher Exit Slip road closure</t>
  </si>
  <si>
    <t>Overall Scheme Details: A3 Southbound Hook to Esher
Slip road and lane closure for urgent carriageway repairs 
Diversion via Local Authority and National Highway network</t>
  </si>
  <si>
    <t>A31 north section Roundhouse roundabout carriageway closure</t>
  </si>
  <si>
    <t>Overall Scheme Details: A31 both directions Roundhouse
Carriageway and temporary traffic lights for vegetation works</t>
  </si>
  <si>
    <t>A34 northbound Botley entry slip road closure</t>
  </si>
  <si>
    <t>Overall Scheme Details: A34 northbound Botley.
Slip road and lane closures for maintenance work.</t>
  </si>
  <si>
    <t>A38 northbound Swinfen to Streethay carriageway closure</t>
  </si>
  <si>
    <t>A404</t>
  </si>
  <si>
    <t>A404 northbound Jct 9b entry slip road closure</t>
  </si>
  <si>
    <t>A46 northbound Sherbourne link road closure</t>
  </si>
  <si>
    <t>A14 westbound Dereham entry slip road closure</t>
  </si>
  <si>
    <t>Overall Scheme Details: A47 westbound 
Dereham - carriageway closure and entry slip closure for horticulture (cutting and planting) on behalf of National Highways</t>
  </si>
  <si>
    <t>A47 westbound Dereham carriageway closure</t>
  </si>
  <si>
    <t>A5 northbound Bletcham Way entry slip carriageway closure</t>
  </si>
  <si>
    <t>A500 southbound Etruria between the exit and entry slip roads carriageway closure</t>
  </si>
  <si>
    <t>A63 eastbound Brighton street entry slip road closure</t>
  </si>
  <si>
    <t>A63 eastbound Brighton street to Daltry street, carriageway closure</t>
  </si>
  <si>
    <t>A63 eastbound Daltry street exit slip road closure</t>
  </si>
  <si>
    <t>A64</t>
  </si>
  <si>
    <t>A64 westbound Askham Bryan exit slip road closure</t>
  </si>
  <si>
    <t>A64 westbound Askham Bryan overbridge to entry and exit slip road closure</t>
  </si>
  <si>
    <t>A663 Northbound Middleton Road to A627(M) carriageway closure</t>
  </si>
  <si>
    <t>M1 southbound Jct 25 entry slip road closure</t>
  </si>
  <si>
    <t>M1 northbound Jct 36 entry slip road closure</t>
  </si>
  <si>
    <t>Overall Scheme Details: M1 northbound Jct 35 to Jct 37.
Slip road and land closure for general cleaning and maintenance works.
Diversion via M1</t>
  </si>
  <si>
    <t>M1 northbound Jct 36 exit slip road closure</t>
  </si>
  <si>
    <t>M1 northbound Jct 37 exit slip road closure</t>
  </si>
  <si>
    <t>M1 southbound  Jct 9 entry slip carriageway closure</t>
  </si>
  <si>
    <t>Overall Scheme Details: M1 southbound
Jct 9 to Jct 8 - carriageway closure for communications on behalf of National Highways</t>
  </si>
  <si>
    <t>M2 westbound Jct 3 entry slip road closure</t>
  </si>
  <si>
    <t>Overall Scheme Details: M2 westbound Jct 3
Slip and lane closure for maintenance works</t>
  </si>
  <si>
    <t>M2 westbound Jct 3 exit slip road closure</t>
  </si>
  <si>
    <t>M20 Westbound Jct 3 to Jct 1 carriageway closure</t>
  </si>
  <si>
    <t>Overall Scheme Details: M20 Westbound Jct 3 to Jct 1
Carriageway and lane closure for joint investigation works
Diversion via National Highways and Local Authorities Network</t>
  </si>
  <si>
    <t>M25 Clockwise Jct 26 Exit Slip Closure</t>
  </si>
  <si>
    <t>Overall Scheme Details: M25 Clockwise Jct 26 to Jct 27 
Slip road and lane closure for urgent safety fence repairs 
Diversion via Local Authorities and National Highways Network</t>
  </si>
  <si>
    <t>M4 Eastbound Jct 4B to M25 Clockwise and Anti-clockwise Jct 15 and M4 Westbound Jct 4B to M25 Anti-clockwise Jct 15 link road closure</t>
  </si>
  <si>
    <t>Overall Scheme Details: M4 Eastbound and Westbound Jct 4B to M25 Clockwise and Anti-clockwise Jct 15 
Link road and lane closure for urgent carriageway repairs 
Diversion via National Highways Network</t>
  </si>
  <si>
    <t>M4 eastbound Jct 20 exit slip road to M5 northbound closed</t>
  </si>
  <si>
    <t>Overall Scheme Details: M4 eastbound Jct 20 exit slip road to M5 northbound closed for safety barrier repairs.
Diversion via M5 southbound, exit and Jct 16, return M5 northbound</t>
  </si>
  <si>
    <t>M4 eastbound Jct 7 entry slip road closure</t>
  </si>
  <si>
    <t>Overall Scheme Details: M4 eastbound Jct 7.
Slip road and lane closure for barrier repairs.</t>
  </si>
  <si>
    <t>M40 Southbound Jct 2 entry slip road closure</t>
  </si>
  <si>
    <t>M40 Southbound Jct 2 to Jct 1a Carriageway closure</t>
  </si>
  <si>
    <t>M42 clockwise Jct 6 roundabout partial closure (from the A45 westbound exit slip road to the M42 southbound exit slip road)</t>
  </si>
  <si>
    <t>Overall Scheme Details: M42 both directions Jct 6.
Carriageway closure for maintenance works. 
Diversion via National Highways and local authority network.</t>
  </si>
  <si>
    <t>M5 northbound Jct 12 entry slip road closure</t>
  </si>
  <si>
    <t>Overall Scheme Details: M5 Northbound Jct 12 exit and entry slip road carriageway closure for drainage works.
Diversion for exit slip - M5 Northbound to Jct 11a, return M5 Southbound to Jct 12 . Alternatively traffic pre warned to exit at M5 Jct 13 and follow A38 northbound to Jct 12.
Diversion for entry slip - A38 northbound, A417, A40 to Jct 11</t>
  </si>
  <si>
    <t>M5 northbound Jct 12 exit slip road closure</t>
  </si>
  <si>
    <t>M53 Northbound Jct 10 entry slip road closure</t>
  </si>
  <si>
    <t>M53 Northbound Jct 10 to 7 Carriageway Closure</t>
  </si>
  <si>
    <t>M53 Northbound Jct 8 entry slip road closure</t>
  </si>
  <si>
    <t>M53 Northbound Jct 8 exit slip road closure</t>
  </si>
  <si>
    <t>M53 Northbound Jct 9 entry slip road closure</t>
  </si>
  <si>
    <t>M53 Northbound Jct 9 exit slip road closure</t>
  </si>
  <si>
    <t>M6 northbound Jct 6 entry link C-A to E-B carriageway closure</t>
  </si>
  <si>
    <t>M6 northbound Jct 6 entry link E-B carriageway closure</t>
  </si>
  <si>
    <t>M6 northbound Jct 6 to Jct 7 carriageway closure</t>
  </si>
  <si>
    <t>M60 Clockwise Jct 22 entry slip road closure</t>
  </si>
  <si>
    <t>Overall Scheme Details: M60 clockwise J21 to J22 - carriageway closure for horticulture works on behalf of National Highways</t>
  </si>
  <si>
    <t>M60 clockwise jct 22 exit slip road closure</t>
  </si>
  <si>
    <t xml:space="preserve">Overall Scheme Details: M40 Southbound.
Jct 3 to Jct 1 Lane closures, slip road closures and diversion route for maintenance works.
Diversion via national highways network
</t>
  </si>
  <si>
    <t xml:space="preserve">Overall Scheme Details: A64 westbound Bilbrough to Askham 
Slip road and lane closures for carriageway reconstruction and repair
Diversion via A64
</t>
  </si>
  <si>
    <t xml:space="preserve">Overall Scheme Details: A63 eastbound and westbound Brighton street to Daltry street
Carriageway closure and lane closures for barrier repair
Diversion 
</t>
  </si>
  <si>
    <t>A180 eastbound Great Coates entry slip road closure</t>
  </si>
  <si>
    <t xml:space="preserve">Overall Scheme Details: M53 both directions J7 to J9 - carriageway closure for carriageway - reconstruction/renewal </t>
  </si>
  <si>
    <t xml:space="preserve">Overall Scheme Details: A404 northbound Jct 9b - slip road and lane closure for signs maintenance </t>
  </si>
  <si>
    <t xml:space="preserve">Overall Scheme Details: M6 both directions Jct 6 to Jct 7. 
Carriageway closure for maintenance works. 
Diversion via National Highways and local authority network. </t>
  </si>
  <si>
    <t>Eastbound Catchems to Tean</t>
  </si>
  <si>
    <t>Eastbound Tean to A522</t>
  </si>
  <si>
    <t>A50 westbound A6 Jct to A38 Jct Full Closure</t>
  </si>
  <si>
    <t>M1 Southbound Jct 5 Entry Slip road closure</t>
  </si>
  <si>
    <t xml:space="preserve">Overall Scheme Details: M1 Southbound Jct 5 
Entry slip road closure for urgent safety fence repairs 
Diversion via National Highways and Local Authorities Network </t>
  </si>
  <si>
    <t xml:space="preserve">A50 Westbound A6 Jct to A38 Full closure </t>
  </si>
  <si>
    <t>M5 southbound Jct 12 exit slip road closure</t>
  </si>
  <si>
    <t>Overall Scheme Details: M5 Southbound Jct 12 exit slip road closure for barrier repair
Diversion via M5 south, Jct 13 and return</t>
  </si>
  <si>
    <t>M42 northbound Jct 6 between slips carriageway closure</t>
  </si>
  <si>
    <t>M54 Jct 2 Coven Heath Interchange roundabout to start of westbound entry slip and northbound approach carriageway closure</t>
  </si>
  <si>
    <t>a50 Eastbound Tean to A522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</si>
</sst>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3">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2"/>
      <name val="Calibri"/>
      <family val="2"/>
      <scheme val="minor"/>
    </font>
    <font>
      <sz val="11"/>
      <name val="Calibri"/>
      <family val="2"/>
      <scheme val="minor"/>
    </font>
    <font>
      <sz val="10"/>
      <color theme="1"/>
      <name val="Calibri"/>
      <family val="2"/>
      <scheme val="minor"/>
    </font>
    <font>
      <b/>
      <sz val="11"/>
      <color theme="1"/>
      <name val="Arial"/>
      <family val="2"/>
    </font>
    <font>
      <b/>
      <sz val="28"/>
      <color theme="1"/>
      <name val="Calibri"/>
      <family val="2"/>
      <scheme val="minor"/>
    </font>
    <font>
      <sz val="22"/>
      <color theme="0" tint="-0.249977111117893"/>
      <name val="Calibri"/>
      <family val="2"/>
      <scheme val="minor"/>
    </font>
    <font>
      <b/>
      <sz val="26"/>
      <color theme="1"/>
      <name val="Arial"/>
      <family val="2"/>
    </font>
    <font>
      <sz val="22"/>
      <name val="Hectelvia"/>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2"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5" fillId="9"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3"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5" fillId="10"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4"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5" fillId="11"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5"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5" fillId="12"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5" fillId="13"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5" fillId="14"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5" fillId="15"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5" fillId="16"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5" fillId="17" borderId="0" applyNumberFormat="0" applyBorder="0" applyAlignment="0" applyProtection="0"/>
    <xf numFmtId="0" fontId="6" fillId="17"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5" fillId="18" borderId="0" applyNumberFormat="0" applyBorder="0" applyAlignment="0" applyProtection="0"/>
    <xf numFmtId="0" fontId="6" fillId="18"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5" fillId="19"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5" fillId="20" borderId="0" applyNumberFormat="0" applyBorder="0" applyAlignment="0" applyProtection="0"/>
    <xf numFmtId="0" fontId="6" fillId="20"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5" fillId="21"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5" fillId="22"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3" borderId="0" applyNumberFormat="0" applyBorder="0" applyAlignment="0" applyProtection="0"/>
    <xf numFmtId="0" fontId="7" fillId="6" borderId="0" applyNumberFormat="0" applyBorder="0" applyAlignment="0" applyProtection="0"/>
    <xf numFmtId="0" fontId="7" fillId="23" borderId="0" applyNumberFormat="0" applyBorder="0" applyAlignment="0" applyProtection="0"/>
    <xf numFmtId="0" fontId="5" fillId="23"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7" fillId="24" borderId="0" applyNumberFormat="0" applyBorder="0" applyAlignment="0" applyProtection="0"/>
    <xf numFmtId="0" fontId="7" fillId="7" borderId="0" applyNumberFormat="0" applyBorder="0" applyAlignment="0" applyProtection="0"/>
    <xf numFmtId="0" fontId="7" fillId="24" borderId="0" applyNumberFormat="0" applyBorder="0" applyAlignment="0" applyProtection="0"/>
    <xf numFmtId="0" fontId="5" fillId="24"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5" fillId="25"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6" borderId="0" applyNumberFormat="0" applyBorder="0" applyAlignment="0" applyProtection="0"/>
    <xf numFmtId="0" fontId="7" fillId="8" borderId="0" applyNumberFormat="0" applyBorder="0" applyAlignment="0" applyProtection="0"/>
    <xf numFmtId="0" fontId="7" fillId="26" borderId="0" applyNumberFormat="0" applyBorder="0" applyAlignment="0" applyProtection="0"/>
    <xf numFmtId="0" fontId="5" fillId="26"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8" fillId="27"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8" fillId="28"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8" fillId="29"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8" fillId="30"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8" fillId="31"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8" fillId="32" borderId="0" applyNumberFormat="0" applyBorder="0" applyAlignment="0" applyProtection="0"/>
    <xf numFmtId="0" fontId="7" fillId="32"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10" fillId="33" borderId="0" applyNumberFormat="0" applyBorder="0" applyAlignment="0" applyProtection="0"/>
    <xf numFmtId="0" fontId="9" fillId="33" borderId="0" applyNumberFormat="0" applyBorder="0" applyAlignment="0" applyProtection="0"/>
    <xf numFmtId="0" fontId="11" fillId="34" borderId="2" applyNumberFormat="0" applyAlignment="0" applyProtection="0"/>
    <xf numFmtId="0" fontId="11" fillId="34" borderId="2" applyNumberFormat="0" applyAlignment="0" applyProtection="0"/>
    <xf numFmtId="0" fontId="11" fillId="34" borderId="2" applyNumberFormat="0" applyAlignment="0" applyProtection="0"/>
    <xf numFmtId="0" fontId="12" fillId="34" borderId="2" applyNumberFormat="0" applyAlignment="0" applyProtection="0"/>
    <xf numFmtId="0" fontId="11" fillId="34" borderId="2" applyNumberFormat="0" applyAlignment="0" applyProtection="0"/>
    <xf numFmtId="0" fontId="13" fillId="35" borderId="3" applyNumberFormat="0" applyAlignment="0" applyProtection="0"/>
    <xf numFmtId="0" fontId="13" fillId="35" borderId="3" applyNumberFormat="0" applyAlignment="0" applyProtection="0"/>
    <xf numFmtId="0" fontId="13" fillId="35" borderId="3" applyNumberFormat="0" applyAlignment="0" applyProtection="0"/>
    <xf numFmtId="0" fontId="14" fillId="35" borderId="3" applyNumberFormat="0" applyAlignment="0" applyProtection="0"/>
    <xf numFmtId="0" fontId="13" fillId="35" borderId="3" applyNumberFormat="0" applyAlignment="0" applyProtection="0"/>
    <xf numFmtId="43" fontId="15" fillId="0" borderId="0" applyFont="0" applyFill="0" applyBorder="0" applyAlignment="0" applyProtection="0"/>
    <xf numFmtId="43" fontId="15" fillId="0" borderId="0" applyFont="0" applyFill="0" applyBorder="0" applyAlignment="0" applyProtection="0"/>
    <xf numFmtId="43" fontId="15" fillId="0" borderId="0" applyFon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9" fillId="36" borderId="0" applyNumberFormat="0" applyBorder="0" applyAlignment="0" applyProtection="0"/>
    <xf numFmtId="0" fontId="18" fillId="36" borderId="0" applyNumberFormat="0" applyBorder="0" applyAlignment="0" applyProtection="0"/>
    <xf numFmtId="0" fontId="20" fillId="0" borderId="4" applyNumberFormat="0" applyFill="0" applyAlignment="0" applyProtection="0"/>
    <xf numFmtId="0" fontId="20" fillId="0" borderId="4" applyNumberFormat="0" applyFill="0" applyAlignment="0" applyProtection="0"/>
    <xf numFmtId="0" fontId="20" fillId="0" borderId="4" applyNumberFormat="0" applyFill="0" applyAlignment="0" applyProtection="0"/>
    <xf numFmtId="0" fontId="21" fillId="0" borderId="4" applyNumberFormat="0" applyFill="0" applyAlignment="0" applyProtection="0"/>
    <xf numFmtId="0" fontId="20" fillId="0" borderId="4"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3" fillId="0" borderId="5" applyNumberFormat="0" applyFill="0" applyAlignment="0" applyProtection="0"/>
    <xf numFmtId="0" fontId="22" fillId="0" borderId="5"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5" fillId="0" borderId="6" applyNumberFormat="0" applyFill="0" applyAlignment="0" applyProtection="0"/>
    <xf numFmtId="0" fontId="24" fillId="0" borderId="6" applyNumberFormat="0" applyFill="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8" fillId="37" borderId="2" applyNumberFormat="0" applyAlignment="0" applyProtection="0"/>
    <xf numFmtId="0" fontId="28" fillId="37" borderId="2" applyNumberFormat="0" applyAlignment="0" applyProtection="0"/>
    <xf numFmtId="0" fontId="28" fillId="37" borderId="2" applyNumberFormat="0" applyAlignment="0" applyProtection="0"/>
    <xf numFmtId="0" fontId="29" fillId="37" borderId="2" applyNumberFormat="0" applyAlignment="0" applyProtection="0"/>
    <xf numFmtId="0" fontId="28" fillId="37" borderId="2" applyNumberFormat="0" applyAlignment="0" applyProtection="0"/>
    <xf numFmtId="0" fontId="30" fillId="0" borderId="7" applyNumberFormat="0" applyFill="0" applyAlignment="0" applyProtection="0"/>
    <xf numFmtId="0" fontId="30" fillId="0" borderId="7" applyNumberFormat="0" applyFill="0" applyAlignment="0" applyProtection="0"/>
    <xf numFmtId="0" fontId="30" fillId="0" borderId="7" applyNumberFormat="0" applyFill="0" applyAlignment="0" applyProtection="0"/>
    <xf numFmtId="0" fontId="31" fillId="0" borderId="7" applyNumberFormat="0" applyFill="0" applyAlignment="0" applyProtection="0"/>
    <xf numFmtId="0" fontId="30" fillId="0" borderId="7" applyNumberFormat="0" applyFill="0" applyAlignment="0" applyProtection="0"/>
    <xf numFmtId="0" fontId="32" fillId="38" borderId="0" applyNumberFormat="0" applyBorder="0" applyAlignment="0" applyProtection="0"/>
    <xf numFmtId="0" fontId="32" fillId="38" borderId="0" applyNumberFormat="0" applyBorder="0" applyAlignment="0" applyProtection="0"/>
    <xf numFmtId="0" fontId="32" fillId="38" borderId="0" applyNumberFormat="0" applyBorder="0" applyAlignment="0" applyProtection="0"/>
    <xf numFmtId="0" fontId="33" fillId="38" borderId="0" applyNumberFormat="0" applyBorder="0" applyAlignment="0" applyProtection="0"/>
    <xf numFmtId="0" fontId="32" fillId="38" borderId="0" applyNumberFormat="0" applyBorder="0" applyAlignment="0" applyProtection="0"/>
    <xf numFmtId="0" fontId="6" fillId="0" borderId="0"/>
    <xf numFmtId="0" fontId="15" fillId="0" borderId="0"/>
    <xf numFmtId="0" fontId="6" fillId="0" borderId="0"/>
    <xf numFmtId="0" fontId="15" fillId="0" borderId="0"/>
    <xf numFmtId="0" fontId="6" fillId="0" borderId="0"/>
    <xf numFmtId="0" fontId="6" fillId="0" borderId="0"/>
    <xf numFmtId="0" fontId="6" fillId="0" borderId="0"/>
    <xf numFmtId="0" fontId="1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34"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5" fillId="0" borderId="0"/>
    <xf numFmtId="0" fontId="34" fillId="0" borderId="0"/>
    <xf numFmtId="0" fontId="5"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1"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35" fillId="34" borderId="9" applyNumberFormat="0" applyAlignment="0" applyProtection="0"/>
    <xf numFmtId="0" fontId="35" fillId="34" borderId="9" applyNumberFormat="0" applyAlignment="0" applyProtection="0"/>
    <xf numFmtId="0" fontId="35" fillId="34" borderId="9" applyNumberFormat="0" applyAlignment="0" applyProtection="0"/>
    <xf numFmtId="0" fontId="36" fillId="34" borderId="9" applyNumberFormat="0" applyAlignment="0" applyProtection="0"/>
    <xf numFmtId="0" fontId="35" fillId="34" borderId="9" applyNumberFormat="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10" applyNumberFormat="0" applyFill="0" applyAlignment="0" applyProtection="0"/>
    <xf numFmtId="0" fontId="39" fillId="0" borderId="10" applyNumberFormat="0" applyFill="0" applyAlignment="0" applyProtection="0"/>
    <xf numFmtId="0" fontId="39" fillId="0" borderId="10" applyNumberFormat="0" applyFill="0" applyAlignment="0" applyProtection="0"/>
    <xf numFmtId="0" fontId="40" fillId="0" borderId="10" applyNumberFormat="0" applyFill="0" applyAlignment="0" applyProtection="0"/>
    <xf numFmtId="0" fontId="39" fillId="0" borderId="10" applyNumberFormat="0" applyFill="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2" fillId="0" borderId="0" applyNumberFormat="0" applyFill="0" applyBorder="0" applyAlignment="0" applyProtection="0"/>
    <xf numFmtId="0" fontId="41" fillId="0" borderId="0" applyNumberFormat="0" applyFill="0" applyBorder="0" applyAlignment="0" applyProtection="0"/>
  </cellStyleXfs>
  <cellXfs count="29">
    <xf numFmtId="0" fontId="0" fillId="0" borderId="0" xfId="0"/>
    <xf numFmtId="0" fontId="43" fillId="40" borderId="0" xfId="0" applyFont="1" applyFill="1" applyAlignment="1">
      <alignment horizontal="left" vertical="top"/>
    </xf>
    <xf numFmtId="0" fontId="44" fillId="40" borderId="0" xfId="0" applyFont="1" applyFill="1" applyAlignment="1">
      <alignment horizontal="left" vertical="top"/>
    </xf>
    <xf numFmtId="0" fontId="45" fillId="0" borderId="0" xfId="0" applyFont="1" applyAlignment="1">
      <alignment horizontal="left" vertical="top"/>
    </xf>
    <xf numFmtId="0" fontId="46" fillId="0" borderId="0" xfId="0" applyFont="1" applyAlignment="1">
      <alignment horizontal="left" vertical="top" wrapText="1"/>
    </xf>
    <xf numFmtId="0" fontId="6" fillId="40" borderId="0" xfId="0" applyFont="1" applyFill="1" applyAlignment="1">
      <alignment horizontal="left" vertical="top"/>
    </xf>
    <xf numFmtId="0" fontId="47" fillId="40" borderId="0" xfId="0" applyFont="1" applyFill="1" applyAlignment="1">
      <alignment horizontal="left" vertical="top"/>
    </xf>
    <xf numFmtId="20" fontId="48" fillId="41" borderId="1" xfId="0" applyNumberFormat="1" applyFont="1" applyFill="1" applyBorder="1" applyAlignment="1" applyProtection="1">
      <alignment horizontal="center" vertical="center" wrapText="1"/>
      <protection locked="0"/>
    </xf>
    <xf numFmtId="0" fontId="48"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49" fillId="40" borderId="0" xfId="0" applyFont="1" applyFill="1" applyAlignment="1">
      <alignment horizontal="center" vertical="center"/>
    </xf>
    <xf numFmtId="14" fontId="50"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4" fillId="40" borderId="0" xfId="0" applyNumberFormat="1" applyFont="1" applyFill="1" applyAlignment="1">
      <alignment horizontal="right" vertical="top"/>
    </xf>
    <xf numFmtId="0" fontId="52" fillId="42" borderId="0" xfId="375" applyFont="1" applyFill="1" applyAlignment="1">
      <alignment horizontal="center" vertical="top"/>
    </xf>
    <xf numFmtId="0" fontId="52" fillId="40" borderId="0" xfId="375" applyFont="1" applyFill="1" applyAlignment="1">
      <alignment horizontal="center" vertical="top"/>
    </xf>
    <xf numFmtId="0" fontId="52" fillId="0" borderId="0" xfId="375" applyFont="1" applyAlignment="1">
      <alignment horizontal="center" vertical="top"/>
    </xf>
    <xf numFmtId="164" fontId="44" fillId="40" borderId="0" xfId="0" applyNumberFormat="1" applyFont="1" applyFill="1" applyAlignment="1">
      <alignment horizontal="left" vertical="top"/>
    </xf>
    <xf numFmtId="0" fontId="51" fillId="40" borderId="0" xfId="0" quotePrefix="1" applyFont="1" applyFill="1" applyAlignment="1">
      <alignment horizontal="left" vertical="center" wrapText="1"/>
    </xf>
  </cellXfs>
  <cellStyles count="459">
    <cellStyle name="20% - Accent1" xfId="1" builtinId="30" customBuiltin="1"/>
    <cellStyle name="20% - Accent1 2" xfId="2" xr:uid="{C69D89AC-0A7E-4A27-8489-549FDBBDF155}"/>
    <cellStyle name="20% - Accent1 2 2" xfId="3" xr:uid="{85AFDF72-74E6-4DD2-8D4A-E06E91CFC9C6}"/>
    <cellStyle name="20% - Accent1 2 2 2" xfId="4" xr:uid="{1EDABD8A-3C83-49B6-B21D-7A78948F8134}"/>
    <cellStyle name="20% - Accent1 2 2 2 2" xfId="5" xr:uid="{A461DE92-22A8-4F57-B29F-4BD40CD8C00C}"/>
    <cellStyle name="20% - Accent1 2 2 2 2 2" xfId="6" xr:uid="{C2404297-9D82-4105-B71C-55945B8E5FB0}"/>
    <cellStyle name="20% - Accent1 2 2 2 3" xfId="7" xr:uid="{E593DADB-1268-4217-ADD9-F00630664CF3}"/>
    <cellStyle name="20% - Accent1 2 2 3" xfId="8" xr:uid="{D63B8502-867F-4AC9-AE99-ACE422EAEA50}"/>
    <cellStyle name="20% - Accent1 2 2 3 2" xfId="9" xr:uid="{B0AA20DF-8736-495F-97D2-633BEC54F738}"/>
    <cellStyle name="20% - Accent1 2 2 4" xfId="10" xr:uid="{E8DFFD16-379B-4F2F-9DF4-070FDCB02595}"/>
    <cellStyle name="20% - Accent1 2 2 5" xfId="11" xr:uid="{844D8B7B-934D-4FCF-92AB-9D1D684ED710}"/>
    <cellStyle name="20% - Accent1 2 3" xfId="12" xr:uid="{FFF49717-7CA7-45D4-AD42-2386C1DAE0E5}"/>
    <cellStyle name="20% - Accent1 2 3 2" xfId="13" xr:uid="{DE4D8AB1-F8B7-423B-AB46-685BDD730BD4}"/>
    <cellStyle name="20% - Accent1 2 3 2 2" xfId="14" xr:uid="{E24897CB-004E-4C11-9A2F-C5A7571B4028}"/>
    <cellStyle name="20% - Accent1 2 3 3" xfId="15" xr:uid="{45BB221B-5CF4-4449-99DF-1EB0A67DA36B}"/>
    <cellStyle name="20% - Accent1 2 4" xfId="16" xr:uid="{27EDD034-03D4-4334-A5A8-497ED03A36D3}"/>
    <cellStyle name="20% - Accent1 2 4 2" xfId="17" xr:uid="{5573C68E-A56F-474E-B20B-0E702EFB6D82}"/>
    <cellStyle name="20% - Accent1 2 5" xfId="18" xr:uid="{481D11C3-7814-4FF7-AAAD-DF9AA881F652}"/>
    <cellStyle name="20% - Accent1 3" xfId="19" xr:uid="{15631398-DDD3-4898-BC48-95F5FD9533A3}"/>
    <cellStyle name="20% - Accent1 3 2" xfId="20" xr:uid="{57E96119-B5D5-44C6-BD94-8FDD94CC5CC0}"/>
    <cellStyle name="20% - Accent1 4" xfId="21" xr:uid="{CF3F4217-0CFA-4F72-BC8B-1D56B48311B3}"/>
    <cellStyle name="20% - Accent2" xfId="22" builtinId="34" customBuiltin="1"/>
    <cellStyle name="20% - Accent2 2" xfId="23" xr:uid="{604588BA-32F5-431E-9C14-1B3857B607A8}"/>
    <cellStyle name="20% - Accent2 2 2" xfId="24" xr:uid="{F9AC1676-4BCA-4792-96AD-8EA778488CB9}"/>
    <cellStyle name="20% - Accent2 2 2 2" xfId="25" xr:uid="{134D24FB-72A4-490E-8B21-1A365BE29F70}"/>
    <cellStyle name="20% - Accent2 2 2 2 2" xfId="26" xr:uid="{BDC751CB-7363-4F63-8E63-678D47E109E2}"/>
    <cellStyle name="20% - Accent2 2 2 2 2 2" xfId="27" xr:uid="{CA3BACAE-AAA2-4F54-A4DA-9FFC4C3DB8B9}"/>
    <cellStyle name="20% - Accent2 2 2 2 3" xfId="28" xr:uid="{1CF3A36A-09E9-422D-8BE0-FD6D352D7EAE}"/>
    <cellStyle name="20% - Accent2 2 2 3" xfId="29" xr:uid="{DB2ED931-6BEF-4971-B253-66E870905537}"/>
    <cellStyle name="20% - Accent2 2 2 3 2" xfId="30" xr:uid="{833D33E5-F85F-4FC9-8683-E568C6E8440F}"/>
    <cellStyle name="20% - Accent2 2 2 4" xfId="31" xr:uid="{FBC3D15F-951A-4222-A1F5-70AF0108D656}"/>
    <cellStyle name="20% - Accent2 2 2 5" xfId="32" xr:uid="{72256BC9-3AD8-4E33-944C-D71290E04275}"/>
    <cellStyle name="20% - Accent2 2 3" xfId="33" xr:uid="{C9FE9999-F6A7-4B66-A2DB-FBF662DB801E}"/>
    <cellStyle name="20% - Accent2 2 3 2" xfId="34" xr:uid="{FEBBD010-9EBC-4E6F-BE18-44A2E7FB5340}"/>
    <cellStyle name="20% - Accent2 2 3 2 2" xfId="35" xr:uid="{83910AC5-ACEC-41DE-823A-B90D64494611}"/>
    <cellStyle name="20% - Accent2 2 3 3" xfId="36" xr:uid="{3B343DCC-4225-42D2-8EBE-296E249EC5D6}"/>
    <cellStyle name="20% - Accent2 2 4" xfId="37" xr:uid="{BFA907D8-511F-4594-848F-2E708E94039E}"/>
    <cellStyle name="20% - Accent2 2 4 2" xfId="38" xr:uid="{9586C2B0-7AC4-4A31-921F-5EB1FE3CA3F4}"/>
    <cellStyle name="20% - Accent2 2 5" xfId="39" xr:uid="{D6799AF0-8A98-4B58-886E-50A717090CD0}"/>
    <cellStyle name="20% - Accent2 3" xfId="40" xr:uid="{3195F9AC-F33A-41BD-B4BB-929E3BCD4554}"/>
    <cellStyle name="20% - Accent2 3 2" xfId="41" xr:uid="{D8F74983-5DF9-4757-8680-2A572289BF46}"/>
    <cellStyle name="20% - Accent2 4" xfId="42" xr:uid="{EEA011AA-A381-437D-B345-B73D1A964CEA}"/>
    <cellStyle name="20% - Accent3" xfId="43" builtinId="38" customBuiltin="1"/>
    <cellStyle name="20% - Accent3 2" xfId="44" xr:uid="{76424505-082C-4B6A-A1D6-877122F305F9}"/>
    <cellStyle name="20% - Accent3 2 2" xfId="45" xr:uid="{02ACB893-A531-4220-A311-5D39C774AA5A}"/>
    <cellStyle name="20% - Accent3 2 2 2" xfId="46" xr:uid="{CF8CBC6D-0D5D-4B5F-BCB1-EA143A479C8C}"/>
    <cellStyle name="20% - Accent3 2 2 2 2" xfId="47" xr:uid="{4C36F3D5-3E10-4D2C-9DEE-7F0E39248065}"/>
    <cellStyle name="20% - Accent3 2 2 2 2 2" xfId="48" xr:uid="{991F0CA1-C7BD-4030-A1CC-7FEC98ABFBBE}"/>
    <cellStyle name="20% - Accent3 2 2 2 3" xfId="49" xr:uid="{E6969E29-0EA8-4368-804D-51045B5E46E2}"/>
    <cellStyle name="20% - Accent3 2 2 3" xfId="50" xr:uid="{8856EE29-A610-4BF8-A14E-49C011032C5D}"/>
    <cellStyle name="20% - Accent3 2 2 3 2" xfId="51" xr:uid="{A4956062-C767-4B24-A19A-4955BA0CAECA}"/>
    <cellStyle name="20% - Accent3 2 2 4" xfId="52" xr:uid="{B694F283-5459-4544-BA61-94C4EE0AB976}"/>
    <cellStyle name="20% - Accent3 2 2 5" xfId="53" xr:uid="{6F81858D-B1FE-4407-8D00-F7B48F95DA5B}"/>
    <cellStyle name="20% - Accent3 2 3" xfId="54" xr:uid="{087BDF96-09DA-46A8-9A17-B640A0F2BBEB}"/>
    <cellStyle name="20% - Accent3 2 3 2" xfId="55" xr:uid="{2AEB8701-FB8F-4B22-BF12-49BD9BEADF1A}"/>
    <cellStyle name="20% - Accent3 2 3 2 2" xfId="56" xr:uid="{4F388013-C7F6-4C91-A617-BB96E58CD964}"/>
    <cellStyle name="20% - Accent3 2 3 3" xfId="57" xr:uid="{F0A0F270-6706-4155-9BCA-5F70C8575A6D}"/>
    <cellStyle name="20% - Accent3 2 4" xfId="58" xr:uid="{5A4C21D4-2217-4847-9DD8-8DD383B5D52D}"/>
    <cellStyle name="20% - Accent3 2 4 2" xfId="59" xr:uid="{7C50FA09-D39F-4588-946E-999011051DA8}"/>
    <cellStyle name="20% - Accent3 2 5" xfId="60" xr:uid="{04A2F7D2-717E-44D9-8290-DED87642052F}"/>
    <cellStyle name="20% - Accent3 3" xfId="61" xr:uid="{4C0E7857-CBDD-463B-BE3B-695DA4B8C330}"/>
    <cellStyle name="20% - Accent3 3 2" xfId="62" xr:uid="{CB4CDD32-9906-4C7D-9FA5-2E8146176CE0}"/>
    <cellStyle name="20% - Accent3 4" xfId="63" xr:uid="{4DA3DA63-2D8F-482E-907C-A5A88DA01AFE}"/>
    <cellStyle name="20% - Accent4" xfId="64" builtinId="42" customBuiltin="1"/>
    <cellStyle name="20% - Accent4 2" xfId="65" xr:uid="{753A072A-2A44-49E7-AC6E-85C37FA0E0CF}"/>
    <cellStyle name="20% - Accent4 2 2" xfId="66" xr:uid="{7CE522F8-9E46-4EB6-A6A0-85C6CE7D9474}"/>
    <cellStyle name="20% - Accent4 2 2 2" xfId="67" xr:uid="{28A799F1-01E8-4A3B-ABE0-E1F4FA686E42}"/>
    <cellStyle name="20% - Accent4 2 2 2 2" xfId="68" xr:uid="{290715EC-C73F-4B91-9017-81CF240C0048}"/>
    <cellStyle name="20% - Accent4 2 2 2 2 2" xfId="69" xr:uid="{12351FB1-176A-4037-929D-C6A195E51586}"/>
    <cellStyle name="20% - Accent4 2 2 2 3" xfId="70" xr:uid="{6C3DC9E7-C36A-4F22-9E09-7FB5C9229F12}"/>
    <cellStyle name="20% - Accent4 2 2 3" xfId="71" xr:uid="{BD47672A-0CA8-456E-A965-964B1E07052D}"/>
    <cellStyle name="20% - Accent4 2 2 3 2" xfId="72" xr:uid="{766B48E7-AA55-48FA-9BFF-71AB7A75274F}"/>
    <cellStyle name="20% - Accent4 2 2 4" xfId="73" xr:uid="{8CECB86D-8D46-4E92-9610-54F22F5C9D78}"/>
    <cellStyle name="20% - Accent4 2 2 5" xfId="74" xr:uid="{0DC9B001-5E5F-46EF-9F48-DCF29A01950D}"/>
    <cellStyle name="20% - Accent4 2 3" xfId="75" xr:uid="{D7C71E24-184E-4289-B9EB-2A451493A74A}"/>
    <cellStyle name="20% - Accent4 2 3 2" xfId="76" xr:uid="{F7C078F4-64D2-4B2A-A8A1-1469C5EBBA93}"/>
    <cellStyle name="20% - Accent4 2 3 2 2" xfId="77" xr:uid="{1B7799D5-B320-48D2-9B42-4F1EEE63942C}"/>
    <cellStyle name="20% - Accent4 2 3 3" xfId="78" xr:uid="{3DFF0592-55D4-4ED3-813D-A615EA8B88C7}"/>
    <cellStyle name="20% - Accent4 2 4" xfId="79" xr:uid="{FF9BB1E6-AD4D-49A7-9DD5-BF04A7738A3D}"/>
    <cellStyle name="20% - Accent4 2 4 2" xfId="80" xr:uid="{824260E1-E8BB-4EAE-A45A-A6A86C2362EC}"/>
    <cellStyle name="20% - Accent4 2 5" xfId="81" xr:uid="{3CF1F673-F700-4705-B975-5F58122A81D1}"/>
    <cellStyle name="20% - Accent4 3" xfId="82" xr:uid="{922596AC-2558-4CE1-871C-20391BFD5975}"/>
    <cellStyle name="20% - Accent4 3 2" xfId="83" xr:uid="{EA9B69F6-C246-474B-8029-ADDA0364DB30}"/>
    <cellStyle name="20% - Accent4 4" xfId="84" xr:uid="{9106E794-E48A-4E06-AABF-0676B786F8D4}"/>
    <cellStyle name="20% - Accent5" xfId="85" builtinId="46" customBuiltin="1"/>
    <cellStyle name="20% - Accent5 2" xfId="86" xr:uid="{CD375519-47B2-4BEF-B6AC-473A3F7E9B14}"/>
    <cellStyle name="20% - Accent5 2 2" xfId="87" xr:uid="{133CC4CE-AED4-4DA2-8EE5-FFD626E18997}"/>
    <cellStyle name="20% - Accent5 2 2 2" xfId="88" xr:uid="{93CB9751-308E-429C-A2B7-E84691AA43E5}"/>
    <cellStyle name="20% - Accent5 2 2 2 2" xfId="89" xr:uid="{94F6811D-7A68-4E5C-B7F0-B5692FA8B86C}"/>
    <cellStyle name="20% - Accent5 2 2 2 2 2" xfId="90" xr:uid="{EF3297BF-AA53-484F-A5A4-A237A4A02384}"/>
    <cellStyle name="20% - Accent5 2 2 2 3" xfId="91" xr:uid="{50015994-1A01-443C-972C-83E146BF558C}"/>
    <cellStyle name="20% - Accent5 2 2 3" xfId="92" xr:uid="{ADC40748-8CCB-42A3-BCED-2D10E63A3D76}"/>
    <cellStyle name="20% - Accent5 2 2 3 2" xfId="93" xr:uid="{818C107F-C369-4A0A-AE17-699EAD0DFB40}"/>
    <cellStyle name="20% - Accent5 2 2 4" xfId="94" xr:uid="{F382041B-A0DD-460C-890D-009BB1184F39}"/>
    <cellStyle name="20% - Accent5 2 2 5" xfId="95" xr:uid="{1C661036-C663-41B9-97D1-7708AD9BADE4}"/>
    <cellStyle name="20% - Accent5 2 2 6" xfId="96" xr:uid="{1758513C-9E52-4CB4-9C6F-9BB5064E5034}"/>
    <cellStyle name="20% - Accent5 2 2 7" xfId="97" xr:uid="{D48DC087-C995-44D5-A70F-026EB788B0F8}"/>
    <cellStyle name="20% - Accent5 2 2 8" xfId="98" xr:uid="{4646ED3A-7999-4198-92E6-4CFA2397C098}"/>
    <cellStyle name="20% - Accent5 2 3" xfId="99" xr:uid="{6837B46C-D267-43C3-A08A-02919CA7325A}"/>
    <cellStyle name="20% - Accent5 2 3 2" xfId="100" xr:uid="{0C7904B7-D2B8-49BB-80FD-95655F22DF4D}"/>
    <cellStyle name="20% - Accent5 2 3 2 2" xfId="101" xr:uid="{146B400E-B690-4A29-9E36-9820A681C792}"/>
    <cellStyle name="20% - Accent5 2 3 3" xfId="102" xr:uid="{64497017-52B1-45B3-BB4B-657420577403}"/>
    <cellStyle name="20% - Accent5 2 3 4" xfId="103" xr:uid="{73046C15-B3AA-4FF3-A52C-8A8DC30B9646}"/>
    <cellStyle name="20% - Accent5 2 3 5" xfId="104" xr:uid="{8467B674-8921-4F5A-8343-5DACAEF94FDB}"/>
    <cellStyle name="20% - Accent5 2 3 6" xfId="105" xr:uid="{3BBE2FA8-243E-41A2-96A3-5D4DEE87C03A}"/>
    <cellStyle name="20% - Accent5 2 3 7" xfId="106" xr:uid="{79DDF3C2-F57D-42DD-B8AC-36EFFD8B906B}"/>
    <cellStyle name="20% - Accent5 2 4" xfId="107" xr:uid="{C38C3A9E-E080-476E-9EC7-2B1D18F3B6AC}"/>
    <cellStyle name="20% - Accent5 2 4 2" xfId="108" xr:uid="{3C4F93BB-2C81-494A-9775-27290BD59AE0}"/>
    <cellStyle name="20% - Accent5 2 5" xfId="109" xr:uid="{3FE6EDFB-7811-4CD9-9776-B1F035767BA7}"/>
    <cellStyle name="20% - Accent5 2 6" xfId="110" xr:uid="{1B216468-3EAC-4263-9E57-7309AADFD880}"/>
    <cellStyle name="20% - Accent5 2 7" xfId="111" xr:uid="{DA41D3CC-D924-4FF7-836B-517C727CD2A2}"/>
    <cellStyle name="20% - Accent5 2 8" xfId="112" xr:uid="{EF8EA1C7-973C-40F1-A2A3-E33311330ABC}"/>
    <cellStyle name="20% - Accent5 2 9" xfId="113" xr:uid="{980BB6FC-A0A8-46A4-9468-54B3ED564E4C}"/>
    <cellStyle name="20% - Accent5 3" xfId="114" xr:uid="{3CC67626-4107-40CA-A5C7-06E916ED858C}"/>
    <cellStyle name="20% - Accent5 3 2" xfId="115" xr:uid="{39441784-1DC5-441C-9548-A5D39C2E07D7}"/>
    <cellStyle name="20% - Accent5 4" xfId="116" xr:uid="{BED264CF-916D-4083-9D53-EBA8D3FFEB6B}"/>
    <cellStyle name="20% - Accent6" xfId="117" builtinId="50" customBuiltin="1"/>
    <cellStyle name="20% - Accent6 2" xfId="118" xr:uid="{779020C8-D8CF-4D3F-BC62-213642F45A31}"/>
    <cellStyle name="20% - Accent6 2 2" xfId="119" xr:uid="{6C7E39A9-A55E-4487-8B9F-1B3598EFA603}"/>
    <cellStyle name="20% - Accent6 2 2 2" xfId="120" xr:uid="{647A4D07-7AEF-4A46-80F2-9FF0915B12E9}"/>
    <cellStyle name="20% - Accent6 2 2 2 2" xfId="121" xr:uid="{02BFAE2D-C05B-423A-BDB4-127FE2806419}"/>
    <cellStyle name="20% - Accent6 2 2 2 2 2" xfId="122" xr:uid="{89AF1FBD-8AD6-424C-93B7-C8A0470FCCFF}"/>
    <cellStyle name="20% - Accent6 2 2 2 3" xfId="123" xr:uid="{706752D1-150E-400B-828B-4B7881D1A75D}"/>
    <cellStyle name="20% - Accent6 2 2 3" xfId="124" xr:uid="{85203C80-0721-42A3-BFD9-C863E05C5ED9}"/>
    <cellStyle name="20% - Accent6 2 2 3 2" xfId="125" xr:uid="{1665EBA6-2220-42CD-9F36-8340F38E59D6}"/>
    <cellStyle name="20% - Accent6 2 2 4" xfId="126" xr:uid="{C570D72A-FEC3-428A-AEA8-3046F79BB108}"/>
    <cellStyle name="20% - Accent6 2 2 5" xfId="127" xr:uid="{0E207736-8089-46EF-BCC4-3F4FC4DDD8C6}"/>
    <cellStyle name="20% - Accent6 2 3" xfId="128" xr:uid="{D519464A-7FD4-4378-A1AD-498010DBE294}"/>
    <cellStyle name="20% - Accent6 2 3 2" xfId="129" xr:uid="{2F392692-1437-4753-8BEA-5A266DF8E5A1}"/>
    <cellStyle name="20% - Accent6 2 3 2 2" xfId="130" xr:uid="{76BBDA5C-C902-4548-AA8B-1EF10A71E811}"/>
    <cellStyle name="20% - Accent6 2 3 3" xfId="131" xr:uid="{740E265B-E7D7-42B6-98B3-CB9C5447AC1C}"/>
    <cellStyle name="20% - Accent6 2 4" xfId="132" xr:uid="{C587C0BB-69DA-4741-B0AF-193581FB5552}"/>
    <cellStyle name="20% - Accent6 2 4 2" xfId="133" xr:uid="{F2152527-E8DD-4282-B243-5B94EBC6A4D9}"/>
    <cellStyle name="20% - Accent6 2 5" xfId="134" xr:uid="{351F6EAC-C620-45CA-877B-41BF1930D784}"/>
    <cellStyle name="20% - Accent6 3" xfId="135" xr:uid="{C24105AC-05C7-4CD5-BD39-B08E8FB64BA6}"/>
    <cellStyle name="20% - Accent6 3 2" xfId="136" xr:uid="{CD83E319-653F-4B6B-9B01-3686DCC0CEFD}"/>
    <cellStyle name="20% - Accent6 4" xfId="137" xr:uid="{794DDB4A-7E22-460D-9867-7D1E904BEFF5}"/>
    <cellStyle name="40% - Accent1" xfId="138" builtinId="31" customBuiltin="1"/>
    <cellStyle name="40% - Accent1 2" xfId="139" xr:uid="{4D46951F-F6D4-4B67-AAB1-BCA0897A9BFE}"/>
    <cellStyle name="40% - Accent1 2 2" xfId="140" xr:uid="{75333580-FEA1-4701-939C-3AD49164B561}"/>
    <cellStyle name="40% - Accent1 2 2 2" xfId="141" xr:uid="{117D4E79-3185-4129-B892-7672D0E09C5E}"/>
    <cellStyle name="40% - Accent1 2 2 2 2" xfId="142" xr:uid="{52E74C75-198B-4ED9-8AA1-BD1B1DF1FD38}"/>
    <cellStyle name="40% - Accent1 2 2 2 2 2" xfId="143" xr:uid="{25FD5732-F961-413A-AE33-6B79D10A35D3}"/>
    <cellStyle name="40% - Accent1 2 2 2 3" xfId="144" xr:uid="{E7E6EFED-7196-48B7-9930-3F744171903E}"/>
    <cellStyle name="40% - Accent1 2 2 3" xfId="145" xr:uid="{744C0B79-1C3B-4A98-8AAA-32DB21C43224}"/>
    <cellStyle name="40% - Accent1 2 2 3 2" xfId="146" xr:uid="{06D946D2-A46E-4EE9-AF8D-10AEDDDB1B78}"/>
    <cellStyle name="40% - Accent1 2 2 4" xfId="147" xr:uid="{27ABACD6-C6B8-4CE0-BFCA-7DAA80AB19F0}"/>
    <cellStyle name="40% - Accent1 2 2 5" xfId="148" xr:uid="{4C57F112-45F7-42B8-A8DD-75EE023D554B}"/>
    <cellStyle name="40% - Accent1 2 3" xfId="149" xr:uid="{B9950BA3-1606-4D88-84D1-2A1F434F2470}"/>
    <cellStyle name="40% - Accent1 2 3 2" xfId="150" xr:uid="{FE18FFFF-3DCF-4472-B1B3-7B3035081886}"/>
    <cellStyle name="40% - Accent1 2 3 2 2" xfId="151" xr:uid="{CF652774-EBE6-4579-8A2E-B063BDD8F61C}"/>
    <cellStyle name="40% - Accent1 2 3 3" xfId="152" xr:uid="{2E433206-D798-4518-B613-A557E81D981A}"/>
    <cellStyle name="40% - Accent1 2 4" xfId="153" xr:uid="{B0983E66-C7DB-48DD-A618-7CA193F0059D}"/>
    <cellStyle name="40% - Accent1 2 4 2" xfId="154" xr:uid="{F209B07D-9EE0-4839-9432-2ACAADF753CB}"/>
    <cellStyle name="40% - Accent1 2 5" xfId="155" xr:uid="{80F7B530-259F-4529-9E54-4DC5ACCB3C7B}"/>
    <cellStyle name="40% - Accent1 3" xfId="156" xr:uid="{49EF97FA-67DE-4F6E-A475-B2866196F08F}"/>
    <cellStyle name="40% - Accent1 3 2" xfId="157" xr:uid="{C533F1ED-5922-4815-A69D-56AA3B8E3EB8}"/>
    <cellStyle name="40% - Accent1 4" xfId="158" xr:uid="{59C0476A-2275-437C-97C1-B7C33E0E509A}"/>
    <cellStyle name="40% - Accent2" xfId="159" builtinId="35" customBuiltin="1"/>
    <cellStyle name="40% - Accent2 2" xfId="160" xr:uid="{2C86AF72-1CF8-4585-A672-632F1A2B84D1}"/>
    <cellStyle name="40% - Accent2 2 2" xfId="161" xr:uid="{12125DE0-D110-4973-8079-EC13410B8464}"/>
    <cellStyle name="40% - Accent2 2 2 2" xfId="162" xr:uid="{D00F9DF1-84AF-449F-8467-F87CDEE679DF}"/>
    <cellStyle name="40% - Accent2 2 2 2 2" xfId="163" xr:uid="{261276BB-F230-4FEF-A8CD-96E3889BAD43}"/>
    <cellStyle name="40% - Accent2 2 2 2 2 2" xfId="164" xr:uid="{CCA7C870-3F10-4DB6-9DFE-5511FDEC7FFC}"/>
    <cellStyle name="40% - Accent2 2 2 2 3" xfId="165" xr:uid="{665E49EE-0F74-4AB8-AA9C-BB79EAEA3605}"/>
    <cellStyle name="40% - Accent2 2 2 3" xfId="166" xr:uid="{410BD320-17E1-414E-A7BA-A7800D6B48C2}"/>
    <cellStyle name="40% - Accent2 2 2 3 2" xfId="167" xr:uid="{58D0CAF2-BBF7-487A-809C-6DABFFF4D35C}"/>
    <cellStyle name="40% - Accent2 2 2 4" xfId="168" xr:uid="{AD0C6C57-3FC2-4FDF-B678-CE28D5914516}"/>
    <cellStyle name="40% - Accent2 2 2 5" xfId="169" xr:uid="{34F687FD-97B4-4ADD-9AAD-357575EA6EAB}"/>
    <cellStyle name="40% - Accent2 2 3" xfId="170" xr:uid="{59D2B43F-FB01-477D-9B32-2E8789360E1B}"/>
    <cellStyle name="40% - Accent2 2 3 2" xfId="171" xr:uid="{969940FA-F1A5-4311-B52A-F37E16F5084A}"/>
    <cellStyle name="40% - Accent2 2 3 2 2" xfId="172" xr:uid="{F6E0EFB9-2721-455B-AFD4-C78BF0EE6D89}"/>
    <cellStyle name="40% - Accent2 2 3 3" xfId="173" xr:uid="{4EF4A2D8-51E5-487C-B45B-67718556F138}"/>
    <cellStyle name="40% - Accent2 2 4" xfId="174" xr:uid="{05F10831-D0A4-4153-9C59-F58B498DE2D3}"/>
    <cellStyle name="40% - Accent2 2 4 2" xfId="175" xr:uid="{B87BBEE4-D9A3-4A48-94CF-4AFE027DF6C7}"/>
    <cellStyle name="40% - Accent2 2 5" xfId="176" xr:uid="{DEA22FCD-4FE9-4F36-B1F4-75F9C6D72311}"/>
    <cellStyle name="40% - Accent2 3" xfId="177" xr:uid="{64BF05CE-C258-4B29-B3CA-22DF55F6642D}"/>
    <cellStyle name="40% - Accent2 3 2" xfId="178" xr:uid="{6F51ACF2-54A0-4C94-9678-5EA73A7D4FBB}"/>
    <cellStyle name="40% - Accent2 4" xfId="179" xr:uid="{DFBE0147-90B1-445A-87C7-FD87EB5BC6B2}"/>
    <cellStyle name="40% - Accent3" xfId="180" builtinId="39" customBuiltin="1"/>
    <cellStyle name="40% - Accent3 2" xfId="181" xr:uid="{37C40719-C7F8-42B3-8C4E-91596172A8BE}"/>
    <cellStyle name="40% - Accent3 2 2" xfId="182" xr:uid="{092BDE14-8156-4101-84FD-157A08D62D2D}"/>
    <cellStyle name="40% - Accent3 2 2 2" xfId="183" xr:uid="{72B61B89-7E75-4A40-9118-67241F4F242A}"/>
    <cellStyle name="40% - Accent3 2 2 2 2" xfId="184" xr:uid="{F9915143-1A03-4AA7-B9F5-CFDFD62C6388}"/>
    <cellStyle name="40% - Accent3 2 2 2 2 2" xfId="185" xr:uid="{618208D3-C571-4B69-A50A-DB32872F2074}"/>
    <cellStyle name="40% - Accent3 2 2 2 3" xfId="186" xr:uid="{7D704200-4477-41BD-A5F3-04A93656141A}"/>
    <cellStyle name="40% - Accent3 2 2 3" xfId="187" xr:uid="{E8DFA2FF-FF0B-45A0-9B0A-43494834FDE8}"/>
    <cellStyle name="40% - Accent3 2 2 3 2" xfId="188" xr:uid="{53DCAA4E-7CC2-4E44-8998-8EF306B65192}"/>
    <cellStyle name="40% - Accent3 2 2 4" xfId="189" xr:uid="{0FA83E93-6471-491F-8C0E-92ADACF737CB}"/>
    <cellStyle name="40% - Accent3 2 2 5" xfId="190" xr:uid="{701228A1-DE44-434A-A95B-C6FBF393244C}"/>
    <cellStyle name="40% - Accent3 2 3" xfId="191" xr:uid="{02AE9D77-25C4-4A3E-8F58-DEB3E41D035E}"/>
    <cellStyle name="40% - Accent3 2 3 2" xfId="192" xr:uid="{F8764256-D92E-437E-9930-A185B941F673}"/>
    <cellStyle name="40% - Accent3 2 3 2 2" xfId="193" xr:uid="{70952E18-CC95-480D-9699-B95C8976B3AB}"/>
    <cellStyle name="40% - Accent3 2 3 3" xfId="194" xr:uid="{EB039F2D-F873-438A-8CC7-D25D8896AE35}"/>
    <cellStyle name="40% - Accent3 2 4" xfId="195" xr:uid="{E5DF0CCD-BB48-4836-8F70-7B5A5226250D}"/>
    <cellStyle name="40% - Accent3 2 4 2" xfId="196" xr:uid="{5F485B91-583C-41B8-BD93-6217192467A1}"/>
    <cellStyle name="40% - Accent3 2 5" xfId="197" xr:uid="{49E7746F-C013-4555-9C9F-254722A92F67}"/>
    <cellStyle name="40% - Accent3 3" xfId="198" xr:uid="{8BF7727B-7147-4C90-9492-618C6B9A4C1E}"/>
    <cellStyle name="40% - Accent3 3 2" xfId="199" xr:uid="{C3D6FF50-57C7-492F-9A20-B8C3CBBDC545}"/>
    <cellStyle name="40% - Accent3 4" xfId="200" xr:uid="{2D119851-DEF4-4601-968A-6FFB78BE6D96}"/>
    <cellStyle name="40% - Accent4" xfId="201" builtinId="43" customBuiltin="1"/>
    <cellStyle name="40% - Accent4 2" xfId="202" xr:uid="{80354CAC-09A0-48B3-959A-70DEA568891E}"/>
    <cellStyle name="40% - Accent4 2 2" xfId="203" xr:uid="{EBA71C00-7AAE-4804-9714-8DF97694B59D}"/>
    <cellStyle name="40% - Accent4 2 2 2" xfId="204" xr:uid="{95D88799-6482-4999-8EF3-46A9EB677793}"/>
    <cellStyle name="40% - Accent4 2 2 2 2" xfId="205" xr:uid="{C66065BA-008C-4AF4-BB05-B2F365C383BA}"/>
    <cellStyle name="40% - Accent4 2 2 2 2 2" xfId="206" xr:uid="{115D3688-8D56-40E7-8ADE-61B6CD627682}"/>
    <cellStyle name="40% - Accent4 2 2 2 3" xfId="207" xr:uid="{45706476-CA58-4BF8-96D9-05923FB98C3E}"/>
    <cellStyle name="40% - Accent4 2 2 3" xfId="208" xr:uid="{60D826BD-1269-4B8A-88FD-3CD7000B2A89}"/>
    <cellStyle name="40% - Accent4 2 2 3 2" xfId="209" xr:uid="{005C5789-12CB-40B0-ACB1-84A1C8A90D4D}"/>
    <cellStyle name="40% - Accent4 2 2 4" xfId="210" xr:uid="{C095A02B-830D-4D86-BF7B-92AE64714738}"/>
    <cellStyle name="40% - Accent4 2 2 5" xfId="211" xr:uid="{BAE61E7E-5A72-44B1-A63D-1C62804C3CFB}"/>
    <cellStyle name="40% - Accent4 2 3" xfId="212" xr:uid="{0804333C-750A-45AE-A4E9-4946090FB7CE}"/>
    <cellStyle name="40% - Accent4 2 3 2" xfId="213" xr:uid="{120578C4-8C56-42B2-94A9-FD3F592C81CA}"/>
    <cellStyle name="40% - Accent4 2 3 2 2" xfId="214" xr:uid="{0F0AC78E-9D12-4ED9-AABC-2092101751BB}"/>
    <cellStyle name="40% - Accent4 2 3 3" xfId="215" xr:uid="{CA91156B-27A2-459B-85A3-7F701261BF67}"/>
    <cellStyle name="40% - Accent4 2 4" xfId="216" xr:uid="{F59F8904-76C9-428D-8767-D0C7507CD7CB}"/>
    <cellStyle name="40% - Accent4 2 4 2" xfId="217" xr:uid="{27D0D146-0C5A-4E27-AA1D-76B667C39FB0}"/>
    <cellStyle name="40% - Accent4 2 5" xfId="218" xr:uid="{FAA497E6-3192-4207-8127-48338BA833DD}"/>
    <cellStyle name="40% - Accent4 3" xfId="219" xr:uid="{0081E52E-B15C-43E7-A052-AE2E443F1407}"/>
    <cellStyle name="40% - Accent4 3 2" xfId="220" xr:uid="{3A769158-D172-4ECB-9429-3C03A220371F}"/>
    <cellStyle name="40% - Accent4 4" xfId="221" xr:uid="{2CE428E9-CC46-4955-A568-397A66A2010D}"/>
    <cellStyle name="40% - Accent5" xfId="222" builtinId="47" customBuiltin="1"/>
    <cellStyle name="40% - Accent5 2" xfId="223" xr:uid="{D85CE838-45D3-4AF6-B6D0-70CF17D35CC5}"/>
    <cellStyle name="40% - Accent5 2 2" xfId="224" xr:uid="{BE8B062A-446F-428A-8A34-351523DF9BD4}"/>
    <cellStyle name="40% - Accent5 2 2 2" xfId="225" xr:uid="{B8096D7F-9653-48E5-8B2E-55D059831FDB}"/>
    <cellStyle name="40% - Accent5 2 2 2 2" xfId="226" xr:uid="{57DC4491-C11F-4748-A64A-A0C900D63546}"/>
    <cellStyle name="40% - Accent5 2 2 2 2 2" xfId="227" xr:uid="{BD5A9CAD-4383-4EC1-9ACA-AD8E36A28024}"/>
    <cellStyle name="40% - Accent5 2 2 2 3" xfId="228" xr:uid="{3FC7F026-0925-4471-A4DE-6AEFC929A3E6}"/>
    <cellStyle name="40% - Accent5 2 2 3" xfId="229" xr:uid="{247A7901-DDE3-4DF6-B191-D015497D2CEC}"/>
    <cellStyle name="40% - Accent5 2 2 3 2" xfId="230" xr:uid="{582F7E1C-6813-4844-BCFA-48051211A366}"/>
    <cellStyle name="40% - Accent5 2 2 4" xfId="231" xr:uid="{A5C663C2-07EF-4CD7-A559-A544CB14F42B}"/>
    <cellStyle name="40% - Accent5 2 2 5" xfId="232" xr:uid="{CC5A6219-4B12-4925-A6CA-86A79AF7CCE8}"/>
    <cellStyle name="40% - Accent5 2 3" xfId="233" xr:uid="{0DDE4376-A03E-45C4-A979-275EEE3B6152}"/>
    <cellStyle name="40% - Accent5 2 3 2" xfId="234" xr:uid="{1CA4A2EF-CE82-4416-963A-F25CF7C83855}"/>
    <cellStyle name="40% - Accent5 2 3 2 2" xfId="235" xr:uid="{0B1C9899-B432-4CD2-B6D1-74D3AFC93855}"/>
    <cellStyle name="40% - Accent5 2 3 3" xfId="236" xr:uid="{DE8999BB-E412-42FA-AF88-07C9C2E3B0CF}"/>
    <cellStyle name="40% - Accent5 2 4" xfId="237" xr:uid="{04BA2835-E930-4823-89EB-77068EFADC82}"/>
    <cellStyle name="40% - Accent5 2 4 2" xfId="238" xr:uid="{54C2E073-7A76-4B4B-98CE-14143C195C25}"/>
    <cellStyle name="40% - Accent5 2 5" xfId="239" xr:uid="{58F55BD5-201E-48B7-B2B4-CD4CB219AA6B}"/>
    <cellStyle name="40% - Accent5 3" xfId="240" xr:uid="{FA7A4B27-8E7A-4DED-BD61-1F711D02E577}"/>
    <cellStyle name="40% - Accent5 3 2" xfId="241" xr:uid="{5F97A7E1-126C-490E-A96B-A341BDBCED00}"/>
    <cellStyle name="40% - Accent5 4" xfId="242" xr:uid="{EE7A293A-26AD-4761-B443-28CF01F03973}"/>
    <cellStyle name="40% - Accent6" xfId="243" builtinId="51" customBuiltin="1"/>
    <cellStyle name="40% - Accent6 2" xfId="244" xr:uid="{3E8D8043-C2E4-4F2F-AEAF-CC4492166F28}"/>
    <cellStyle name="40% - Accent6 2 2" xfId="245" xr:uid="{B4D9B78B-EBFD-4744-8322-620E1D164526}"/>
    <cellStyle name="40% - Accent6 2 2 2" xfId="246" xr:uid="{FD2BC995-4C46-49B5-A2F5-E7C7736FA1E7}"/>
    <cellStyle name="40% - Accent6 2 2 2 2" xfId="247" xr:uid="{B5874B8B-CB88-4BD7-8C8C-6570DD8566E9}"/>
    <cellStyle name="40% - Accent6 2 2 2 2 2" xfId="248" xr:uid="{0FC96B8F-8B84-4854-9620-1946338DCD77}"/>
    <cellStyle name="40% - Accent6 2 2 2 3" xfId="249" xr:uid="{43E1A0F5-D5BA-4CD1-804C-445A50378049}"/>
    <cellStyle name="40% - Accent6 2 2 3" xfId="250" xr:uid="{7FE74E53-9858-4177-B4A1-121F95A19F0A}"/>
    <cellStyle name="40% - Accent6 2 2 3 2" xfId="251" xr:uid="{62022DFA-970F-4B60-8787-F9C780EBDDBE}"/>
    <cellStyle name="40% - Accent6 2 2 4" xfId="252" xr:uid="{21436B9D-3916-40E1-8232-E395C9456C62}"/>
    <cellStyle name="40% - Accent6 2 2 5" xfId="253" xr:uid="{9C5E569F-6973-41C2-BD9D-43EE4EC51F3C}"/>
    <cellStyle name="40% - Accent6 2 3" xfId="254" xr:uid="{44C8CC68-CD6C-4269-B5E7-3AFE7B6AB16F}"/>
    <cellStyle name="40% - Accent6 2 3 2" xfId="255" xr:uid="{8F171E9F-0836-4F01-A001-559F1352810B}"/>
    <cellStyle name="40% - Accent6 2 3 2 2" xfId="256" xr:uid="{B7356764-B2E0-47D1-831A-EC175095FDCF}"/>
    <cellStyle name="40% - Accent6 2 3 3" xfId="257" xr:uid="{BA6ACA9C-8B23-4A27-B087-751BBD66B5A3}"/>
    <cellStyle name="40% - Accent6 2 4" xfId="258" xr:uid="{6145DBA0-E54F-4332-8F53-9B74B55A1466}"/>
    <cellStyle name="40% - Accent6 2 4 2" xfId="259" xr:uid="{7C136AA5-DC0D-4E44-80E6-B979E2DC984F}"/>
    <cellStyle name="40% - Accent6 2 5" xfId="260" xr:uid="{FA9B90F6-EA2E-402F-8290-C73E3F0832C8}"/>
    <cellStyle name="40% - Accent6 3" xfId="261" xr:uid="{3B7A2F7F-E5F3-483E-B8BD-863319638A8D}"/>
    <cellStyle name="40% - Accent6 3 2" xfId="262" xr:uid="{B741EDE8-E514-4652-814B-E0A5ED99B898}"/>
    <cellStyle name="40% - Accent6 4" xfId="263" xr:uid="{09B35C0D-CBD5-42B1-9D40-B5F31AA92020}"/>
    <cellStyle name="60% - Accent1" xfId="264" builtinId="32" customBuiltin="1"/>
    <cellStyle name="60% - Accent1 2" xfId="265" xr:uid="{E97376C3-EA06-4799-9D5F-D84BC2E18230}"/>
    <cellStyle name="60% - Accent1 3" xfId="266" xr:uid="{AFE5D78A-97C4-4D3A-8317-035BF07D7395}"/>
    <cellStyle name="60% - Accent1 3 2" xfId="267" xr:uid="{6BA6BF8E-9924-462A-8124-5D25BD6246B1}"/>
    <cellStyle name="60% - Accent1 4" xfId="268" xr:uid="{122B29BD-D458-40DD-BCD7-DFA62465ECD6}"/>
    <cellStyle name="60% - Accent2" xfId="269" builtinId="36" customBuiltin="1"/>
    <cellStyle name="60% - Accent2 2" xfId="270" xr:uid="{D768F84C-E1AF-4063-97DC-450FCE230308}"/>
    <cellStyle name="60% - Accent2 3" xfId="271" xr:uid="{8E4040E0-A1B1-430C-8DAF-53BA43E40321}"/>
    <cellStyle name="60% - Accent2 3 2" xfId="272" xr:uid="{033C72E3-DD64-434F-A72B-079179D2F07B}"/>
    <cellStyle name="60% - Accent2 4" xfId="273" xr:uid="{C4FD5325-E80B-4FCA-8628-811FCAC3425C}"/>
    <cellStyle name="60% - Accent3" xfId="274" builtinId="40" customBuiltin="1"/>
    <cellStyle name="60% - Accent3 2" xfId="275" xr:uid="{860278BD-3AA7-4E25-BA73-C5192FF33E96}"/>
    <cellStyle name="60% - Accent3 2 2" xfId="276" xr:uid="{D45562A4-5203-40B3-A038-D9DCC2494BB5}"/>
    <cellStyle name="60% - Accent3 3" xfId="277" xr:uid="{EB461B94-2BEF-4551-A44F-169586D329DE}"/>
    <cellStyle name="60% - Accent3 3 2" xfId="278" xr:uid="{2A5247ED-827B-44DA-9654-D18527DA95B1}"/>
    <cellStyle name="60% - Accent3 4" xfId="279" xr:uid="{8B9AE12F-8D0E-434B-961A-956B546216BC}"/>
    <cellStyle name="60% - Accent4" xfId="280" builtinId="44" customBuiltin="1"/>
    <cellStyle name="60% - Accent4 2" xfId="281" xr:uid="{76311388-9AD1-4D57-8E32-1987303F9C16}"/>
    <cellStyle name="60% - Accent4 2 2" xfId="282" xr:uid="{969F8B89-A5FF-4C6C-A9DA-7D44B5668082}"/>
    <cellStyle name="60% - Accent4 3" xfId="283" xr:uid="{63C191C5-DFDB-4CBC-94AE-3122F791D83E}"/>
    <cellStyle name="60% - Accent4 3 2" xfId="284" xr:uid="{5B2CB234-2D7D-45D0-A15E-E6917EBF9C0F}"/>
    <cellStyle name="60% - Accent4 4" xfId="285" xr:uid="{374063F4-187F-49FD-B74D-E3B9C59AF0F7}"/>
    <cellStyle name="60% - Accent5" xfId="286" builtinId="48" customBuiltin="1"/>
    <cellStyle name="60% - Accent5 2" xfId="287" xr:uid="{9B215846-13B8-4EC9-BAC4-D8BA06433A2A}"/>
    <cellStyle name="60% - Accent5 3" xfId="288" xr:uid="{78389409-7F2A-4071-8FC4-B844E0C48901}"/>
    <cellStyle name="60% - Accent5 3 2" xfId="289" xr:uid="{AC2BF35D-666E-4A33-A191-90385E8CC300}"/>
    <cellStyle name="60% - Accent5 4" xfId="290" xr:uid="{7B543158-3510-4CA2-B5DA-DDFA0BA47EA7}"/>
    <cellStyle name="60% - Accent6" xfId="291" builtinId="52" customBuiltin="1"/>
    <cellStyle name="60% - Accent6 2" xfId="292" xr:uid="{5EE0CE1F-CE3A-442F-9DFD-51DC15EF7CEB}"/>
    <cellStyle name="60% - Accent6 2 2" xfId="293" xr:uid="{CCD1AA28-9F67-4B8C-8988-19126BE61A0E}"/>
    <cellStyle name="60% - Accent6 3" xfId="294" xr:uid="{F1C5BFAB-C2E8-4F3E-B60D-5BAEE8C90052}"/>
    <cellStyle name="60% - Accent6 3 2" xfId="295" xr:uid="{BCA45E31-03D4-48FB-B733-2F8C484AD0FE}"/>
    <cellStyle name="60% - Accent6 4" xfId="296" xr:uid="{04312294-191C-4E05-A426-834975433D21}"/>
    <cellStyle name="Accent1" xfId="297" builtinId="29" customBuiltin="1"/>
    <cellStyle name="Accent1 2" xfId="298" xr:uid="{FD95C704-91DA-4856-AE8E-E1E65BA23290}"/>
    <cellStyle name="Accent1 3" xfId="299" xr:uid="{0A197C6E-C1CB-4CEF-9D96-7A054975E10F}"/>
    <cellStyle name="Accent1 3 2" xfId="300" xr:uid="{DFCB0A82-31F3-4FCB-B1AE-799F6CACB8F3}"/>
    <cellStyle name="Accent1 4" xfId="301" xr:uid="{C33F91A5-109E-40EB-93A3-73624EAD53B7}"/>
    <cellStyle name="Accent2" xfId="302" builtinId="33" customBuiltin="1"/>
    <cellStyle name="Accent2 2" xfId="303" xr:uid="{4B6AC5AF-FB1C-4332-AF27-3B4542DB814C}"/>
    <cellStyle name="Accent2 3" xfId="304" xr:uid="{6385D135-162C-45D7-842B-D8CEDDB5EE33}"/>
    <cellStyle name="Accent2 3 2" xfId="305" xr:uid="{398AF96D-C3F1-4D62-AA97-45E560B9466C}"/>
    <cellStyle name="Accent2 4" xfId="306" xr:uid="{6C919C87-0669-4245-9832-0A4052477E6F}"/>
    <cellStyle name="Accent3" xfId="307" builtinId="37" customBuiltin="1"/>
    <cellStyle name="Accent3 2" xfId="308" xr:uid="{552A4931-25B7-43F9-880A-998F5D142DF0}"/>
    <cellStyle name="Accent3 3" xfId="309" xr:uid="{1A014C40-A7F4-4692-806F-E4E210A68888}"/>
    <cellStyle name="Accent3 3 2" xfId="310" xr:uid="{F29766AA-26F6-4852-946A-375554A0F47E}"/>
    <cellStyle name="Accent3 4" xfId="311" xr:uid="{8D1511BE-C590-4D0E-B9DE-20422EABFF60}"/>
    <cellStyle name="Accent4" xfId="312" builtinId="41" customBuiltin="1"/>
    <cellStyle name="Accent4 2" xfId="313" xr:uid="{4E95F843-CBF9-4EDA-9468-77971B0415DC}"/>
    <cellStyle name="Accent4 3" xfId="314" xr:uid="{EAD571A2-403B-4D51-A2E5-2F0063E92F9A}"/>
    <cellStyle name="Accent4 3 2" xfId="315" xr:uid="{FE62AE49-43ED-4EDF-B91C-47F9474D04EA}"/>
    <cellStyle name="Accent4 4" xfId="316" xr:uid="{8290E58A-5294-4EF7-8FC6-1EB1BC20AB6A}"/>
    <cellStyle name="Accent5" xfId="317" builtinId="45" customBuiltin="1"/>
    <cellStyle name="Accent5 2" xfId="318" xr:uid="{7E3F2FD7-D53F-4A67-9109-2A283F54608D}"/>
    <cellStyle name="Accent5 3" xfId="319" xr:uid="{AF48E1DB-D7E1-4CE2-8D2A-DBF2142B1A71}"/>
    <cellStyle name="Accent5 3 2" xfId="320" xr:uid="{E63FC795-481C-4D15-AE75-9539F0E8DA0F}"/>
    <cellStyle name="Accent5 4" xfId="321" xr:uid="{D09BFC44-B958-4B68-83AF-37FB6933C954}"/>
    <cellStyle name="Accent6" xfId="322" builtinId="49" customBuiltin="1"/>
    <cellStyle name="Accent6 2" xfId="323" xr:uid="{26788FEE-B700-4F91-A204-9B28C2D855C3}"/>
    <cellStyle name="Accent6 3" xfId="324" xr:uid="{AE844B6E-95E8-4638-ABFF-1FA509F27C7F}"/>
    <cellStyle name="Accent6 3 2" xfId="325" xr:uid="{4F17461F-D6E7-4F84-905E-43EE53816283}"/>
    <cellStyle name="Accent6 4" xfId="326" xr:uid="{1F2BC332-9DD9-4ACE-99BA-477AA0B9480C}"/>
    <cellStyle name="Bad" xfId="327" builtinId="27" customBuiltin="1"/>
    <cellStyle name="Bad 2" xfId="328" xr:uid="{EFFE5C47-1F23-4379-AEE5-2F22122DE2B7}"/>
    <cellStyle name="Bad 3" xfId="329" xr:uid="{807A6309-1F79-4391-87A2-E04FF205CDBE}"/>
    <cellStyle name="Bad 3 2" xfId="330" xr:uid="{8DA5DD94-9A08-4DF2-A73F-E0A41F58D680}"/>
    <cellStyle name="Bad 4" xfId="331" xr:uid="{3CF2BCC2-44DF-4291-B395-A2586F8CF715}"/>
    <cellStyle name="Calculation" xfId="332" builtinId="22" customBuiltin="1"/>
    <cellStyle name="Calculation 2" xfId="333" xr:uid="{F8BF8F8A-DA73-4CC1-9AD6-C7A7C98D163D}"/>
    <cellStyle name="Calculation 3" xfId="334" xr:uid="{46CD2E1B-E2B3-4902-B9EF-AB32CD8BB5AC}"/>
    <cellStyle name="Calculation 3 2" xfId="335" xr:uid="{886A0E88-1ADB-419B-96F1-B93EAA535425}"/>
    <cellStyle name="Calculation 4" xfId="336" xr:uid="{ABE374AB-872B-4A7E-B45B-4059B1DC2F85}"/>
    <cellStyle name="Check Cell" xfId="337" builtinId="23" customBuiltin="1"/>
    <cellStyle name="Check Cell 2" xfId="338" xr:uid="{24B0A28D-12F9-44E7-A13D-CCDBACB864F9}"/>
    <cellStyle name="Check Cell 3" xfId="339" xr:uid="{E7C95857-8AA6-4F33-9A85-FBF9C67CE6D5}"/>
    <cellStyle name="Check Cell 3 2" xfId="340" xr:uid="{753B99D5-8016-4F10-B256-4716C8AE2129}"/>
    <cellStyle name="Check Cell 4" xfId="341" xr:uid="{71845594-9F83-4AB5-B728-5F5F3BB8FA07}"/>
    <cellStyle name="Comma 2" xfId="342" xr:uid="{FF167CA9-4DA4-4060-BB3F-679D3887B781}"/>
    <cellStyle name="Comma 2 2" xfId="343" xr:uid="{257716E5-4420-49D5-B247-36445F90B38C}"/>
    <cellStyle name="Comma 2 3" xfId="344" xr:uid="{C0E6FC3B-CACB-4A3E-8BD7-89D7AD8BD8CE}"/>
    <cellStyle name="Explanatory Text" xfId="345" builtinId="53" customBuiltin="1"/>
    <cellStyle name="Explanatory Text 2" xfId="346" xr:uid="{EF1A5FED-876F-4BEF-BF41-DBCDB99F50AE}"/>
    <cellStyle name="Explanatory Text 3" xfId="347" xr:uid="{7FD4F266-57CA-47EE-B485-1805B3C52BA0}"/>
    <cellStyle name="Explanatory Text 3 2" xfId="348" xr:uid="{D7CBC757-DA16-47AE-95F7-D22389944CB6}"/>
    <cellStyle name="Explanatory Text 4" xfId="349" xr:uid="{79D40535-4CD6-4CB1-9B29-B583E5417D9A}"/>
    <cellStyle name="Good" xfId="350" builtinId="26" customBuiltin="1"/>
    <cellStyle name="Good 2" xfId="351" xr:uid="{B3C2650F-0424-41E5-8997-1083FEBA9CF2}"/>
    <cellStyle name="Good 3" xfId="352" xr:uid="{13C21755-FB47-417B-83C8-1FD256B14720}"/>
    <cellStyle name="Good 3 2" xfId="353" xr:uid="{18A61883-3625-4A17-BCBB-E7C4785526CD}"/>
    <cellStyle name="Good 4" xfId="354" xr:uid="{3F672D84-0C71-497A-9B25-B141749FD056}"/>
    <cellStyle name="Heading 1" xfId="355" builtinId="16" customBuiltin="1"/>
    <cellStyle name="Heading 1 2" xfId="356" xr:uid="{5CA94FCF-C31D-427F-9973-A5DCBAC216F5}"/>
    <cellStyle name="Heading 1 3" xfId="357" xr:uid="{55D20B78-4BA9-40B9-BB34-C4760227B69C}"/>
    <cellStyle name="Heading 1 3 2" xfId="358" xr:uid="{D4CD73B2-0957-4C1E-A01B-A7A394C9FCF6}"/>
    <cellStyle name="Heading 1 4" xfId="359" xr:uid="{10820DCB-73C7-4F4C-A805-E5CF179C6C36}"/>
    <cellStyle name="Heading 2" xfId="360" builtinId="17" customBuiltin="1"/>
    <cellStyle name="Heading 2 2" xfId="361" xr:uid="{324DBC68-9D71-4ACB-A325-D5B7515837AC}"/>
    <cellStyle name="Heading 2 3" xfId="362" xr:uid="{79166B24-77EC-4481-AF09-D0DBA763B588}"/>
    <cellStyle name="Heading 2 3 2" xfId="363" xr:uid="{2E4DAFA1-6B5D-4B83-8816-0D8B7D40D6AF}"/>
    <cellStyle name="Heading 2 4" xfId="364" xr:uid="{3B3C9879-4B08-49D9-9C32-A72B0B60E59E}"/>
    <cellStyle name="Heading 3" xfId="365" builtinId="18" customBuiltin="1"/>
    <cellStyle name="Heading 3 2" xfId="366" xr:uid="{A9CAD2E2-DAFF-4D8A-9367-A80D48921283}"/>
    <cellStyle name="Heading 3 3" xfId="367" xr:uid="{8A958AD4-20BE-4ECD-99FB-8AFAE8D8F916}"/>
    <cellStyle name="Heading 3 3 2" xfId="368" xr:uid="{3D1581AC-C183-4C66-97A6-C551F67CAD94}"/>
    <cellStyle name="Heading 3 4" xfId="369" xr:uid="{31D5F4DA-2501-4CF5-81DA-90A1525D27A4}"/>
    <cellStyle name="Heading 4" xfId="370" builtinId="19" customBuiltin="1"/>
    <cellStyle name="Heading 4 2" xfId="371" xr:uid="{8A49E4D3-F536-4FA8-8C60-8C6A63F55A23}"/>
    <cellStyle name="Heading 4 3" xfId="372" xr:uid="{2BAC190B-890C-484E-B92A-D3A0CDFAA006}"/>
    <cellStyle name="Heading 4 3 2" xfId="373" xr:uid="{231ABE5E-559F-4995-9505-5BF08BA04600}"/>
    <cellStyle name="Heading 4 4" xfId="374" xr:uid="{4FFB3907-F606-4D3B-B4F9-09CB820A406A}"/>
    <cellStyle name="Hyperlink" xfId="375" builtinId="8"/>
    <cellStyle name="Hyperlink 2" xfId="376" xr:uid="{3762491A-EEBE-48D9-8608-C25C0B08F3FA}"/>
    <cellStyle name="Input" xfId="377" builtinId="20" customBuiltin="1"/>
    <cellStyle name="Input 2" xfId="378" xr:uid="{9DD43B06-8DC5-4B40-888D-31EE733CA845}"/>
    <cellStyle name="Input 3" xfId="379" xr:uid="{E7DFAFA1-A682-4973-AF17-7840073B5819}"/>
    <cellStyle name="Input 3 2" xfId="380" xr:uid="{4BB5CB93-7C41-4C3F-B469-20E65B4D27CF}"/>
    <cellStyle name="Input 4" xfId="381" xr:uid="{737BF3B8-5E01-43ED-8504-5178F7181FB6}"/>
    <cellStyle name="Linked Cell" xfId="382" builtinId="24" customBuiltin="1"/>
    <cellStyle name="Linked Cell 2" xfId="383" xr:uid="{72C9C6F1-62B6-410C-A3ED-CB751CAFB667}"/>
    <cellStyle name="Linked Cell 3" xfId="384" xr:uid="{25282565-55DD-45E2-8505-CE628C525F96}"/>
    <cellStyle name="Linked Cell 3 2" xfId="385" xr:uid="{CF98B937-E582-40EF-AEFC-C770E558C06A}"/>
    <cellStyle name="Linked Cell 4" xfId="386" xr:uid="{1D57F2EC-B901-4522-9528-3BE5F85EC9BA}"/>
    <cellStyle name="Neutral" xfId="387" builtinId="28" customBuiltin="1"/>
    <cellStyle name="Neutral 2" xfId="388" xr:uid="{633E3A42-BD13-44DA-8184-84B6C219189B}"/>
    <cellStyle name="Neutral 3" xfId="389" xr:uid="{89D289B2-C170-43BA-A2D4-9442CF2A0955}"/>
    <cellStyle name="Neutral 3 2" xfId="390" xr:uid="{654605B4-4CE0-46E6-81C1-676F6C63F3EB}"/>
    <cellStyle name="Neutral 4" xfId="391" xr:uid="{B31A44AA-5674-47E0-AA92-0A2631F6DFCB}"/>
    <cellStyle name="Normal" xfId="0" builtinId="0"/>
    <cellStyle name="Normal 2" xfId="392" xr:uid="{930AF6B7-1FCF-4731-A29F-BC815B3A2D4D}"/>
    <cellStyle name="Normal 2 2" xfId="393" xr:uid="{27F1C49D-91DD-42A7-B855-4F00B0AFB614}"/>
    <cellStyle name="Normal 2 3" xfId="394" xr:uid="{4AF440DB-0669-4710-8CB7-59B2B727E174}"/>
    <cellStyle name="Normal 2 3 2" xfId="395" xr:uid="{FC32FE3B-87CA-4E87-A301-DD4D370053D9}"/>
    <cellStyle name="Normal 2 3 2 2" xfId="396" xr:uid="{DE7D6292-8AA3-424A-8D2B-493E0FF59CEF}"/>
    <cellStyle name="Normal 2 3 2 2 2" xfId="397" xr:uid="{7E0A3E1C-AF42-45E7-91B5-C5CDF51EC919}"/>
    <cellStyle name="Normal 2 3 2 3" xfId="398" xr:uid="{5B2BCA65-D422-44D8-9D02-B9F8A8760C9D}"/>
    <cellStyle name="Normal 2 3 3" xfId="399" xr:uid="{D9E019B1-65DA-4A50-BC7C-5164E817B376}"/>
    <cellStyle name="Normal 2 3 3 2" xfId="400" xr:uid="{BC872C30-AD2B-444B-8E98-2C812D50ECA5}"/>
    <cellStyle name="Normal 2 3 3 3" xfId="401" xr:uid="{A57A8BD4-A0A2-4341-A247-887F1AC88A5E}"/>
    <cellStyle name="Normal 2 3 4" xfId="402" xr:uid="{405052C9-50CA-460C-85C6-7110C8E2C35E}"/>
    <cellStyle name="Normal 2 3 5" xfId="403" xr:uid="{F13FB98B-B159-4D08-A4A5-FCE06DB875A9}"/>
    <cellStyle name="Normal 2 4" xfId="404" xr:uid="{26AF39FF-EC02-4677-944D-B3D7B4C26C57}"/>
    <cellStyle name="Normal 2 4 2" xfId="405" xr:uid="{BCD935AA-3CFD-4645-8B8E-55729E68A401}"/>
    <cellStyle name="Normal 2 4 2 2" xfId="406" xr:uid="{32E633C5-04D3-44F8-9B66-B4F68C57C159}"/>
    <cellStyle name="Normal 2 4 3" xfId="407" xr:uid="{51B9934B-08F6-4405-A5C4-0C255C31BCEB}"/>
    <cellStyle name="Normal 2 5" xfId="408" xr:uid="{FD4D45DE-08D2-486F-8B13-DC01FDDBFA02}"/>
    <cellStyle name="Normal 2 5 2" xfId="409" xr:uid="{9E51ABC3-9B28-4352-8BFF-4E963E6B134F}"/>
    <cellStyle name="Normal 2 6" xfId="410" xr:uid="{0102F927-D184-4636-A988-CB31F64C105A}"/>
    <cellStyle name="Normal 3" xfId="411" xr:uid="{880BED1D-345D-4907-93A1-490EF1AEA5CB}"/>
    <cellStyle name="Normal 3 2" xfId="412" xr:uid="{6D6ABE22-5D2F-4B5D-AA41-659314E7779A}"/>
    <cellStyle name="Normal 4" xfId="413" xr:uid="{3B38780E-FB98-4557-A497-27B13FD2717E}"/>
    <cellStyle name="Normal 4 2" xfId="414" xr:uid="{3C3B5EF0-5080-47F9-927C-679F1A5E9879}"/>
    <cellStyle name="Normal 4 2 2" xfId="415" xr:uid="{0CE0D6E1-2190-4F96-946F-AD8DCBB7A10A}"/>
    <cellStyle name="Normal 4 2 3" xfId="416" xr:uid="{65FC0DC0-3379-47E9-8689-FAC00EA65703}"/>
    <cellStyle name="Normal 4 2 4" xfId="417" xr:uid="{11E2828F-FDBB-4389-935E-5A4E6240F594}"/>
    <cellStyle name="Normal 4 3" xfId="418" xr:uid="{8CCEF079-A6BC-4745-9CBC-4B506E9E617E}"/>
    <cellStyle name="Normal 5" xfId="419" xr:uid="{561AD252-B2D7-4622-9C19-5A40C48EACEE}"/>
    <cellStyle name="Normal 5 2" xfId="420" xr:uid="{CEE7D727-DD69-4234-893B-478AD7E3B779}"/>
    <cellStyle name="Normal 6" xfId="421" xr:uid="{CA045F93-6660-436B-A4DD-16E54CC1A0BC}"/>
    <cellStyle name="Normal 7" xfId="422" xr:uid="{7BFE5DCC-B5B3-4E55-A20D-B7B197EF770D}"/>
    <cellStyle name="Note" xfId="423" builtinId="10" customBuiltin="1"/>
    <cellStyle name="Note 2" xfId="424" xr:uid="{7E21B299-5E21-40A4-A0A1-C052BC64369D}"/>
    <cellStyle name="Note 2 2" xfId="425" xr:uid="{AC9102AC-09CE-470C-967A-02D084167C40}"/>
    <cellStyle name="Note 2 2 2" xfId="426" xr:uid="{954B5B5F-61D7-49FD-A1C1-041327D4F1D9}"/>
    <cellStyle name="Note 2 2 2 2" xfId="427" xr:uid="{D41F4A62-3ADE-48CD-A772-031958E91393}"/>
    <cellStyle name="Note 2 2 2 2 2" xfId="428" xr:uid="{6448A100-CEF9-4613-9A4B-8A8AB54FC018}"/>
    <cellStyle name="Note 2 2 2 3" xfId="429" xr:uid="{495B3CC7-F43B-42EB-9BD0-10838EF6468B}"/>
    <cellStyle name="Note 2 2 3" xfId="430" xr:uid="{8D863124-6A7F-417C-B545-F1CF7685C55A}"/>
    <cellStyle name="Note 2 2 3 2" xfId="431" xr:uid="{BF14F6A6-8AC4-450A-AAD3-BF1401594481}"/>
    <cellStyle name="Note 2 2 4" xfId="432" xr:uid="{4229FC7B-4720-4C6E-B631-CBB36171E221}"/>
    <cellStyle name="Note 2 2 5" xfId="433" xr:uid="{FD13EEF1-B5E1-406B-ADC9-8D958FF75841}"/>
    <cellStyle name="Note 2 3" xfId="434" xr:uid="{9CFC9370-6FA8-46D9-9574-22E8DD7051FC}"/>
    <cellStyle name="Note 2 3 2" xfId="435" xr:uid="{7888DD32-40E8-4155-A6A9-C85ABB858E58}"/>
    <cellStyle name="Note 2 3 2 2" xfId="436" xr:uid="{553B7A7F-DD77-4C40-A02A-F1E66D2E5911}"/>
    <cellStyle name="Note 2 3 3" xfId="437" xr:uid="{BE43CC74-0ACA-48F8-BA2D-D136D2916BCD}"/>
    <cellStyle name="Note 2 4" xfId="438" xr:uid="{3D4271A1-A8FC-4C18-B69F-1C566597CAB8}"/>
    <cellStyle name="Note 2 4 2" xfId="439" xr:uid="{E3183622-F844-4E5F-9563-9E74BB1A4688}"/>
    <cellStyle name="Note 2 5" xfId="440" xr:uid="{2E024AEE-859B-484D-A01F-F2249A36714A}"/>
    <cellStyle name="Note 3" xfId="441" xr:uid="{4C780D4F-E62D-4B32-8E8D-1980910C2B13}"/>
    <cellStyle name="Output" xfId="442" builtinId="21" customBuiltin="1"/>
    <cellStyle name="Output 2" xfId="443" xr:uid="{FBE3A73C-1D82-4240-B5A2-2587E8BD1374}"/>
    <cellStyle name="Output 3" xfId="444" xr:uid="{59CAFA7C-32F2-45A6-B55A-418ACF4C2251}"/>
    <cellStyle name="Output 3 2" xfId="445" xr:uid="{69627033-5B85-47FB-8E38-573A81E640AA}"/>
    <cellStyle name="Output 4" xfId="446" xr:uid="{D3FAAEF8-A6B2-41F4-AD8B-B81E43807A27}"/>
    <cellStyle name="Title" xfId="447" builtinId="15" customBuiltin="1"/>
    <cellStyle name="Title 2" xfId="448" xr:uid="{603035AF-BE6D-4DBD-9CFE-815109F635AE}"/>
    <cellStyle name="Total" xfId="449" builtinId="25" customBuiltin="1"/>
    <cellStyle name="Total 2" xfId="450" xr:uid="{587E7534-9AB6-48E7-98A0-4DF738E54746}"/>
    <cellStyle name="Total 3" xfId="451" xr:uid="{37FE87C4-7D77-4CE0-933B-5D836576A658}"/>
    <cellStyle name="Total 3 2" xfId="452" xr:uid="{FD776A68-7EF3-485A-AC00-EF910DC29621}"/>
    <cellStyle name="Total 4" xfId="453" xr:uid="{E3E4AD07-5333-492F-8260-EE12BD9F1B9B}"/>
    <cellStyle name="Warning Text" xfId="454" builtinId="11" customBuiltin="1"/>
    <cellStyle name="Warning Text 2" xfId="455" xr:uid="{719F59B5-5E8C-4A05-BDED-B784193012AA}"/>
    <cellStyle name="Warning Text 3" xfId="456" xr:uid="{8F1A3949-E52E-4CD9-88C8-03692519063D}"/>
    <cellStyle name="Warning Text 3 2" xfId="457" xr:uid="{8E63D0C4-D1A9-4A37-AEA5-2FE75C3B7B02}"/>
    <cellStyle name="Warning Text 4" xfId="458" xr:uid="{F566BC7D-230E-4820-AF32-C26B7518D57F}"/>
  </cellStyles>
  <dxfs count="28">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676A9EC2-D2EF-4FB2-A289-77DE4869E285}">
      <tableStyleElement type="wholeTable" dxfId="27"/>
      <tableStyleElement type="headerRow" dxfId="26"/>
    </tableStyle>
    <tableStyle name="ClosureRpt 2" pivot="0" table="0" count="2" xr9:uid="{0216E2A3-3F9A-43B0-BD99-C4B7E1222F15}">
      <tableStyleElement type="wholeTable" dxfId="25"/>
      <tableStyleElement type="headerRow" dxfId="24"/>
    </tableStyle>
    <tableStyle name="ClosureRpt 3" pivot="0" table="0" count="2" xr9:uid="{DE748C4B-F6FC-49C0-97AB-AD3DF5C8C6B7}">
      <tableStyleElement type="wholeTable" dxfId="23"/>
      <tableStyleElement type="headerRow" dxfId="22"/>
    </tableStyle>
    <tableStyle name="ClosureRpt 4" pivot="0" table="0" count="2" xr9:uid="{D95B8EE6-B032-48EF-B746-5A29ADB3C860}">
      <tableStyleElement type="wholeTable" dxfId="21"/>
      <tableStyleElement type="headerRow" dxfId="20"/>
    </tableStyle>
    <tableStyle name="ClosureRpt 5" pivot="0" table="0" count="2" xr9:uid="{765FF80B-083E-40C3-92B3-FFFEC5338F9A}">
      <tableStyleElement type="wholeTable" dxfId="19"/>
      <tableStyleElement type="headerRow" dxfId="18"/>
    </tableStyle>
    <tableStyle name="ClosureRpt 6" pivot="0" table="0" count="2" xr9:uid="{44077D15-4CDB-4B2B-A844-EEAF3A1FB40D}">
      <tableStyleElement type="wholeTable" dxfId="17"/>
      <tableStyleElement type="headerRow" dxfId="16"/>
    </tableStyle>
    <tableStyle name="ClosureRpt 7" pivot="0" table="0" count="2" xr9:uid="{15DC48C4-5D31-4EE5-AB6C-CCF13B7625B7}">
      <tableStyleElement type="wholeTable" dxfId="15"/>
      <tableStyleElement type="headerRow"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1943100</xdr:colOff>
      <xdr:row>0</xdr:row>
      <xdr:rowOff>114300</xdr:rowOff>
    </xdr:from>
    <xdr:to>
      <xdr:col>5</xdr:col>
      <xdr:colOff>464820</xdr:colOff>
      <xdr:row>1</xdr:row>
      <xdr:rowOff>167640</xdr:rowOff>
    </xdr:to>
    <xdr:pic>
      <xdr:nvPicPr>
        <xdr:cNvPr id="1390" name="Picture 1" descr="National Highways Logo">
          <a:extLst>
            <a:ext uri="{FF2B5EF4-FFF2-40B4-BE49-F238E27FC236}">
              <a16:creationId xmlns:a16="http://schemas.microsoft.com/office/drawing/2014/main" id="{4FF1E7CC-B99A-7052-6CE0-508B0E4416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814060" y="114300"/>
          <a:ext cx="1409700" cy="518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21293" name="Picture 6">
          <a:extLst>
            <a:ext uri="{FF2B5EF4-FFF2-40B4-BE49-F238E27FC236}">
              <a16:creationId xmlns:a16="http://schemas.microsoft.com/office/drawing/2014/main" id="{DBC14DD7-2299-63B8-8EF9-34D7AD5705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21294" name="Picture 8">
          <a:extLst>
            <a:ext uri="{FF2B5EF4-FFF2-40B4-BE49-F238E27FC236}">
              <a16:creationId xmlns:a16="http://schemas.microsoft.com/office/drawing/2014/main" id="{30A6B80B-D61D-0A4D-D114-8F63BE935D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21295" name="Picture 4">
          <a:extLst>
            <a:ext uri="{FF2B5EF4-FFF2-40B4-BE49-F238E27FC236}">
              <a16:creationId xmlns:a16="http://schemas.microsoft.com/office/drawing/2014/main" id="{ED17FAA8-ED24-7198-7099-F92E5968493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304800</xdr:rowOff>
    </xdr:to>
    <xdr:pic>
      <xdr:nvPicPr>
        <xdr:cNvPr id="21296" name="Picture 5">
          <a:extLst>
            <a:ext uri="{FF2B5EF4-FFF2-40B4-BE49-F238E27FC236}">
              <a16:creationId xmlns:a16="http://schemas.microsoft.com/office/drawing/2014/main" id="{F6E9597E-1934-F69F-2B70-2D4D3B434C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21297" name="Picture 7">
          <a:extLst>
            <a:ext uri="{FF2B5EF4-FFF2-40B4-BE49-F238E27FC236}">
              <a16:creationId xmlns:a16="http://schemas.microsoft.com/office/drawing/2014/main" id="{89D3570D-61BA-4A35-A6CD-C1FF008D74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141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0286" name="Picture 4">
          <a:extLst>
            <a:ext uri="{FF2B5EF4-FFF2-40B4-BE49-F238E27FC236}">
              <a16:creationId xmlns:a16="http://schemas.microsoft.com/office/drawing/2014/main" id="{F7A8451F-6C45-02B6-4932-6F5BB36650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87" name="Picture 5">
          <a:extLst>
            <a:ext uri="{FF2B5EF4-FFF2-40B4-BE49-F238E27FC236}">
              <a16:creationId xmlns:a16="http://schemas.microsoft.com/office/drawing/2014/main" id="{A09E388B-CD17-AEBE-B88E-AC6F5851DC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0288" name="Picture 6">
          <a:extLst>
            <a:ext uri="{FF2B5EF4-FFF2-40B4-BE49-F238E27FC236}">
              <a16:creationId xmlns:a16="http://schemas.microsoft.com/office/drawing/2014/main" id="{E641CF9A-C664-C6EB-B2A3-1A0ACED08C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0289" name="Picture 7">
          <a:extLst>
            <a:ext uri="{FF2B5EF4-FFF2-40B4-BE49-F238E27FC236}">
              <a16:creationId xmlns:a16="http://schemas.microsoft.com/office/drawing/2014/main" id="{F9108507-FCA3-2712-93F1-DA1D77182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91440</xdr:rowOff>
    </xdr:to>
    <xdr:pic>
      <xdr:nvPicPr>
        <xdr:cNvPr id="30290" name="Picture 8">
          <a:extLst>
            <a:ext uri="{FF2B5EF4-FFF2-40B4-BE49-F238E27FC236}">
              <a16:creationId xmlns:a16="http://schemas.microsoft.com/office/drawing/2014/main" id="{B334BCBF-ABBE-E5BD-8499-76B1461844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91" name="Picture 9">
          <a:extLst>
            <a:ext uri="{FF2B5EF4-FFF2-40B4-BE49-F238E27FC236}">
              <a16:creationId xmlns:a16="http://schemas.microsoft.com/office/drawing/2014/main" id="{8775E741-900D-4273-CEC2-9C8B5F416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92" name="Picture 10">
          <a:extLst>
            <a:ext uri="{FF2B5EF4-FFF2-40B4-BE49-F238E27FC236}">
              <a16:creationId xmlns:a16="http://schemas.microsoft.com/office/drawing/2014/main" id="{01E6BF44-8274-C54F-3A22-1BACE99D5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198120</xdr:rowOff>
    </xdr:to>
    <xdr:pic>
      <xdr:nvPicPr>
        <xdr:cNvPr id="30293" name="Picture 11">
          <a:extLst>
            <a:ext uri="{FF2B5EF4-FFF2-40B4-BE49-F238E27FC236}">
              <a16:creationId xmlns:a16="http://schemas.microsoft.com/office/drawing/2014/main" id="{A330E051-403B-28C0-2A05-4FEC9D5387B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6172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312420</xdr:rowOff>
    </xdr:to>
    <xdr:pic>
      <xdr:nvPicPr>
        <xdr:cNvPr id="30294" name="Picture 12">
          <a:extLst>
            <a:ext uri="{FF2B5EF4-FFF2-40B4-BE49-F238E27FC236}">
              <a16:creationId xmlns:a16="http://schemas.microsoft.com/office/drawing/2014/main" id="{DE43A9D2-7AAC-A3ED-0934-5A93C3B78D3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731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91440</xdr:rowOff>
    </xdr:to>
    <xdr:pic>
      <xdr:nvPicPr>
        <xdr:cNvPr id="30295" name="Picture 13">
          <a:extLst>
            <a:ext uri="{FF2B5EF4-FFF2-40B4-BE49-F238E27FC236}">
              <a16:creationId xmlns:a16="http://schemas.microsoft.com/office/drawing/2014/main" id="{5E86557E-C158-2BFC-A60E-1149F00CB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1310" name="Picture 4">
          <a:extLst>
            <a:ext uri="{FF2B5EF4-FFF2-40B4-BE49-F238E27FC236}">
              <a16:creationId xmlns:a16="http://schemas.microsoft.com/office/drawing/2014/main" id="{1EFC02F3-401F-2503-B1B9-FB89CB9BDF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1" name="Picture 5">
          <a:extLst>
            <a:ext uri="{FF2B5EF4-FFF2-40B4-BE49-F238E27FC236}">
              <a16:creationId xmlns:a16="http://schemas.microsoft.com/office/drawing/2014/main" id="{999C2DFB-81EA-B9BD-5925-2FE38B129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2" name="Picture 6">
          <a:extLst>
            <a:ext uri="{FF2B5EF4-FFF2-40B4-BE49-F238E27FC236}">
              <a16:creationId xmlns:a16="http://schemas.microsoft.com/office/drawing/2014/main" id="{A8B63AF8-E7F1-8F51-3C90-CF0A239BD5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3" name="Picture 7">
          <a:extLst>
            <a:ext uri="{FF2B5EF4-FFF2-40B4-BE49-F238E27FC236}">
              <a16:creationId xmlns:a16="http://schemas.microsoft.com/office/drawing/2014/main" id="{E79B01D0-1349-A227-B573-F6164E61E2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1314" name="Picture 8">
          <a:extLst>
            <a:ext uri="{FF2B5EF4-FFF2-40B4-BE49-F238E27FC236}">
              <a16:creationId xmlns:a16="http://schemas.microsoft.com/office/drawing/2014/main" id="{75776123-6749-1960-95BC-B9C6B1CFF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5" name="Picture 9">
          <a:extLst>
            <a:ext uri="{FF2B5EF4-FFF2-40B4-BE49-F238E27FC236}">
              <a16:creationId xmlns:a16="http://schemas.microsoft.com/office/drawing/2014/main" id="{E444BCB1-1605-099F-5806-C673A3EFFC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6" name="Picture 10">
          <a:extLst>
            <a:ext uri="{FF2B5EF4-FFF2-40B4-BE49-F238E27FC236}">
              <a16:creationId xmlns:a16="http://schemas.microsoft.com/office/drawing/2014/main" id="{5BCACFC4-38D0-B996-B4ED-F6632629A7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7" name="Picture 11">
          <a:extLst>
            <a:ext uri="{FF2B5EF4-FFF2-40B4-BE49-F238E27FC236}">
              <a16:creationId xmlns:a16="http://schemas.microsoft.com/office/drawing/2014/main" id="{15CD0117-292B-E70E-3E66-2673E0BDB5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8" name="Picture 12">
          <a:extLst>
            <a:ext uri="{FF2B5EF4-FFF2-40B4-BE49-F238E27FC236}">
              <a16:creationId xmlns:a16="http://schemas.microsoft.com/office/drawing/2014/main" id="{DA299B1D-69B3-D1D7-6525-CEAD314038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1319" name="Picture 13">
          <a:extLst>
            <a:ext uri="{FF2B5EF4-FFF2-40B4-BE49-F238E27FC236}">
              <a16:creationId xmlns:a16="http://schemas.microsoft.com/office/drawing/2014/main" id="{4D74D589-F595-B097-7C73-DCC87DA0E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5984" name="Picture 5">
          <a:extLst>
            <a:ext uri="{FF2B5EF4-FFF2-40B4-BE49-F238E27FC236}">
              <a16:creationId xmlns:a16="http://schemas.microsoft.com/office/drawing/2014/main" id="{F672D37F-E7A7-7FEF-C9A1-F98D8C69E7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85" name="Picture 6">
          <a:extLst>
            <a:ext uri="{FF2B5EF4-FFF2-40B4-BE49-F238E27FC236}">
              <a16:creationId xmlns:a16="http://schemas.microsoft.com/office/drawing/2014/main" id="{4EF3290C-F2CD-8263-38BA-060F48AA639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86" name="Picture 7">
          <a:extLst>
            <a:ext uri="{FF2B5EF4-FFF2-40B4-BE49-F238E27FC236}">
              <a16:creationId xmlns:a16="http://schemas.microsoft.com/office/drawing/2014/main" id="{E7D8DB57-0024-A046-D24E-B4A2DC53ECE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87" name="Picture 8">
          <a:extLst>
            <a:ext uri="{FF2B5EF4-FFF2-40B4-BE49-F238E27FC236}">
              <a16:creationId xmlns:a16="http://schemas.microsoft.com/office/drawing/2014/main" id="{49CEC194-11A5-5B79-8196-571EA78642D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88" name="Picture 9">
          <a:extLst>
            <a:ext uri="{FF2B5EF4-FFF2-40B4-BE49-F238E27FC236}">
              <a16:creationId xmlns:a16="http://schemas.microsoft.com/office/drawing/2014/main" id="{097E1F79-3A07-DA62-4C8A-D7050C786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89" name="Picture 10">
          <a:extLst>
            <a:ext uri="{FF2B5EF4-FFF2-40B4-BE49-F238E27FC236}">
              <a16:creationId xmlns:a16="http://schemas.microsoft.com/office/drawing/2014/main" id="{B4CE376B-63AA-5E09-0220-B8FD3D8AE5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0" name="Picture 11">
          <a:extLst>
            <a:ext uri="{FF2B5EF4-FFF2-40B4-BE49-F238E27FC236}">
              <a16:creationId xmlns:a16="http://schemas.microsoft.com/office/drawing/2014/main" id="{7D73289C-76F4-7443-153B-FB9ED5A73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1" name="Picture 12">
          <a:extLst>
            <a:ext uri="{FF2B5EF4-FFF2-40B4-BE49-F238E27FC236}">
              <a16:creationId xmlns:a16="http://schemas.microsoft.com/office/drawing/2014/main" id="{7E2E2ACA-9196-F56C-C77F-88794401501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2" name="Picture 13">
          <a:extLst>
            <a:ext uri="{FF2B5EF4-FFF2-40B4-BE49-F238E27FC236}">
              <a16:creationId xmlns:a16="http://schemas.microsoft.com/office/drawing/2014/main" id="{3BC7940E-4542-6560-E98A-1F877F0A57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93" name="Picture 14">
          <a:extLst>
            <a:ext uri="{FF2B5EF4-FFF2-40B4-BE49-F238E27FC236}">
              <a16:creationId xmlns:a16="http://schemas.microsoft.com/office/drawing/2014/main" id="{2F50C08C-9E41-7DE2-E900-EE1D004F48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4" name="Picture 15">
          <a:extLst>
            <a:ext uri="{FF2B5EF4-FFF2-40B4-BE49-F238E27FC236}">
              <a16:creationId xmlns:a16="http://schemas.microsoft.com/office/drawing/2014/main" id="{875EAEED-E473-FC66-8D11-D0581C8EC6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5" name="Picture 16">
          <a:extLst>
            <a:ext uri="{FF2B5EF4-FFF2-40B4-BE49-F238E27FC236}">
              <a16:creationId xmlns:a16="http://schemas.microsoft.com/office/drawing/2014/main" id="{C1FF580E-0E13-05D1-A3D0-D7740415F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6" name="Picture 17">
          <a:extLst>
            <a:ext uri="{FF2B5EF4-FFF2-40B4-BE49-F238E27FC236}">
              <a16:creationId xmlns:a16="http://schemas.microsoft.com/office/drawing/2014/main" id="{C41D0776-7281-C711-19F7-ACEEFDD86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7" name="Picture 18">
          <a:extLst>
            <a:ext uri="{FF2B5EF4-FFF2-40B4-BE49-F238E27FC236}">
              <a16:creationId xmlns:a16="http://schemas.microsoft.com/office/drawing/2014/main" id="{CBDBAC18-08A3-773B-E502-BB706184CE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98" name="Picture 19">
          <a:extLst>
            <a:ext uri="{FF2B5EF4-FFF2-40B4-BE49-F238E27FC236}">
              <a16:creationId xmlns:a16="http://schemas.microsoft.com/office/drawing/2014/main" id="{595D72CA-8605-7E8F-18A1-DC4D64B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9" name="Picture 20">
          <a:extLst>
            <a:ext uri="{FF2B5EF4-FFF2-40B4-BE49-F238E27FC236}">
              <a16:creationId xmlns:a16="http://schemas.microsoft.com/office/drawing/2014/main" id="{2F0F6C54-3C97-C728-E4D6-D6803437BA9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6000" name="Picture 21">
          <a:extLst>
            <a:ext uri="{FF2B5EF4-FFF2-40B4-BE49-F238E27FC236}">
              <a16:creationId xmlns:a16="http://schemas.microsoft.com/office/drawing/2014/main" id="{23864206-48B2-4518-A2DF-4E88298B440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6001" name="Picture 22">
          <a:extLst>
            <a:ext uri="{FF2B5EF4-FFF2-40B4-BE49-F238E27FC236}">
              <a16:creationId xmlns:a16="http://schemas.microsoft.com/office/drawing/2014/main" id="{29A2DBA3-01F1-A2A4-A093-5FD7C0F7D6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6002" name="Picture 23">
          <a:extLst>
            <a:ext uri="{FF2B5EF4-FFF2-40B4-BE49-F238E27FC236}">
              <a16:creationId xmlns:a16="http://schemas.microsoft.com/office/drawing/2014/main" id="{8A1A84D1-0A8D-30C5-6EA7-2E226A3BC8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6003" name="Picture 24">
          <a:extLst>
            <a:ext uri="{FF2B5EF4-FFF2-40B4-BE49-F238E27FC236}">
              <a16:creationId xmlns:a16="http://schemas.microsoft.com/office/drawing/2014/main" id="{376DC1B2-6611-DE8D-3CA3-F1140B9A66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2" name="Picture 2">
          <a:extLst>
            <a:ext uri="{FF2B5EF4-FFF2-40B4-BE49-F238E27FC236}">
              <a16:creationId xmlns:a16="http://schemas.microsoft.com/office/drawing/2014/main" id="{FFC9A07B-3FE3-4B20-A3BB-F3584877877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 name="Picture 3">
          <a:extLst>
            <a:ext uri="{FF2B5EF4-FFF2-40B4-BE49-F238E27FC236}">
              <a16:creationId xmlns:a16="http://schemas.microsoft.com/office/drawing/2014/main" id="{5539ABE7-06DF-435A-85B0-00BFF475F5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4" name="Picture 5">
          <a:extLst>
            <a:ext uri="{FF2B5EF4-FFF2-40B4-BE49-F238E27FC236}">
              <a16:creationId xmlns:a16="http://schemas.microsoft.com/office/drawing/2014/main" id="{F8E38CED-921F-445E-853D-B65B78969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5" name="Picture 6">
          <a:extLst>
            <a:ext uri="{FF2B5EF4-FFF2-40B4-BE49-F238E27FC236}">
              <a16:creationId xmlns:a16="http://schemas.microsoft.com/office/drawing/2014/main" id="{C4C26F71-FE28-4227-AD95-0224A16B19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6" name="Picture 7">
          <a:extLst>
            <a:ext uri="{FF2B5EF4-FFF2-40B4-BE49-F238E27FC236}">
              <a16:creationId xmlns:a16="http://schemas.microsoft.com/office/drawing/2014/main" id="{17A8637B-9DCD-4F0E-9054-A2673C2BFD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7" name="Picture 8">
          <a:extLst>
            <a:ext uri="{FF2B5EF4-FFF2-40B4-BE49-F238E27FC236}">
              <a16:creationId xmlns:a16="http://schemas.microsoft.com/office/drawing/2014/main" id="{028D1D95-B75C-4826-A70C-12B40A4A65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8" name="Picture 9">
          <a:extLst>
            <a:ext uri="{FF2B5EF4-FFF2-40B4-BE49-F238E27FC236}">
              <a16:creationId xmlns:a16="http://schemas.microsoft.com/office/drawing/2014/main" id="{ACC53331-4BA7-4360-9673-4D3ACB42C9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9" name="Picture 10">
          <a:extLst>
            <a:ext uri="{FF2B5EF4-FFF2-40B4-BE49-F238E27FC236}">
              <a16:creationId xmlns:a16="http://schemas.microsoft.com/office/drawing/2014/main" id="{68C32142-C430-41BD-A929-9B14732BEE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10" name="Picture 11">
          <a:extLst>
            <a:ext uri="{FF2B5EF4-FFF2-40B4-BE49-F238E27FC236}">
              <a16:creationId xmlns:a16="http://schemas.microsoft.com/office/drawing/2014/main" id="{7251E8F6-F1F7-4669-A8B8-FFA7EDA9623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11" name="Picture 12">
          <a:extLst>
            <a:ext uri="{FF2B5EF4-FFF2-40B4-BE49-F238E27FC236}">
              <a16:creationId xmlns:a16="http://schemas.microsoft.com/office/drawing/2014/main" id="{637824FC-BFB5-4534-8B79-F8E0E5A13A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4382" name="Picture 2">
          <a:extLst>
            <a:ext uri="{FF2B5EF4-FFF2-40B4-BE49-F238E27FC236}">
              <a16:creationId xmlns:a16="http://schemas.microsoft.com/office/drawing/2014/main" id="{FED350D2-55EC-7B77-5CE9-82625A6AB1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3" name="Picture 3">
          <a:extLst>
            <a:ext uri="{FF2B5EF4-FFF2-40B4-BE49-F238E27FC236}">
              <a16:creationId xmlns:a16="http://schemas.microsoft.com/office/drawing/2014/main" id="{DCE92CD2-C36F-1D83-107A-D865AA93E2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4" name="Picture 5">
          <a:extLst>
            <a:ext uri="{FF2B5EF4-FFF2-40B4-BE49-F238E27FC236}">
              <a16:creationId xmlns:a16="http://schemas.microsoft.com/office/drawing/2014/main" id="{FF21CC6D-DF82-90FB-462C-6D71CA5CF7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5" name="Picture 6">
          <a:extLst>
            <a:ext uri="{FF2B5EF4-FFF2-40B4-BE49-F238E27FC236}">
              <a16:creationId xmlns:a16="http://schemas.microsoft.com/office/drawing/2014/main" id="{EAA21283-C514-43F8-DEF5-8451BA2423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4386" name="Picture 7">
          <a:extLst>
            <a:ext uri="{FF2B5EF4-FFF2-40B4-BE49-F238E27FC236}">
              <a16:creationId xmlns:a16="http://schemas.microsoft.com/office/drawing/2014/main" id="{38FE2A62-5512-F7D9-247C-035400D587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7" name="Picture 8">
          <a:extLst>
            <a:ext uri="{FF2B5EF4-FFF2-40B4-BE49-F238E27FC236}">
              <a16:creationId xmlns:a16="http://schemas.microsoft.com/office/drawing/2014/main" id="{FC947778-3FF9-5D11-8610-FA6A0A280F6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8" name="Picture 9">
          <a:extLst>
            <a:ext uri="{FF2B5EF4-FFF2-40B4-BE49-F238E27FC236}">
              <a16:creationId xmlns:a16="http://schemas.microsoft.com/office/drawing/2014/main" id="{6629EAB0-9F7C-2375-B186-DB644176AE9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9" name="Picture 10">
          <a:extLst>
            <a:ext uri="{FF2B5EF4-FFF2-40B4-BE49-F238E27FC236}">
              <a16:creationId xmlns:a16="http://schemas.microsoft.com/office/drawing/2014/main" id="{BA844FDF-DBE6-5CA0-7D4C-C4072301F0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90" name="Picture 11">
          <a:extLst>
            <a:ext uri="{FF2B5EF4-FFF2-40B4-BE49-F238E27FC236}">
              <a16:creationId xmlns:a16="http://schemas.microsoft.com/office/drawing/2014/main" id="{E33A3E33-EE27-D2DD-5282-9F2C11DF86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4391" name="Picture 12">
          <a:extLst>
            <a:ext uri="{FF2B5EF4-FFF2-40B4-BE49-F238E27FC236}">
              <a16:creationId xmlns:a16="http://schemas.microsoft.com/office/drawing/2014/main" id="{EE272DB8-C627-951C-15E7-396AA5F07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5406" name="Picture 4">
          <a:extLst>
            <a:ext uri="{FF2B5EF4-FFF2-40B4-BE49-F238E27FC236}">
              <a16:creationId xmlns:a16="http://schemas.microsoft.com/office/drawing/2014/main" id="{06C49E16-3BFD-42FE-764C-2C684CB26F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07" name="Picture 5">
          <a:extLst>
            <a:ext uri="{FF2B5EF4-FFF2-40B4-BE49-F238E27FC236}">
              <a16:creationId xmlns:a16="http://schemas.microsoft.com/office/drawing/2014/main" id="{4818E231-EE4B-1876-F08F-CC7327BDD10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08" name="Picture 6">
          <a:extLst>
            <a:ext uri="{FF2B5EF4-FFF2-40B4-BE49-F238E27FC236}">
              <a16:creationId xmlns:a16="http://schemas.microsoft.com/office/drawing/2014/main" id="{83A7157D-C5BE-5BDB-D70D-8617589ECD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09" name="Picture 7">
          <a:extLst>
            <a:ext uri="{FF2B5EF4-FFF2-40B4-BE49-F238E27FC236}">
              <a16:creationId xmlns:a16="http://schemas.microsoft.com/office/drawing/2014/main" id="{2D126E8F-0554-E18E-4254-01FD5F474A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410" name="Picture 8">
          <a:extLst>
            <a:ext uri="{FF2B5EF4-FFF2-40B4-BE49-F238E27FC236}">
              <a16:creationId xmlns:a16="http://schemas.microsoft.com/office/drawing/2014/main" id="{47FB8BA4-F5F5-4FF4-BB29-FD7F55D2D0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11" name="Picture 9">
          <a:extLst>
            <a:ext uri="{FF2B5EF4-FFF2-40B4-BE49-F238E27FC236}">
              <a16:creationId xmlns:a16="http://schemas.microsoft.com/office/drawing/2014/main" id="{35725D83-4D08-E4CC-CD38-CF6A257FEB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12" name="Picture 10">
          <a:extLst>
            <a:ext uri="{FF2B5EF4-FFF2-40B4-BE49-F238E27FC236}">
              <a16:creationId xmlns:a16="http://schemas.microsoft.com/office/drawing/2014/main" id="{538D1464-3C3A-ADC7-4E69-FD72794BE0D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13" name="Picture 11">
          <a:extLst>
            <a:ext uri="{FF2B5EF4-FFF2-40B4-BE49-F238E27FC236}">
              <a16:creationId xmlns:a16="http://schemas.microsoft.com/office/drawing/2014/main" id="{5B85758E-31D4-7CB5-8071-2890D77B537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14" name="Picture 12">
          <a:extLst>
            <a:ext uri="{FF2B5EF4-FFF2-40B4-BE49-F238E27FC236}">
              <a16:creationId xmlns:a16="http://schemas.microsoft.com/office/drawing/2014/main" id="{39125FF4-24C2-1710-C9E7-03267BF0A3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415" name="Picture 13">
          <a:extLst>
            <a:ext uri="{FF2B5EF4-FFF2-40B4-BE49-F238E27FC236}">
              <a16:creationId xmlns:a16="http://schemas.microsoft.com/office/drawing/2014/main" id="{2D29ACF3-65F0-7598-5250-2BEC55955D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743B-40E2-4AB1-B084-66DA5E35572B}">
  <sheetPr>
    <tabColor theme="1"/>
  </sheetPr>
  <dimension ref="A1:G30"/>
  <sheetViews>
    <sheetView tabSelected="1" zoomScaleNormal="100" workbookViewId="0">
      <selection activeCell="A4" sqref="A4:F4"/>
    </sheetView>
  </sheetViews>
  <sheetFormatPr defaultColWidth="0" defaultRowHeight="28.8" zeroHeight="1"/>
  <cols>
    <col min="1" max="1" width="23" style="1" bestFit="1" customWidth="1"/>
    <col min="2" max="2" width="11.7265625" style="1" bestFit="1" customWidth="1"/>
    <col min="3" max="3" width="11.453125" style="1" bestFit="1" customWidth="1"/>
    <col min="4" max="4" width="25.7265625" style="1" customWidth="1"/>
    <col min="5" max="6" width="8.7265625" style="1" customWidth="1"/>
    <col min="7" max="7" width="0" style="1" hidden="1" customWidth="1"/>
    <col min="8" max="16384" width="8.7265625" style="1" hidden="1"/>
  </cols>
  <sheetData>
    <row r="1" spans="1:6" ht="36.6">
      <c r="A1" s="19" t="s">
        <v>16</v>
      </c>
      <c r="B1" s="19"/>
      <c r="C1" s="19"/>
      <c r="D1" s="19"/>
      <c r="E1" s="19"/>
      <c r="F1" s="19"/>
    </row>
    <row r="2" spans="1:6" s="2" customFormat="1" ht="25.8">
      <c r="A2" s="23">
        <v>46266</v>
      </c>
      <c r="B2" s="23"/>
      <c r="C2" s="27" t="str">
        <f>"to "&amp;TEXT($A$2+6,"dddd d mmm yyyy")</f>
        <v>to Monday 7 Sep 2026</v>
      </c>
      <c r="D2" s="27"/>
      <c r="E2" s="27"/>
      <c r="F2" s="27"/>
    </row>
    <row r="3" spans="1:6" ht="12.75" customHeight="1">
      <c r="A3" s="20" t="s">
        <v>13</v>
      </c>
      <c r="B3" s="20"/>
      <c r="C3" s="20"/>
      <c r="D3" s="20"/>
      <c r="E3" s="20"/>
      <c r="F3" s="20"/>
    </row>
    <row r="4" spans="1:6" s="2" customFormat="1" ht="27.6">
      <c r="A4" s="25" t="str">
        <f>TEXT($A$2,"dddd, d mmmm")</f>
        <v>Tuesday, 1 September</v>
      </c>
      <c r="B4" s="25"/>
      <c r="C4" s="25"/>
      <c r="D4" s="25"/>
      <c r="E4" s="25"/>
      <c r="F4" s="25"/>
    </row>
    <row r="5" spans="1:6" s="2" customFormat="1" ht="27.6">
      <c r="A5" s="24" t="str">
        <f>TEXT($A$2+1,"dddd, d mmmm")</f>
        <v>Wednesday, 2 September</v>
      </c>
      <c r="B5" s="24"/>
      <c r="C5" s="24"/>
      <c r="D5" s="24"/>
      <c r="E5" s="24"/>
      <c r="F5" s="24"/>
    </row>
    <row r="6" spans="1:6" s="2" customFormat="1" ht="27.6">
      <c r="A6" s="25" t="str">
        <f>TEXT($A$2+2,"dddd, d mmmm")</f>
        <v>Thursday, 3 September</v>
      </c>
      <c r="B6" s="25"/>
      <c r="C6" s="25"/>
      <c r="D6" s="25"/>
      <c r="E6" s="25"/>
      <c r="F6" s="25"/>
    </row>
    <row r="7" spans="1:6" s="2" customFormat="1" ht="27.6">
      <c r="A7" s="24" t="str">
        <f>TEXT($A$2+3,"dddd, d mmmm")</f>
        <v>Friday, 4 September</v>
      </c>
      <c r="B7" s="24"/>
      <c r="C7" s="24"/>
      <c r="D7" s="24"/>
      <c r="E7" s="24"/>
      <c r="F7" s="24"/>
    </row>
    <row r="8" spans="1:6" s="2" customFormat="1" ht="27.6">
      <c r="A8" s="26" t="str">
        <f>TEXT($A$2+4,"dddd, d mmmm")</f>
        <v>Saturday, 5 September</v>
      </c>
      <c r="B8" s="26"/>
      <c r="C8" s="26"/>
      <c r="D8" s="26"/>
      <c r="E8" s="26"/>
      <c r="F8" s="26"/>
    </row>
    <row r="9" spans="1:6" s="2" customFormat="1" ht="27.6">
      <c r="A9" s="24" t="str">
        <f>TEXT($A$2+5,"dddd, d mmmm")</f>
        <v>Sunday, 6 September</v>
      </c>
      <c r="B9" s="24"/>
      <c r="C9" s="24"/>
      <c r="D9" s="24"/>
      <c r="E9" s="24"/>
      <c r="F9" s="24"/>
    </row>
    <row r="10" spans="1:6" s="2" customFormat="1" ht="27.6">
      <c r="A10" s="25" t="str">
        <f>TEXT($A$2+6,"dddd, d mmmm")</f>
        <v>Monday, 7 September</v>
      </c>
      <c r="B10" s="25"/>
      <c r="C10" s="25"/>
      <c r="D10" s="25"/>
      <c r="E10" s="25"/>
      <c r="F10" s="25"/>
    </row>
    <row r="11" spans="1:6" s="5" customFormat="1" ht="46.5" customHeight="1">
      <c r="A11" s="21" t="s">
        <v>14</v>
      </c>
      <c r="B11" s="21"/>
      <c r="C11" s="21"/>
      <c r="D11" s="21"/>
      <c r="E11" s="21"/>
      <c r="F11" s="21"/>
    </row>
    <row r="12" spans="1:6" s="6" customFormat="1" ht="47.25" customHeight="1">
      <c r="A12" s="22" t="s">
        <v>15</v>
      </c>
      <c r="B12" s="22"/>
      <c r="C12" s="22"/>
      <c r="D12" s="22"/>
      <c r="E12" s="22"/>
      <c r="F12" s="22"/>
    </row>
    <row r="17" s="1" customFormat="1" hidden="1"/>
    <row r="18" s="1" customFormat="1" hidden="1"/>
    <row r="19" s="1" customFormat="1" hidden="1"/>
    <row r="20" s="1" customFormat="1" hidden="1"/>
    <row r="21" s="1" customFormat="1" hidden="1"/>
    <row r="22" s="1" customFormat="1" hidden="1"/>
    <row r="23" s="1" customFormat="1" hidden="1"/>
    <row r="24" s="1" customFormat="1" hidden="1"/>
    <row r="25" s="1" customFormat="1" hidden="1"/>
    <row r="26" s="1" customFormat="1" hidden="1"/>
    <row r="27" s="1" customFormat="1" hidden="1"/>
    <row r="28" s="1" customFormat="1" hidden="1"/>
    <row r="29" s="1" customFormat="1" hidden="1"/>
    <row r="30" s="1" customFormat="1" hidden="1"/>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9B082DAD-CB59-4314-9543-E8F95AD1A6E9}"/>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6D170F12-894D-44D5-A68D-78DF97C3ABB9}"/>
    <hyperlink ref="A6" location="Wednesday!A3" display="Wednesday!A3" xr:uid="{CC751EC5-E6E0-4A58-9728-F6EA949AE943}"/>
    <hyperlink ref="A7" location="Thursday!A3" display="Thursday!A3" xr:uid="{FDAC6D97-211E-416E-93B8-B621A9269BF3}"/>
    <hyperlink ref="A8" location="Friday!A3" display="Friday!A3" xr:uid="{20ED7D30-1283-446B-BC81-D4A56ACEF1B1}"/>
    <hyperlink ref="A9" location="Saturday!A3" display="Saturday!A3" xr:uid="{A7B02B93-6E5A-42D8-B352-3FB6D2EB7497}"/>
    <hyperlink ref="A10" location="Sunday!A3" display="Sunday!A3" xr:uid="{88197A54-6E44-4632-A479-FC6FEA6E74DA}"/>
    <hyperlink ref="A5" location="Tuesday!A3" display="Tuesday!A3" xr:uid="{FD0F5B78-C167-4D0D-8DB6-86271817282A}"/>
    <hyperlink ref="A4:F4" location="Tuesday!A3" display="Tuesday!A3" xr:uid="{6B29BC64-5D0D-48FB-8A60-25F9562AC3E6}"/>
    <hyperlink ref="A5:F5" location="Wednesday!A3" display="Wednesday!A3" xr:uid="{7F9879F1-0B09-4D84-A3FA-4874031A6E3F}"/>
    <hyperlink ref="A6:F6" location="Thursday!A3" display="Thursday!A3" xr:uid="{3A772B53-EA34-4D28-8018-159907E2C8CA}"/>
    <hyperlink ref="A7:F7" location="Friday!A3" display="Friday!A3" xr:uid="{55A5B420-927E-41FC-9D56-7C24288FACF1}"/>
    <hyperlink ref="A8:F8" location="Saturday!A3" display="Saturday!A3" xr:uid="{2E0C7091-95A6-4B0C-92C6-FE286E756D5A}"/>
    <hyperlink ref="A9:F9" location="Sunday!A3" display="Sunday!A3" xr:uid="{80F4366C-43AA-4942-ADF2-27FC507CF8CD}"/>
    <hyperlink ref="A10:F10" location="Monday!A3" display="Monday!A3" xr:uid="{0A196F9D-845F-4179-A907-636BC65E5DA2}"/>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3E925-DF09-4A63-89DD-C2A8542753A4}">
  <dimension ref="A1:A7"/>
  <sheetViews>
    <sheetView workbookViewId="0">
      <selection sqref="A1:A7"/>
    </sheetView>
  </sheetViews>
  <sheetFormatPr defaultRowHeight="15"/>
  <sheetData>
    <row r="1" spans="1:1">
      <c r="A1" t="s">
        <v>2</v>
      </c>
    </row>
    <row r="2" spans="1:1">
      <c r="A2" t="s">
        <v>6</v>
      </c>
    </row>
    <row r="3" spans="1:1">
      <c r="A3" t="s">
        <v>4</v>
      </c>
    </row>
    <row r="4" spans="1:1">
      <c r="A4" t="s">
        <v>5</v>
      </c>
    </row>
    <row r="5" spans="1:1">
      <c r="A5" t="s">
        <v>7</v>
      </c>
    </row>
    <row r="6" spans="1:1">
      <c r="A6" t="s">
        <v>8</v>
      </c>
    </row>
    <row r="7" spans="1:1">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B9625-7883-400E-B291-7F52027D8EBB}">
  <sheetPr codeName="Sheet1">
    <tabColor theme="3"/>
    <pageSetUpPr fitToPage="1"/>
  </sheetPr>
  <dimension ref="A1:K260"/>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0.453125" style="4" customWidth="1"/>
    <col min="4" max="4" width="15.7265625" style="4" customWidth="1"/>
    <col min="5" max="5" width="16.26953125" style="9" customWidth="1"/>
    <col min="6" max="6" width="47" style="9" customWidth="1"/>
    <col min="7" max="11" width="0" hidden="1" customWidth="1"/>
    <col min="12" max="16384" width="8.7265625" hidden="1"/>
  </cols>
  <sheetData>
    <row r="1" spans="1:6" ht="33">
      <c r="A1" s="28" t="str">
        <f>"Daily closure report: "&amp;'Front page'!A4</f>
        <v>Daily closure report: Tuesday, 1 September</v>
      </c>
      <c r="B1" s="28"/>
      <c r="C1" s="28"/>
      <c r="D1" s="28"/>
      <c r="E1" s="28"/>
      <c r="F1" s="28"/>
    </row>
    <row r="2" spans="1:6" s="3" customFormat="1" ht="27.6">
      <c r="A2" s="8" t="s">
        <v>9</v>
      </c>
      <c r="B2" s="8" t="s">
        <v>1</v>
      </c>
      <c r="C2" s="8" t="s">
        <v>0</v>
      </c>
      <c r="D2" s="7" t="s">
        <v>11</v>
      </c>
      <c r="E2" s="7" t="s">
        <v>12</v>
      </c>
      <c r="F2" s="8" t="s">
        <v>10</v>
      </c>
    </row>
    <row r="3" spans="1:6" ht="60">
      <c r="A3" s="13" t="s">
        <v>42</v>
      </c>
      <c r="B3" s="13" t="s">
        <v>6</v>
      </c>
      <c r="C3" s="14" t="s">
        <v>43</v>
      </c>
      <c r="D3" s="15">
        <v>46266.833333333299</v>
      </c>
      <c r="E3" s="15">
        <v>46267.208333333299</v>
      </c>
      <c r="F3" s="14" t="s">
        <v>44</v>
      </c>
    </row>
    <row r="4" spans="1:6" ht="60">
      <c r="A4" s="13" t="s">
        <v>42</v>
      </c>
      <c r="B4" s="13" t="s">
        <v>23</v>
      </c>
      <c r="C4" s="14" t="s">
        <v>52</v>
      </c>
      <c r="D4" s="15">
        <v>45847.208333333299</v>
      </c>
      <c r="E4" s="15">
        <v>46507.999305555597</v>
      </c>
      <c r="F4" s="14" t="s">
        <v>53</v>
      </c>
    </row>
    <row r="5" spans="1:6" ht="60">
      <c r="A5" s="13" t="s">
        <v>42</v>
      </c>
      <c r="B5" s="13" t="s">
        <v>6</v>
      </c>
      <c r="C5" s="14" t="s">
        <v>108</v>
      </c>
      <c r="D5" s="15">
        <v>46266.833333333299</v>
      </c>
      <c r="E5" s="15">
        <v>46267.25</v>
      </c>
      <c r="F5" s="14" t="s">
        <v>109</v>
      </c>
    </row>
    <row r="6" spans="1:6" ht="60">
      <c r="A6" s="13" t="s">
        <v>42</v>
      </c>
      <c r="B6" s="13" t="s">
        <v>6</v>
      </c>
      <c r="C6" s="14" t="s">
        <v>110</v>
      </c>
      <c r="D6" s="15">
        <v>46266.833333333299</v>
      </c>
      <c r="E6" s="15">
        <v>46267.25</v>
      </c>
      <c r="F6" s="14" t="s">
        <v>109</v>
      </c>
    </row>
    <row r="7" spans="1:6" ht="60">
      <c r="A7" s="13" t="s">
        <v>42</v>
      </c>
      <c r="B7" s="13" t="s">
        <v>6</v>
      </c>
      <c r="C7" s="14" t="s">
        <v>111</v>
      </c>
      <c r="D7" s="15">
        <v>46266.833333333299</v>
      </c>
      <c r="E7" s="15">
        <v>46267.25</v>
      </c>
      <c r="F7" s="14" t="s">
        <v>109</v>
      </c>
    </row>
    <row r="8" spans="1:6" ht="45">
      <c r="A8" s="13" t="s">
        <v>42</v>
      </c>
      <c r="B8" s="13" t="s">
        <v>6</v>
      </c>
      <c r="C8" s="14" t="s">
        <v>112</v>
      </c>
      <c r="D8" s="15">
        <v>46266.833333333299</v>
      </c>
      <c r="E8" s="15">
        <v>46267.25</v>
      </c>
      <c r="F8" s="14" t="s">
        <v>109</v>
      </c>
    </row>
    <row r="9" spans="1:6" ht="60">
      <c r="A9" s="13" t="s">
        <v>42</v>
      </c>
      <c r="B9" s="13" t="s">
        <v>6</v>
      </c>
      <c r="C9" s="14" t="s">
        <v>113</v>
      </c>
      <c r="D9" s="15">
        <v>46266.833333333299</v>
      </c>
      <c r="E9" s="15">
        <v>46267.25</v>
      </c>
      <c r="F9" s="14" t="s">
        <v>109</v>
      </c>
    </row>
    <row r="10" spans="1:6" ht="45">
      <c r="A10" s="13" t="s">
        <v>42</v>
      </c>
      <c r="B10" s="13" t="s">
        <v>6</v>
      </c>
      <c r="C10" s="14" t="s">
        <v>114</v>
      </c>
      <c r="D10" s="15">
        <v>46266.833333333299</v>
      </c>
      <c r="E10" s="15">
        <v>46267.25</v>
      </c>
      <c r="F10" s="14" t="s">
        <v>109</v>
      </c>
    </row>
    <row r="11" spans="1:6" ht="60">
      <c r="A11" s="13" t="s">
        <v>42</v>
      </c>
      <c r="B11" s="13" t="s">
        <v>6</v>
      </c>
      <c r="C11" s="14" t="s">
        <v>115</v>
      </c>
      <c r="D11" s="15">
        <v>46266.833333333299</v>
      </c>
      <c r="E11" s="15">
        <v>46267.25</v>
      </c>
      <c r="F11" s="14" t="s">
        <v>116</v>
      </c>
    </row>
    <row r="12" spans="1:6" ht="60">
      <c r="A12" s="13" t="s">
        <v>42</v>
      </c>
      <c r="B12" s="13" t="s">
        <v>6</v>
      </c>
      <c r="C12" s="14" t="s">
        <v>117</v>
      </c>
      <c r="D12" s="15">
        <v>46266.833333333299</v>
      </c>
      <c r="E12" s="15">
        <v>46267.25</v>
      </c>
      <c r="F12" s="14" t="s">
        <v>116</v>
      </c>
    </row>
    <row r="13" spans="1:6" ht="45">
      <c r="A13" s="13" t="s">
        <v>42</v>
      </c>
      <c r="B13" s="13" t="s">
        <v>6</v>
      </c>
      <c r="C13" s="14" t="s">
        <v>118</v>
      </c>
      <c r="D13" s="15">
        <v>46266.833333333299</v>
      </c>
      <c r="E13" s="15">
        <v>46267.25</v>
      </c>
      <c r="F13" s="14" t="s">
        <v>116</v>
      </c>
    </row>
    <row r="14" spans="1:6" ht="45">
      <c r="A14" s="13" t="s">
        <v>42</v>
      </c>
      <c r="B14" s="13" t="s">
        <v>6</v>
      </c>
      <c r="C14" s="14" t="s">
        <v>216</v>
      </c>
      <c r="D14" s="15">
        <v>46266.833333333299</v>
      </c>
      <c r="E14" s="15">
        <v>46267.25</v>
      </c>
      <c r="F14" s="14" t="s">
        <v>217</v>
      </c>
    </row>
    <row r="15" spans="1:6" ht="45">
      <c r="A15" s="13" t="s">
        <v>60</v>
      </c>
      <c r="B15" s="13" t="s">
        <v>2</v>
      </c>
      <c r="C15" s="14" t="s">
        <v>61</v>
      </c>
      <c r="D15" s="15">
        <v>46266.875</v>
      </c>
      <c r="E15" s="15">
        <v>46267.208333333299</v>
      </c>
      <c r="F15" s="14" t="s">
        <v>62</v>
      </c>
    </row>
    <row r="16" spans="1:6" ht="60">
      <c r="A16" s="13" t="s">
        <v>60</v>
      </c>
      <c r="B16" s="13" t="s">
        <v>2</v>
      </c>
      <c r="C16" s="14" t="s">
        <v>1204</v>
      </c>
      <c r="D16" s="15">
        <v>46266.833333333299</v>
      </c>
      <c r="E16" s="15">
        <v>46267.25</v>
      </c>
      <c r="F16" s="14" t="s">
        <v>1205</v>
      </c>
    </row>
    <row r="17" spans="1:6" ht="60">
      <c r="A17" s="13" t="s">
        <v>60</v>
      </c>
      <c r="B17" s="13" t="s">
        <v>6</v>
      </c>
      <c r="C17" s="14" t="s">
        <v>195</v>
      </c>
      <c r="D17" s="15">
        <v>46266.833333333299</v>
      </c>
      <c r="E17" s="15">
        <v>46267.25</v>
      </c>
      <c r="F17" s="14" t="s">
        <v>196</v>
      </c>
    </row>
    <row r="18" spans="1:6" ht="45">
      <c r="A18" s="13" t="s">
        <v>60</v>
      </c>
      <c r="B18" s="13" t="s">
        <v>6</v>
      </c>
      <c r="C18" s="14" t="s">
        <v>197</v>
      </c>
      <c r="D18" s="15">
        <v>46266.833333333299</v>
      </c>
      <c r="E18" s="15">
        <v>46267.25</v>
      </c>
      <c r="F18" s="14" t="s">
        <v>196</v>
      </c>
    </row>
    <row r="19" spans="1:6" ht="45">
      <c r="A19" s="13" t="s">
        <v>60</v>
      </c>
      <c r="B19" s="13" t="s">
        <v>6</v>
      </c>
      <c r="C19" s="14" t="s">
        <v>198</v>
      </c>
      <c r="D19" s="15">
        <v>46266.833333333299</v>
      </c>
      <c r="E19" s="15">
        <v>46267.25</v>
      </c>
      <c r="F19" s="14" t="s">
        <v>196</v>
      </c>
    </row>
    <row r="20" spans="1:6" ht="60">
      <c r="A20" s="13" t="s">
        <v>60</v>
      </c>
      <c r="B20" s="13" t="s">
        <v>6</v>
      </c>
      <c r="C20" s="14" t="s">
        <v>199</v>
      </c>
      <c r="D20" s="15">
        <v>46266.833333333299</v>
      </c>
      <c r="E20" s="15">
        <v>46267.25</v>
      </c>
      <c r="F20" s="14" t="s">
        <v>196</v>
      </c>
    </row>
    <row r="21" spans="1:6" ht="75">
      <c r="A21" s="13" t="s">
        <v>60</v>
      </c>
      <c r="B21" s="13" t="s">
        <v>6</v>
      </c>
      <c r="C21" s="14" t="s">
        <v>200</v>
      </c>
      <c r="D21" s="15">
        <v>46266.833333333299</v>
      </c>
      <c r="E21" s="15">
        <v>46267.25</v>
      </c>
      <c r="F21" s="14" t="s">
        <v>196</v>
      </c>
    </row>
    <row r="22" spans="1:6" ht="60">
      <c r="A22" s="13" t="s">
        <v>60</v>
      </c>
      <c r="B22" s="13" t="s">
        <v>6</v>
      </c>
      <c r="C22" s="14" t="s">
        <v>201</v>
      </c>
      <c r="D22" s="15">
        <v>46266.833333333299</v>
      </c>
      <c r="E22" s="15">
        <v>46267.25</v>
      </c>
      <c r="F22" s="14" t="s">
        <v>196</v>
      </c>
    </row>
    <row r="23" spans="1:6" ht="60">
      <c r="A23" s="13" t="s">
        <v>60</v>
      </c>
      <c r="B23" s="13" t="s">
        <v>2</v>
      </c>
      <c r="C23" s="14" t="s">
        <v>209</v>
      </c>
      <c r="D23" s="15">
        <v>46266.833333333299</v>
      </c>
      <c r="E23" s="15">
        <v>46267.25</v>
      </c>
      <c r="F23" s="14" t="s">
        <v>210</v>
      </c>
    </row>
    <row r="24" spans="1:6" ht="60">
      <c r="A24" s="13" t="s">
        <v>60</v>
      </c>
      <c r="B24" s="13" t="s">
        <v>2</v>
      </c>
      <c r="C24" s="14" t="s">
        <v>211</v>
      </c>
      <c r="D24" s="15">
        <v>46266.833333333299</v>
      </c>
      <c r="E24" s="15">
        <v>46267.25</v>
      </c>
      <c r="F24" s="14" t="s">
        <v>210</v>
      </c>
    </row>
    <row r="25" spans="1:6" ht="75">
      <c r="A25" s="13" t="s">
        <v>60</v>
      </c>
      <c r="B25" s="13" t="s">
        <v>2</v>
      </c>
      <c r="C25" s="14" t="s">
        <v>212</v>
      </c>
      <c r="D25" s="15">
        <v>46266.833333333299</v>
      </c>
      <c r="E25" s="15">
        <v>46267.25</v>
      </c>
      <c r="F25" s="14" t="s">
        <v>210</v>
      </c>
    </row>
    <row r="26" spans="1:6" ht="60">
      <c r="A26" s="13" t="s">
        <v>60</v>
      </c>
      <c r="B26" s="13" t="s">
        <v>6</v>
      </c>
      <c r="C26" s="14" t="s">
        <v>213</v>
      </c>
      <c r="D26" s="15">
        <v>46266.833333333299</v>
      </c>
      <c r="E26" s="15">
        <v>46267.25</v>
      </c>
      <c r="F26" s="14" t="s">
        <v>214</v>
      </c>
    </row>
    <row r="27" spans="1:6" ht="45">
      <c r="A27" s="13" t="s">
        <v>60</v>
      </c>
      <c r="B27" s="13" t="s">
        <v>6</v>
      </c>
      <c r="C27" s="14" t="s">
        <v>215</v>
      </c>
      <c r="D27" s="15">
        <v>46266.833333333299</v>
      </c>
      <c r="E27" s="15">
        <v>46267.25</v>
      </c>
      <c r="F27" s="14" t="s">
        <v>214</v>
      </c>
    </row>
    <row r="28" spans="1:6" ht="45">
      <c r="A28" s="13" t="s">
        <v>60</v>
      </c>
      <c r="B28" s="13" t="s">
        <v>6</v>
      </c>
      <c r="C28" s="14" t="s">
        <v>1206</v>
      </c>
      <c r="D28" s="15">
        <v>46266.833333333299</v>
      </c>
      <c r="E28" s="15">
        <v>46267.25</v>
      </c>
      <c r="F28" s="14" t="s">
        <v>1207</v>
      </c>
    </row>
    <row r="29" spans="1:6" ht="75">
      <c r="A29" s="13" t="s">
        <v>442</v>
      </c>
      <c r="B29" s="13" t="s">
        <v>6</v>
      </c>
      <c r="C29" s="14" t="s">
        <v>443</v>
      </c>
      <c r="D29" s="15">
        <v>46266.833333333299</v>
      </c>
      <c r="E29" s="15">
        <v>46267.166666666701</v>
      </c>
      <c r="F29" s="14" t="s">
        <v>444</v>
      </c>
    </row>
    <row r="30" spans="1:6" ht="75">
      <c r="A30" s="13" t="s">
        <v>17</v>
      </c>
      <c r="B30" s="13" t="s">
        <v>6</v>
      </c>
      <c r="C30" s="14" t="s">
        <v>18</v>
      </c>
      <c r="D30" s="15">
        <v>46266.875</v>
      </c>
      <c r="E30" s="15">
        <v>46267.208333333299</v>
      </c>
      <c r="F30" s="14" t="s">
        <v>19</v>
      </c>
    </row>
    <row r="31" spans="1:6" ht="75">
      <c r="A31" s="13" t="s">
        <v>794</v>
      </c>
      <c r="B31" s="13" t="s">
        <v>5</v>
      </c>
      <c r="C31" s="14" t="s">
        <v>1195</v>
      </c>
      <c r="D31" s="15">
        <v>46266.833333333299</v>
      </c>
      <c r="E31" s="15">
        <v>46267.25</v>
      </c>
      <c r="F31" s="14" t="s">
        <v>1194</v>
      </c>
    </row>
    <row r="32" spans="1:6" ht="75">
      <c r="A32" s="13" t="s">
        <v>794</v>
      </c>
      <c r="B32" s="13" t="s">
        <v>5</v>
      </c>
      <c r="C32" s="14" t="s">
        <v>1193</v>
      </c>
      <c r="D32" s="15">
        <v>46266.833333333299</v>
      </c>
      <c r="E32" s="15">
        <v>46267.25</v>
      </c>
      <c r="F32" s="14" t="s">
        <v>1194</v>
      </c>
    </row>
    <row r="33" spans="1:6" ht="75">
      <c r="A33" s="13" t="s">
        <v>29</v>
      </c>
      <c r="B33" s="13" t="s">
        <v>5</v>
      </c>
      <c r="C33" s="14" t="s">
        <v>30</v>
      </c>
      <c r="D33" s="15">
        <v>46266.916666666701</v>
      </c>
      <c r="E33" s="15">
        <v>46267.25</v>
      </c>
      <c r="F33" s="14" t="s">
        <v>31</v>
      </c>
    </row>
    <row r="34" spans="1:6" ht="75">
      <c r="A34" s="13" t="s">
        <v>29</v>
      </c>
      <c r="B34" s="13" t="s">
        <v>4</v>
      </c>
      <c r="C34" s="14" t="s">
        <v>1196</v>
      </c>
      <c r="D34" s="15">
        <v>46266.875</v>
      </c>
      <c r="E34" s="15">
        <v>46267.208333333299</v>
      </c>
      <c r="F34" s="14" t="s">
        <v>1197</v>
      </c>
    </row>
    <row r="35" spans="1:6" ht="75">
      <c r="A35" s="13" t="s">
        <v>29</v>
      </c>
      <c r="B35" s="13" t="s">
        <v>5</v>
      </c>
      <c r="C35" s="14" t="s">
        <v>1198</v>
      </c>
      <c r="D35" s="15">
        <v>46266.833333333299</v>
      </c>
      <c r="E35" s="15">
        <v>46267.25</v>
      </c>
      <c r="F35" s="14" t="s">
        <v>1199</v>
      </c>
    </row>
    <row r="36" spans="1:6" ht="90">
      <c r="A36" s="13" t="s">
        <v>29</v>
      </c>
      <c r="B36" s="13" t="s">
        <v>5</v>
      </c>
      <c r="C36" s="14" t="s">
        <v>39</v>
      </c>
      <c r="D36" s="15">
        <v>46266.833333333299</v>
      </c>
      <c r="E36" s="15">
        <v>46267.25</v>
      </c>
      <c r="F36" s="14" t="s">
        <v>40</v>
      </c>
    </row>
    <row r="37" spans="1:6" ht="90">
      <c r="A37" s="13" t="s">
        <v>29</v>
      </c>
      <c r="B37" s="13" t="s">
        <v>5</v>
      </c>
      <c r="C37" s="14" t="s">
        <v>41</v>
      </c>
      <c r="D37" s="15">
        <v>46266.833333333299</v>
      </c>
      <c r="E37" s="15">
        <v>46267.25</v>
      </c>
      <c r="F37" s="14" t="s">
        <v>40</v>
      </c>
    </row>
    <row r="38" spans="1:6" ht="90">
      <c r="A38" s="13" t="s">
        <v>29</v>
      </c>
      <c r="B38" s="13" t="s">
        <v>5</v>
      </c>
      <c r="C38" s="14" t="s">
        <v>1234</v>
      </c>
      <c r="D38" s="15">
        <v>46266.833333333299</v>
      </c>
      <c r="E38" s="15">
        <v>46267.25</v>
      </c>
      <c r="F38" s="14" t="s">
        <v>1235</v>
      </c>
    </row>
    <row r="39" spans="1:6" ht="90">
      <c r="A39" s="13" t="s">
        <v>29</v>
      </c>
      <c r="B39" s="13" t="s">
        <v>5</v>
      </c>
      <c r="C39" s="14" t="s">
        <v>93</v>
      </c>
      <c r="D39" s="15">
        <v>46266.541666666701</v>
      </c>
      <c r="E39" s="15">
        <v>46270.25</v>
      </c>
      <c r="F39" s="14" t="s">
        <v>94</v>
      </c>
    </row>
    <row r="40" spans="1:6" ht="90">
      <c r="A40" s="13" t="s">
        <v>29</v>
      </c>
      <c r="B40" s="13" t="s">
        <v>5</v>
      </c>
      <c r="C40" s="14" t="s">
        <v>95</v>
      </c>
      <c r="D40" s="15">
        <v>46266.833333333299</v>
      </c>
      <c r="E40" s="15">
        <v>46267.25</v>
      </c>
      <c r="F40" s="14" t="s">
        <v>94</v>
      </c>
    </row>
    <row r="41" spans="1:6" ht="90">
      <c r="A41" s="13" t="s">
        <v>29</v>
      </c>
      <c r="B41" s="13" t="s">
        <v>5</v>
      </c>
      <c r="C41" s="14" t="s">
        <v>96</v>
      </c>
      <c r="D41" s="15">
        <v>46266.833333333299</v>
      </c>
      <c r="E41" s="15">
        <v>46267.25</v>
      </c>
      <c r="F41" s="14" t="s">
        <v>94</v>
      </c>
    </row>
    <row r="42" spans="1:6" ht="90">
      <c r="A42" s="13" t="s">
        <v>29</v>
      </c>
      <c r="B42" s="13" t="s">
        <v>5</v>
      </c>
      <c r="C42" s="14" t="s">
        <v>97</v>
      </c>
      <c r="D42" s="15">
        <v>46266.833333333299</v>
      </c>
      <c r="E42" s="15">
        <v>46267.25</v>
      </c>
      <c r="F42" s="14" t="s">
        <v>94</v>
      </c>
    </row>
    <row r="43" spans="1:6" ht="90">
      <c r="A43" s="13" t="s">
        <v>29</v>
      </c>
      <c r="B43" s="13" t="s">
        <v>5</v>
      </c>
      <c r="C43" s="14" t="s">
        <v>98</v>
      </c>
      <c r="D43" s="15">
        <v>46266.833333333299</v>
      </c>
      <c r="E43" s="15">
        <v>46267.25</v>
      </c>
      <c r="F43" s="14" t="s">
        <v>94</v>
      </c>
    </row>
    <row r="44" spans="1:6" ht="90">
      <c r="A44" s="13" t="s">
        <v>29</v>
      </c>
      <c r="B44" s="13" t="s">
        <v>5</v>
      </c>
      <c r="C44" s="14" t="s">
        <v>99</v>
      </c>
      <c r="D44" s="15">
        <v>46266.833333333299</v>
      </c>
      <c r="E44" s="15">
        <v>46267.25</v>
      </c>
      <c r="F44" s="14" t="s">
        <v>94</v>
      </c>
    </row>
    <row r="45" spans="1:6" ht="90">
      <c r="A45" s="13" t="s">
        <v>29</v>
      </c>
      <c r="B45" s="13" t="s">
        <v>5</v>
      </c>
      <c r="C45" s="14" t="s">
        <v>100</v>
      </c>
      <c r="D45" s="15">
        <v>46266.833333333299</v>
      </c>
      <c r="E45" s="15">
        <v>46267.25</v>
      </c>
      <c r="F45" s="14" t="s">
        <v>94</v>
      </c>
    </row>
    <row r="46" spans="1:6" ht="90">
      <c r="A46" s="13" t="s">
        <v>29</v>
      </c>
      <c r="B46" s="13" t="s">
        <v>5</v>
      </c>
      <c r="C46" s="14" t="s">
        <v>101</v>
      </c>
      <c r="D46" s="15">
        <v>46266.833333333299</v>
      </c>
      <c r="E46" s="15">
        <v>46267.25</v>
      </c>
      <c r="F46" s="14" t="s">
        <v>94</v>
      </c>
    </row>
    <row r="47" spans="1:6" ht="75">
      <c r="A47" s="13" t="s">
        <v>167</v>
      </c>
      <c r="B47" s="13" t="s">
        <v>2</v>
      </c>
      <c r="C47" s="14" t="s">
        <v>1200</v>
      </c>
      <c r="D47" s="15">
        <v>46266.833333333299</v>
      </c>
      <c r="E47" s="15">
        <v>46267.25</v>
      </c>
      <c r="F47" s="14" t="s">
        <v>169</v>
      </c>
    </row>
    <row r="48" spans="1:6" ht="90">
      <c r="A48" s="13" t="s">
        <v>228</v>
      </c>
      <c r="B48" s="13" t="s">
        <v>23</v>
      </c>
      <c r="C48" s="14" t="s">
        <v>229</v>
      </c>
      <c r="D48" s="15">
        <v>46266.833333333299</v>
      </c>
      <c r="E48" s="15">
        <v>46267.25</v>
      </c>
      <c r="F48" s="14" t="s">
        <v>226</v>
      </c>
    </row>
    <row r="49" spans="1:6" ht="90">
      <c r="A49" s="13" t="s">
        <v>228</v>
      </c>
      <c r="B49" s="13" t="s">
        <v>4</v>
      </c>
      <c r="C49" s="14" t="s">
        <v>230</v>
      </c>
      <c r="D49" s="15">
        <v>46266.833333333299</v>
      </c>
      <c r="E49" s="15">
        <v>46267.25</v>
      </c>
      <c r="F49" s="14" t="s">
        <v>226</v>
      </c>
    </row>
    <row r="50" spans="1:6" ht="90">
      <c r="A50" s="13" t="s">
        <v>228</v>
      </c>
      <c r="B50" s="13" t="s">
        <v>5</v>
      </c>
      <c r="C50" s="14" t="s">
        <v>231</v>
      </c>
      <c r="D50" s="15">
        <v>46266.833333333299</v>
      </c>
      <c r="E50" s="15">
        <v>46267.25</v>
      </c>
      <c r="F50" s="14" t="s">
        <v>226</v>
      </c>
    </row>
    <row r="51" spans="1:6" ht="90">
      <c r="A51" s="13" t="s">
        <v>566</v>
      </c>
      <c r="B51" s="13" t="s">
        <v>4</v>
      </c>
      <c r="C51" s="14" t="s">
        <v>1288</v>
      </c>
      <c r="D51" s="15">
        <v>46266.833333333299</v>
      </c>
      <c r="E51" s="15">
        <v>46267.208333333299</v>
      </c>
      <c r="F51" s="14" t="s">
        <v>1201</v>
      </c>
    </row>
    <row r="52" spans="1:6" ht="90">
      <c r="A52" s="13" t="s">
        <v>221</v>
      </c>
      <c r="B52" s="13" t="s">
        <v>6</v>
      </c>
      <c r="C52" s="14" t="s">
        <v>1202</v>
      </c>
      <c r="D52" s="15">
        <v>46266.833333333299</v>
      </c>
      <c r="E52" s="15">
        <v>46267.25</v>
      </c>
      <c r="F52" s="14" t="s">
        <v>1203</v>
      </c>
    </row>
    <row r="53" spans="1:6" ht="90">
      <c r="A53" s="13" t="s">
        <v>221</v>
      </c>
      <c r="B53" s="13" t="s">
        <v>2</v>
      </c>
      <c r="C53" s="14" t="s">
        <v>222</v>
      </c>
      <c r="D53" s="15">
        <v>46266.833333333299</v>
      </c>
      <c r="E53" s="15">
        <v>46267.25</v>
      </c>
      <c r="F53" s="14" t="s">
        <v>223</v>
      </c>
    </row>
    <row r="54" spans="1:6" ht="60">
      <c r="A54" s="13" t="s">
        <v>221</v>
      </c>
      <c r="B54" s="13" t="s">
        <v>6</v>
      </c>
      <c r="C54" s="14" t="s">
        <v>224</v>
      </c>
      <c r="D54" s="15">
        <v>46266.833333333299</v>
      </c>
      <c r="E54" s="15">
        <v>46267.25</v>
      </c>
      <c r="F54" s="14" t="s">
        <v>223</v>
      </c>
    </row>
    <row r="55" spans="1:6" ht="60">
      <c r="A55" s="13" t="s">
        <v>221</v>
      </c>
      <c r="B55" s="13" t="s">
        <v>6</v>
      </c>
      <c r="C55" s="14" t="s">
        <v>225</v>
      </c>
      <c r="D55" s="15">
        <v>46266.833333333299</v>
      </c>
      <c r="E55" s="15">
        <v>46267.25</v>
      </c>
      <c r="F55" s="14" t="s">
        <v>226</v>
      </c>
    </row>
    <row r="56" spans="1:6" ht="60">
      <c r="A56" s="13" t="s">
        <v>221</v>
      </c>
      <c r="B56" s="13" t="s">
        <v>2</v>
      </c>
      <c r="C56" s="14" t="s">
        <v>227</v>
      </c>
      <c r="D56" s="15">
        <v>46266.833333333299</v>
      </c>
      <c r="E56" s="15">
        <v>46267.25</v>
      </c>
      <c r="F56" s="14" t="s">
        <v>226</v>
      </c>
    </row>
    <row r="57" spans="1:6" ht="90">
      <c r="A57" s="13" t="s">
        <v>221</v>
      </c>
      <c r="B57" s="13" t="s">
        <v>2</v>
      </c>
      <c r="C57" s="14" t="s">
        <v>232</v>
      </c>
      <c r="D57" s="15">
        <v>46266.833333333299</v>
      </c>
      <c r="E57" s="15">
        <v>46267.25</v>
      </c>
      <c r="F57" s="14" t="s">
        <v>233</v>
      </c>
    </row>
    <row r="58" spans="1:6" ht="90">
      <c r="A58" s="13" t="s">
        <v>392</v>
      </c>
      <c r="B58" s="13" t="s">
        <v>4</v>
      </c>
      <c r="C58" s="14" t="s">
        <v>1212</v>
      </c>
      <c r="D58" s="15">
        <v>46266.833333333299</v>
      </c>
      <c r="E58" s="15">
        <v>46267.25</v>
      </c>
      <c r="F58" s="14" t="s">
        <v>1211</v>
      </c>
    </row>
    <row r="59" spans="1:6" ht="60">
      <c r="A59" s="13" t="s">
        <v>392</v>
      </c>
      <c r="B59" s="13" t="s">
        <v>4</v>
      </c>
      <c r="C59" s="14" t="s">
        <v>1210</v>
      </c>
      <c r="D59" s="15">
        <v>46266.833333333299</v>
      </c>
      <c r="E59" s="15">
        <v>46267.25</v>
      </c>
      <c r="F59" s="14" t="s">
        <v>1211</v>
      </c>
    </row>
    <row r="60" spans="1:6" ht="60">
      <c r="A60" s="13" t="s">
        <v>392</v>
      </c>
      <c r="B60" s="13" t="s">
        <v>5</v>
      </c>
      <c r="C60" s="14" t="s">
        <v>1208</v>
      </c>
      <c r="D60" s="15">
        <v>46266.833333333299</v>
      </c>
      <c r="E60" s="15">
        <v>46267.25</v>
      </c>
      <c r="F60" s="14" t="s">
        <v>1209</v>
      </c>
    </row>
    <row r="61" spans="1:6" ht="60">
      <c r="A61" s="13" t="s">
        <v>392</v>
      </c>
      <c r="B61" s="13" t="s">
        <v>5</v>
      </c>
      <c r="C61" s="14" t="s">
        <v>1213</v>
      </c>
      <c r="D61" s="15">
        <v>46266.833333333299</v>
      </c>
      <c r="E61" s="15">
        <v>46267.25</v>
      </c>
      <c r="F61" s="14" t="s">
        <v>1214</v>
      </c>
    </row>
    <row r="62" spans="1:6" ht="60">
      <c r="A62" s="13" t="s">
        <v>392</v>
      </c>
      <c r="B62" s="13" t="s">
        <v>5</v>
      </c>
      <c r="C62" s="14" t="s">
        <v>431</v>
      </c>
      <c r="D62" s="15">
        <v>46266.916666666701</v>
      </c>
      <c r="E62" s="15">
        <v>46267.208333333299</v>
      </c>
      <c r="F62" s="14" t="s">
        <v>432</v>
      </c>
    </row>
    <row r="63" spans="1:6" ht="60">
      <c r="A63" s="13" t="s">
        <v>424</v>
      </c>
      <c r="B63" s="13" t="s">
        <v>4</v>
      </c>
      <c r="C63" s="14" t="s">
        <v>1215</v>
      </c>
      <c r="D63" s="15">
        <v>46266.833333333299</v>
      </c>
      <c r="E63" s="15">
        <v>46267.25</v>
      </c>
      <c r="F63" s="14" t="s">
        <v>1216</v>
      </c>
    </row>
    <row r="64" spans="1:6" ht="60">
      <c r="A64" s="13" t="s">
        <v>424</v>
      </c>
      <c r="B64" s="13" t="s">
        <v>5</v>
      </c>
      <c r="C64" s="14" t="s">
        <v>425</v>
      </c>
      <c r="D64" s="15">
        <v>46266.916666666701</v>
      </c>
      <c r="E64" s="15">
        <v>46267.229166666701</v>
      </c>
      <c r="F64" s="14" t="s">
        <v>426</v>
      </c>
    </row>
    <row r="65" spans="1:6" ht="60">
      <c r="A65" s="13" t="s">
        <v>380</v>
      </c>
      <c r="B65" s="13" t="s">
        <v>2</v>
      </c>
      <c r="C65" s="14" t="s">
        <v>1217</v>
      </c>
      <c r="D65" s="15">
        <v>46266.833333333299</v>
      </c>
      <c r="E65" s="15">
        <v>46267.25</v>
      </c>
      <c r="F65" s="14" t="s">
        <v>1218</v>
      </c>
    </row>
    <row r="66" spans="1:6" ht="60">
      <c r="A66" s="13" t="s">
        <v>380</v>
      </c>
      <c r="B66" s="13" t="s">
        <v>2</v>
      </c>
      <c r="C66" s="14" t="s">
        <v>396</v>
      </c>
      <c r="D66" s="15">
        <v>46266.833333333299</v>
      </c>
      <c r="E66" s="15">
        <v>46267.25</v>
      </c>
      <c r="F66" s="14" t="s">
        <v>397</v>
      </c>
    </row>
    <row r="67" spans="1:6" ht="60">
      <c r="A67" s="13" t="s">
        <v>380</v>
      </c>
      <c r="B67" s="13" t="s">
        <v>6</v>
      </c>
      <c r="C67" s="14" t="s">
        <v>398</v>
      </c>
      <c r="D67" s="15">
        <v>46266.833333333299</v>
      </c>
      <c r="E67" s="15">
        <v>46267.25</v>
      </c>
      <c r="F67" s="14" t="s">
        <v>397</v>
      </c>
    </row>
    <row r="68" spans="1:6" ht="105">
      <c r="A68" s="13" t="s">
        <v>383</v>
      </c>
      <c r="B68" s="13" t="s">
        <v>2</v>
      </c>
      <c r="C68" s="14" t="s">
        <v>406</v>
      </c>
      <c r="D68" s="15">
        <v>46266.833333333299</v>
      </c>
      <c r="E68" s="15">
        <v>46267.25</v>
      </c>
      <c r="F68" s="14" t="s">
        <v>405</v>
      </c>
    </row>
    <row r="69" spans="1:6" ht="105">
      <c r="A69" s="13" t="s">
        <v>383</v>
      </c>
      <c r="B69" s="13" t="s">
        <v>2</v>
      </c>
      <c r="C69" s="14" t="s">
        <v>1219</v>
      </c>
      <c r="D69" s="15">
        <v>46266.833333333299</v>
      </c>
      <c r="E69" s="15">
        <v>46267.25</v>
      </c>
      <c r="F69" s="14" t="s">
        <v>405</v>
      </c>
    </row>
    <row r="70" spans="1:6" ht="105">
      <c r="A70" s="13" t="s">
        <v>376</v>
      </c>
      <c r="B70" s="13" t="s">
        <v>4</v>
      </c>
      <c r="C70" s="14" t="s">
        <v>377</v>
      </c>
      <c r="D70" s="15">
        <v>46266.833333333299</v>
      </c>
      <c r="E70" s="15">
        <v>46267.25</v>
      </c>
      <c r="F70" s="14" t="s">
        <v>378</v>
      </c>
    </row>
    <row r="71" spans="1:6" ht="75">
      <c r="A71" s="13" t="s">
        <v>376</v>
      </c>
      <c r="B71" s="13" t="s">
        <v>5</v>
      </c>
      <c r="C71" s="14" t="s">
        <v>379</v>
      </c>
      <c r="D71" s="15">
        <v>46266.833333333299</v>
      </c>
      <c r="E71" s="15">
        <v>46267.25</v>
      </c>
      <c r="F71" s="14" t="s">
        <v>378</v>
      </c>
    </row>
    <row r="72" spans="1:6" ht="75">
      <c r="A72" s="13" t="s">
        <v>420</v>
      </c>
      <c r="B72" s="13" t="s">
        <v>2</v>
      </c>
      <c r="C72" s="14" t="s">
        <v>421</v>
      </c>
      <c r="D72" s="15">
        <v>46266.875</v>
      </c>
      <c r="E72" s="15">
        <v>46267.229166666701</v>
      </c>
      <c r="F72" s="14" t="s">
        <v>422</v>
      </c>
    </row>
    <row r="73" spans="1:6" ht="75">
      <c r="A73" s="13" t="s">
        <v>420</v>
      </c>
      <c r="B73" s="13" t="s">
        <v>2</v>
      </c>
      <c r="C73" s="14" t="s">
        <v>423</v>
      </c>
      <c r="D73" s="15">
        <v>46266.875</v>
      </c>
      <c r="E73" s="15">
        <v>46267.229166666701</v>
      </c>
      <c r="F73" s="14" t="s">
        <v>422</v>
      </c>
    </row>
    <row r="74" spans="1:6" ht="75">
      <c r="A74" s="13" t="s">
        <v>357</v>
      </c>
      <c r="B74" s="13" t="s">
        <v>2</v>
      </c>
      <c r="C74" s="14" t="s">
        <v>1221</v>
      </c>
      <c r="D74" s="15">
        <v>46266.875</v>
      </c>
      <c r="E74" s="15">
        <v>46267.25</v>
      </c>
      <c r="F74" s="14" t="s">
        <v>1105</v>
      </c>
    </row>
    <row r="75" spans="1:6" ht="75">
      <c r="A75" s="13" t="s">
        <v>357</v>
      </c>
      <c r="B75" s="13" t="s">
        <v>2</v>
      </c>
      <c r="C75" s="14" t="s">
        <v>1220</v>
      </c>
      <c r="D75" s="15">
        <v>46266.875</v>
      </c>
      <c r="E75" s="15">
        <v>46267.25</v>
      </c>
      <c r="F75" s="14" t="s">
        <v>1105</v>
      </c>
    </row>
    <row r="76" spans="1:6" ht="60">
      <c r="A76" s="13" t="s">
        <v>357</v>
      </c>
      <c r="B76" s="13" t="s">
        <v>23</v>
      </c>
      <c r="C76" s="14" t="s">
        <v>358</v>
      </c>
      <c r="D76" s="15">
        <v>46266.875</v>
      </c>
      <c r="E76" s="15">
        <v>46267.25</v>
      </c>
      <c r="F76" s="14" t="s">
        <v>359</v>
      </c>
    </row>
    <row r="77" spans="1:6" ht="60">
      <c r="A77" s="13" t="s">
        <v>357</v>
      </c>
      <c r="B77" s="13" t="s">
        <v>2</v>
      </c>
      <c r="C77" s="14" t="s">
        <v>1222</v>
      </c>
      <c r="D77" s="15">
        <v>46266.875</v>
      </c>
      <c r="E77" s="15">
        <v>46267.25</v>
      </c>
      <c r="F77" s="14" t="s">
        <v>1223</v>
      </c>
    </row>
    <row r="78" spans="1:6" ht="60">
      <c r="A78" s="13" t="s">
        <v>357</v>
      </c>
      <c r="B78" s="13" t="s">
        <v>2</v>
      </c>
      <c r="C78" s="14" t="s">
        <v>445</v>
      </c>
      <c r="D78" s="15">
        <v>46266.916666666701</v>
      </c>
      <c r="E78" s="15">
        <v>46267.229166666701</v>
      </c>
      <c r="F78" s="14" t="s">
        <v>446</v>
      </c>
    </row>
    <row r="79" spans="1:6" ht="90">
      <c r="A79" s="13" t="s">
        <v>357</v>
      </c>
      <c r="B79" s="13" t="s">
        <v>2</v>
      </c>
      <c r="C79" s="14" t="s">
        <v>447</v>
      </c>
      <c r="D79" s="15">
        <v>46266.916666666701</v>
      </c>
      <c r="E79" s="15">
        <v>46267.229166666701</v>
      </c>
      <c r="F79" s="14" t="s">
        <v>446</v>
      </c>
    </row>
    <row r="80" spans="1:6" ht="90">
      <c r="A80" s="13" t="s">
        <v>357</v>
      </c>
      <c r="B80" s="13" t="s">
        <v>6</v>
      </c>
      <c r="C80" s="14" t="s">
        <v>1224</v>
      </c>
      <c r="D80" s="15">
        <v>46266.916666666701</v>
      </c>
      <c r="E80" s="15">
        <v>46267.229166666701</v>
      </c>
      <c r="F80" s="14" t="s">
        <v>1225</v>
      </c>
    </row>
    <row r="81" spans="1:6" ht="75">
      <c r="A81" s="13" t="s">
        <v>452</v>
      </c>
      <c r="B81" s="13" t="s">
        <v>4</v>
      </c>
      <c r="C81" s="14" t="s">
        <v>460</v>
      </c>
      <c r="D81" s="15">
        <v>46266.833333333299</v>
      </c>
      <c r="E81" s="15">
        <v>46267.25</v>
      </c>
      <c r="F81" s="14" t="s">
        <v>461</v>
      </c>
    </row>
    <row r="82" spans="1:6" ht="75">
      <c r="A82" s="13" t="s">
        <v>345</v>
      </c>
      <c r="B82" s="13" t="s">
        <v>5</v>
      </c>
      <c r="C82" s="14" t="s">
        <v>346</v>
      </c>
      <c r="D82" s="15">
        <v>46266.875</v>
      </c>
      <c r="E82" s="15">
        <v>46267.25</v>
      </c>
      <c r="F82" s="14" t="s">
        <v>347</v>
      </c>
    </row>
    <row r="83" spans="1:6" ht="75">
      <c r="A83" s="13" t="s">
        <v>345</v>
      </c>
      <c r="B83" s="13" t="s">
        <v>4</v>
      </c>
      <c r="C83" s="14" t="s">
        <v>348</v>
      </c>
      <c r="D83" s="15">
        <v>46266.875</v>
      </c>
      <c r="E83" s="15">
        <v>46267.25</v>
      </c>
      <c r="F83" s="14" t="s">
        <v>347</v>
      </c>
    </row>
    <row r="84" spans="1:6" ht="75">
      <c r="A84" s="13" t="s">
        <v>345</v>
      </c>
      <c r="B84" s="13" t="s">
        <v>4</v>
      </c>
      <c r="C84" s="14" t="s">
        <v>360</v>
      </c>
      <c r="D84" s="15">
        <v>46266.875</v>
      </c>
      <c r="E84" s="15">
        <v>46267.25</v>
      </c>
      <c r="F84" s="14" t="s">
        <v>361</v>
      </c>
    </row>
    <row r="85" spans="1:6" ht="75">
      <c r="A85" s="13" t="s">
        <v>345</v>
      </c>
      <c r="B85" s="13" t="s">
        <v>23</v>
      </c>
      <c r="C85" s="14" t="s">
        <v>468</v>
      </c>
      <c r="D85" s="15">
        <v>46266.875</v>
      </c>
      <c r="E85" s="15">
        <v>46267.25</v>
      </c>
      <c r="F85" s="14" t="s">
        <v>469</v>
      </c>
    </row>
    <row r="86" spans="1:6" ht="75">
      <c r="A86" s="13" t="s">
        <v>345</v>
      </c>
      <c r="B86" s="13" t="s">
        <v>5</v>
      </c>
      <c r="C86" s="14" t="s">
        <v>485</v>
      </c>
      <c r="D86" s="15">
        <v>46266.875</v>
      </c>
      <c r="E86" s="15">
        <v>46267.25</v>
      </c>
      <c r="F86" s="14" t="s">
        <v>486</v>
      </c>
    </row>
    <row r="87" spans="1:6" ht="90">
      <c r="A87" s="13" t="s">
        <v>371</v>
      </c>
      <c r="B87" s="13" t="s">
        <v>23</v>
      </c>
      <c r="C87" s="14" t="s">
        <v>1226</v>
      </c>
      <c r="D87" s="15">
        <v>46266.875</v>
      </c>
      <c r="E87" s="15">
        <v>46267.25</v>
      </c>
      <c r="F87" s="14" t="s">
        <v>1227</v>
      </c>
    </row>
    <row r="88" spans="1:6" ht="45">
      <c r="A88" s="13" t="s">
        <v>371</v>
      </c>
      <c r="B88" s="13" t="s">
        <v>4</v>
      </c>
      <c r="C88" s="14" t="s">
        <v>372</v>
      </c>
      <c r="D88" s="15">
        <v>46266.875</v>
      </c>
      <c r="E88" s="15">
        <v>46267.25</v>
      </c>
      <c r="F88" s="14" t="s">
        <v>373</v>
      </c>
    </row>
    <row r="89" spans="1:6" ht="75">
      <c r="A89" s="13" t="s">
        <v>371</v>
      </c>
      <c r="B89" s="13" t="s">
        <v>4</v>
      </c>
      <c r="C89" s="14" t="s">
        <v>374</v>
      </c>
      <c r="D89" s="15">
        <v>46266.875</v>
      </c>
      <c r="E89" s="15">
        <v>46267.25</v>
      </c>
      <c r="F89" s="14" t="s">
        <v>373</v>
      </c>
    </row>
    <row r="90" spans="1:6" ht="75">
      <c r="A90" s="13" t="s">
        <v>330</v>
      </c>
      <c r="B90" s="13" t="s">
        <v>2</v>
      </c>
      <c r="C90" s="14" t="s">
        <v>331</v>
      </c>
      <c r="D90" s="15">
        <v>46266.875</v>
      </c>
      <c r="E90" s="15">
        <v>46267.25</v>
      </c>
      <c r="F90" s="14" t="s">
        <v>332</v>
      </c>
    </row>
    <row r="91" spans="1:6" ht="75">
      <c r="A91" s="13" t="s">
        <v>330</v>
      </c>
      <c r="B91" s="13" t="s">
        <v>2</v>
      </c>
      <c r="C91" s="14" t="s">
        <v>1228</v>
      </c>
      <c r="D91" s="15">
        <v>46266.875</v>
      </c>
      <c r="E91" s="15">
        <v>46267.25</v>
      </c>
      <c r="F91" s="14" t="s">
        <v>1229</v>
      </c>
    </row>
    <row r="92" spans="1:6" ht="90">
      <c r="A92" s="13" t="s">
        <v>487</v>
      </c>
      <c r="B92" s="13" t="s">
        <v>23</v>
      </c>
      <c r="C92" s="14" t="s">
        <v>488</v>
      </c>
      <c r="D92" s="15">
        <v>46266.833333333299</v>
      </c>
      <c r="E92" s="15">
        <v>46267.25</v>
      </c>
      <c r="F92" s="14" t="s">
        <v>489</v>
      </c>
    </row>
    <row r="93" spans="1:6" ht="90">
      <c r="A93" s="13" t="s">
        <v>102</v>
      </c>
      <c r="B93" s="13" t="s">
        <v>2</v>
      </c>
      <c r="C93" s="14" t="s">
        <v>103</v>
      </c>
      <c r="D93" s="15">
        <v>46266.833333333299</v>
      </c>
      <c r="E93" s="15">
        <v>46267.25</v>
      </c>
      <c r="F93" s="14" t="s">
        <v>104</v>
      </c>
    </row>
    <row r="94" spans="1:6" ht="75">
      <c r="A94" s="13" t="s">
        <v>102</v>
      </c>
      <c r="B94" s="13" t="s">
        <v>4</v>
      </c>
      <c r="C94" s="14" t="s">
        <v>456</v>
      </c>
      <c r="D94" s="15">
        <v>46266.8125</v>
      </c>
      <c r="E94" s="15">
        <v>46267.25</v>
      </c>
      <c r="F94" s="14" t="s">
        <v>457</v>
      </c>
    </row>
    <row r="95" spans="1:6" ht="75">
      <c r="A95" s="13" t="s">
        <v>102</v>
      </c>
      <c r="B95" s="13" t="s">
        <v>5</v>
      </c>
      <c r="C95" s="14" t="s">
        <v>458</v>
      </c>
      <c r="D95" s="15">
        <v>46266.8125</v>
      </c>
      <c r="E95" s="15">
        <v>46267.25</v>
      </c>
      <c r="F95" s="14" t="s">
        <v>459</v>
      </c>
    </row>
    <row r="96" spans="1:6" ht="75">
      <c r="A96" s="13" t="s">
        <v>102</v>
      </c>
      <c r="B96" s="13" t="s">
        <v>5</v>
      </c>
      <c r="C96" s="14" t="s">
        <v>462</v>
      </c>
      <c r="D96" s="15">
        <v>46266.875</v>
      </c>
      <c r="E96" s="15">
        <v>46267.25</v>
      </c>
      <c r="F96" s="14" t="s">
        <v>463</v>
      </c>
    </row>
    <row r="97" spans="1:6" ht="60">
      <c r="A97" s="13" t="s">
        <v>102</v>
      </c>
      <c r="B97" s="13" t="s">
        <v>5</v>
      </c>
      <c r="C97" s="14" t="s">
        <v>466</v>
      </c>
      <c r="D97" s="15">
        <v>46266.875</v>
      </c>
      <c r="E97" s="15">
        <v>46267.25</v>
      </c>
      <c r="F97" s="14" t="s">
        <v>467</v>
      </c>
    </row>
    <row r="98" spans="1:6" ht="60">
      <c r="A98" s="13" t="s">
        <v>102</v>
      </c>
      <c r="B98" s="13" t="s">
        <v>6</v>
      </c>
      <c r="C98" s="14" t="s">
        <v>495</v>
      </c>
      <c r="D98" s="15">
        <v>46202.875</v>
      </c>
      <c r="E98" s="15">
        <v>46508.208333333299</v>
      </c>
      <c r="F98" s="14" t="s">
        <v>496</v>
      </c>
    </row>
    <row r="99" spans="1:6" ht="60">
      <c r="A99" s="13" t="s">
        <v>102</v>
      </c>
      <c r="B99" s="13" t="s">
        <v>2</v>
      </c>
      <c r="C99" s="14" t="s">
        <v>497</v>
      </c>
      <c r="D99" s="15">
        <v>46266.333333333299</v>
      </c>
      <c r="E99" s="15">
        <v>46477</v>
      </c>
      <c r="F99" s="14" t="s">
        <v>496</v>
      </c>
    </row>
    <row r="100" spans="1:6" ht="60">
      <c r="A100" s="13" t="s">
        <v>102</v>
      </c>
      <c r="B100" s="13" t="s">
        <v>2</v>
      </c>
      <c r="C100" s="14" t="s">
        <v>1230</v>
      </c>
      <c r="D100" s="15">
        <v>46266.875</v>
      </c>
      <c r="E100" s="15">
        <v>46267.25</v>
      </c>
      <c r="F100" s="14" t="s">
        <v>508</v>
      </c>
    </row>
    <row r="101" spans="1:6" ht="60">
      <c r="A101" s="13" t="s">
        <v>478</v>
      </c>
      <c r="B101" s="13" t="s">
        <v>4</v>
      </c>
      <c r="C101" s="14" t="s">
        <v>479</v>
      </c>
      <c r="D101" s="15">
        <v>46266.916666666701</v>
      </c>
      <c r="E101" s="15">
        <v>46267.25</v>
      </c>
      <c r="F101" s="14" t="s">
        <v>480</v>
      </c>
    </row>
    <row r="102" spans="1:6" ht="60">
      <c r="A102" s="13" t="s">
        <v>1231</v>
      </c>
      <c r="B102" s="13" t="s">
        <v>2</v>
      </c>
      <c r="C102" s="14" t="s">
        <v>1232</v>
      </c>
      <c r="D102" s="15">
        <v>46266.875</v>
      </c>
      <c r="E102" s="15">
        <v>46267.25</v>
      </c>
      <c r="F102" s="14" t="s">
        <v>1290</v>
      </c>
    </row>
    <row r="103" spans="1:6" ht="60">
      <c r="A103" s="13" t="s">
        <v>54</v>
      </c>
      <c r="B103" s="13" t="s">
        <v>4</v>
      </c>
      <c r="C103" s="14" t="s">
        <v>55</v>
      </c>
      <c r="D103" s="15">
        <v>46266.833333333299</v>
      </c>
      <c r="E103" s="15">
        <v>46267.25</v>
      </c>
      <c r="F103" s="14" t="s">
        <v>56</v>
      </c>
    </row>
    <row r="104" spans="1:6" ht="75">
      <c r="A104" s="13" t="s">
        <v>490</v>
      </c>
      <c r="B104" s="13" t="s">
        <v>2</v>
      </c>
      <c r="C104" s="14" t="s">
        <v>491</v>
      </c>
      <c r="D104" s="15">
        <v>46266.875</v>
      </c>
      <c r="E104" s="15">
        <v>46267.25</v>
      </c>
      <c r="F104" s="14" t="s">
        <v>492</v>
      </c>
    </row>
    <row r="105" spans="1:6" ht="75">
      <c r="A105" s="13" t="s">
        <v>490</v>
      </c>
      <c r="B105" s="13" t="s">
        <v>6</v>
      </c>
      <c r="C105" s="14" t="s">
        <v>493</v>
      </c>
      <c r="D105" s="15">
        <v>46266.875</v>
      </c>
      <c r="E105" s="15">
        <v>46267.25</v>
      </c>
      <c r="F105" s="14" t="s">
        <v>494</v>
      </c>
    </row>
    <row r="106" spans="1:6" ht="75">
      <c r="A106" s="13" t="s">
        <v>121</v>
      </c>
      <c r="B106" s="13" t="s">
        <v>2</v>
      </c>
      <c r="C106" s="14" t="s">
        <v>122</v>
      </c>
      <c r="D106" s="15">
        <v>46266.833333333299</v>
      </c>
      <c r="E106" s="15">
        <v>46267.25</v>
      </c>
      <c r="F106" s="14" t="s">
        <v>120</v>
      </c>
    </row>
    <row r="107" spans="1:6" ht="75">
      <c r="A107" s="13" t="s">
        <v>68</v>
      </c>
      <c r="B107" s="13" t="s">
        <v>4</v>
      </c>
      <c r="C107" s="14" t="s">
        <v>69</v>
      </c>
      <c r="D107" s="15">
        <v>46266.833333333299</v>
      </c>
      <c r="E107" s="15">
        <v>46267.25</v>
      </c>
      <c r="F107" s="14" t="s">
        <v>70</v>
      </c>
    </row>
    <row r="108" spans="1:6" ht="75">
      <c r="A108" s="13" t="s">
        <v>68</v>
      </c>
      <c r="B108" s="13" t="s">
        <v>5</v>
      </c>
      <c r="C108" s="14" t="s">
        <v>76</v>
      </c>
      <c r="D108" s="15">
        <v>46266.833333333299</v>
      </c>
      <c r="E108" s="15">
        <v>46267.25</v>
      </c>
      <c r="F108" s="14" t="s">
        <v>77</v>
      </c>
    </row>
    <row r="109" spans="1:6" ht="45">
      <c r="A109" s="13" t="s">
        <v>516</v>
      </c>
      <c r="B109" s="13" t="s">
        <v>2</v>
      </c>
      <c r="C109" s="14" t="s">
        <v>517</v>
      </c>
      <c r="D109" s="15">
        <v>46217.625</v>
      </c>
      <c r="E109" s="15">
        <v>46387.875</v>
      </c>
      <c r="F109" s="14" t="s">
        <v>518</v>
      </c>
    </row>
    <row r="110" spans="1:6" ht="45">
      <c r="A110" s="13" t="s">
        <v>516</v>
      </c>
      <c r="B110" s="13" t="s">
        <v>4</v>
      </c>
      <c r="C110" s="14" t="s">
        <v>529</v>
      </c>
      <c r="D110" s="15">
        <v>46266.916666666701</v>
      </c>
      <c r="E110" s="15">
        <v>46267.25</v>
      </c>
      <c r="F110" s="14" t="s">
        <v>530</v>
      </c>
    </row>
    <row r="111" spans="1:6" ht="45">
      <c r="A111" s="13" t="s">
        <v>519</v>
      </c>
      <c r="B111" s="13" t="s">
        <v>2</v>
      </c>
      <c r="C111" s="14" t="s">
        <v>520</v>
      </c>
      <c r="D111" s="15">
        <v>46266.875</v>
      </c>
      <c r="E111" s="15">
        <v>46267.25</v>
      </c>
      <c r="F111" s="14" t="s">
        <v>521</v>
      </c>
    </row>
    <row r="112" spans="1:6" ht="45">
      <c r="A112" s="13" t="s">
        <v>519</v>
      </c>
      <c r="B112" s="13" t="s">
        <v>2</v>
      </c>
      <c r="C112" s="14" t="s">
        <v>1233</v>
      </c>
      <c r="D112" s="15">
        <v>46266.875</v>
      </c>
      <c r="E112" s="15">
        <v>46267.25</v>
      </c>
      <c r="F112" s="14" t="s">
        <v>521</v>
      </c>
    </row>
    <row r="113" spans="1:6" ht="45">
      <c r="A113" s="13" t="s">
        <v>519</v>
      </c>
      <c r="B113" s="13" t="s">
        <v>23</v>
      </c>
      <c r="C113" s="14" t="s">
        <v>522</v>
      </c>
      <c r="D113" s="15">
        <v>46266.875</v>
      </c>
      <c r="E113" s="15">
        <v>46267.25</v>
      </c>
      <c r="F113" s="14" t="s">
        <v>523</v>
      </c>
    </row>
    <row r="114" spans="1:6" ht="45">
      <c r="A114" s="13" t="s">
        <v>20</v>
      </c>
      <c r="B114" s="13" t="s">
        <v>4</v>
      </c>
      <c r="C114" s="14" t="s">
        <v>21</v>
      </c>
      <c r="D114" s="15">
        <v>46266.833333333299</v>
      </c>
      <c r="E114" s="15">
        <v>46267.25</v>
      </c>
      <c r="F114" s="14" t="s">
        <v>22</v>
      </c>
    </row>
    <row r="115" spans="1:6" ht="30">
      <c r="A115" s="13" t="s">
        <v>20</v>
      </c>
      <c r="B115" s="13" t="s">
        <v>23</v>
      </c>
      <c r="C115" s="14" t="s">
        <v>24</v>
      </c>
      <c r="D115" s="15">
        <v>46266.833333333299</v>
      </c>
      <c r="E115" s="15">
        <v>46267.25</v>
      </c>
      <c r="F115" s="14" t="s">
        <v>22</v>
      </c>
    </row>
    <row r="116" spans="1:6" ht="45">
      <c r="A116" s="13" t="s">
        <v>20</v>
      </c>
      <c r="B116" s="13" t="s">
        <v>4</v>
      </c>
      <c r="C116" s="14" t="s">
        <v>25</v>
      </c>
      <c r="D116" s="15">
        <v>46266.833333333299</v>
      </c>
      <c r="E116" s="15">
        <v>46267.25</v>
      </c>
      <c r="F116" s="14" t="s">
        <v>22</v>
      </c>
    </row>
    <row r="117" spans="1:6" ht="45">
      <c r="A117" s="13" t="s">
        <v>20</v>
      </c>
      <c r="B117" s="13" t="s">
        <v>5</v>
      </c>
      <c r="C117" s="14" t="s">
        <v>1236</v>
      </c>
      <c r="D117" s="15">
        <v>46266.833333333299</v>
      </c>
      <c r="E117" s="15">
        <v>46267.25</v>
      </c>
      <c r="F117" s="14" t="s">
        <v>1235</v>
      </c>
    </row>
    <row r="118" spans="1:6" ht="45">
      <c r="A118" s="13" t="s">
        <v>71</v>
      </c>
      <c r="B118" s="13" t="s">
        <v>6</v>
      </c>
      <c r="C118" s="14" t="s">
        <v>72</v>
      </c>
      <c r="D118" s="15">
        <v>46266.833333333299</v>
      </c>
      <c r="E118" s="15">
        <v>46267.25</v>
      </c>
      <c r="F118" s="14" t="s">
        <v>73</v>
      </c>
    </row>
    <row r="119" spans="1:6" ht="45">
      <c r="A119" s="13" t="s">
        <v>71</v>
      </c>
      <c r="B119" s="13" t="s">
        <v>2</v>
      </c>
      <c r="C119" s="14" t="s">
        <v>1237</v>
      </c>
      <c r="D119" s="15">
        <v>46266.833333333299</v>
      </c>
      <c r="E119" s="15">
        <v>46267.25</v>
      </c>
      <c r="F119" s="14" t="s">
        <v>75</v>
      </c>
    </row>
    <row r="120" spans="1:6" ht="45">
      <c r="A120" s="13" t="s">
        <v>533</v>
      </c>
      <c r="B120" s="13" t="s">
        <v>4</v>
      </c>
      <c r="C120" s="14" t="s">
        <v>1292</v>
      </c>
      <c r="D120" s="15">
        <v>46266.833333333299</v>
      </c>
      <c r="E120" s="15">
        <v>46267.208333333299</v>
      </c>
      <c r="F120" s="14" t="s">
        <v>535</v>
      </c>
    </row>
    <row r="121" spans="1:6" ht="45">
      <c r="A121" s="13" t="s">
        <v>533</v>
      </c>
      <c r="B121" s="13" t="s">
        <v>4</v>
      </c>
      <c r="C121" s="14" t="s">
        <v>1293</v>
      </c>
      <c r="D121" s="15">
        <v>46266.833333333299</v>
      </c>
      <c r="E121" s="15">
        <v>46267.208333333299</v>
      </c>
      <c r="F121" s="14" t="s">
        <v>535</v>
      </c>
    </row>
    <row r="122" spans="1:6" ht="45">
      <c r="A122" s="13" t="s">
        <v>533</v>
      </c>
      <c r="B122" s="13" t="s">
        <v>5</v>
      </c>
      <c r="C122" s="14" t="s">
        <v>1294</v>
      </c>
      <c r="D122" s="15">
        <v>46266.833333333299</v>
      </c>
      <c r="E122" s="15">
        <v>46267.208333333299</v>
      </c>
      <c r="F122" s="14" t="s">
        <v>537</v>
      </c>
    </row>
    <row r="123" spans="1:6" ht="45">
      <c r="A123" s="13" t="s">
        <v>509</v>
      </c>
      <c r="B123" s="13" t="s">
        <v>23</v>
      </c>
      <c r="C123" s="14" t="s">
        <v>510</v>
      </c>
      <c r="D123" s="15">
        <v>46230.833333333299</v>
      </c>
      <c r="E123" s="15">
        <v>46403.25</v>
      </c>
      <c r="F123" s="14" t="s">
        <v>511</v>
      </c>
    </row>
    <row r="124" spans="1:6" ht="45">
      <c r="A124" s="13" t="s">
        <v>509</v>
      </c>
      <c r="B124" s="13" t="s">
        <v>6</v>
      </c>
      <c r="C124" s="14" t="s">
        <v>1238</v>
      </c>
      <c r="D124" s="15">
        <v>46266.999305555597</v>
      </c>
      <c r="E124" s="15">
        <v>46267.25</v>
      </c>
      <c r="F124" s="14" t="s">
        <v>528</v>
      </c>
    </row>
    <row r="125" spans="1:6" ht="60">
      <c r="A125" s="13" t="s">
        <v>284</v>
      </c>
      <c r="B125" s="13" t="s">
        <v>6</v>
      </c>
      <c r="C125" s="14" t="s">
        <v>285</v>
      </c>
      <c r="D125" s="15">
        <v>46266.875</v>
      </c>
      <c r="E125" s="15">
        <v>46267.25</v>
      </c>
      <c r="F125" s="14" t="s">
        <v>286</v>
      </c>
    </row>
    <row r="126" spans="1:6" ht="45">
      <c r="A126" s="13" t="s">
        <v>148</v>
      </c>
      <c r="B126" s="13" t="s">
        <v>4</v>
      </c>
      <c r="C126" s="14" t="s">
        <v>149</v>
      </c>
      <c r="D126" s="15">
        <v>46266.833333333299</v>
      </c>
      <c r="E126" s="15">
        <v>46267.25</v>
      </c>
      <c r="F126" s="14" t="s">
        <v>150</v>
      </c>
    </row>
    <row r="127" spans="1:6" ht="45">
      <c r="A127" s="13" t="s">
        <v>177</v>
      </c>
      <c r="B127" s="13" t="s">
        <v>6</v>
      </c>
      <c r="C127" s="14" t="s">
        <v>178</v>
      </c>
      <c r="D127" s="15">
        <v>46237.833333333299</v>
      </c>
      <c r="E127" s="15">
        <v>46326.25</v>
      </c>
      <c r="F127" s="14" t="s">
        <v>179</v>
      </c>
    </row>
    <row r="128" spans="1:6" ht="45">
      <c r="A128" s="13" t="s">
        <v>177</v>
      </c>
      <c r="B128" s="13" t="s">
        <v>2</v>
      </c>
      <c r="C128" s="14" t="s">
        <v>180</v>
      </c>
      <c r="D128" s="15">
        <v>46237.833333333299</v>
      </c>
      <c r="E128" s="15">
        <v>46326.25</v>
      </c>
      <c r="F128" s="14" t="s">
        <v>179</v>
      </c>
    </row>
    <row r="129" spans="1:6" ht="45">
      <c r="A129" s="13" t="s">
        <v>170</v>
      </c>
      <c r="B129" s="13" t="s">
        <v>5</v>
      </c>
      <c r="C129" s="14" t="s">
        <v>171</v>
      </c>
      <c r="D129" s="15">
        <v>46266.833333333299</v>
      </c>
      <c r="E129" s="15">
        <v>46267.25</v>
      </c>
      <c r="F129" s="14" t="s">
        <v>172</v>
      </c>
    </row>
    <row r="130" spans="1:6" ht="45">
      <c r="A130" s="13" t="s">
        <v>170</v>
      </c>
      <c r="B130" s="13" t="s">
        <v>4</v>
      </c>
      <c r="C130" s="14" t="s">
        <v>1241</v>
      </c>
      <c r="D130" s="15">
        <v>46266.833333333299</v>
      </c>
      <c r="E130" s="15">
        <v>46267.25</v>
      </c>
      <c r="F130" s="14" t="s">
        <v>1287</v>
      </c>
    </row>
    <row r="131" spans="1:6" ht="45">
      <c r="A131" s="13" t="s">
        <v>170</v>
      </c>
      <c r="B131" s="13" t="s">
        <v>4</v>
      </c>
      <c r="C131" s="14" t="s">
        <v>1240</v>
      </c>
      <c r="D131" s="15">
        <v>46266.833333333299</v>
      </c>
      <c r="E131" s="15">
        <v>46267.25</v>
      </c>
      <c r="F131" s="14" t="s">
        <v>1287</v>
      </c>
    </row>
    <row r="132" spans="1:6" ht="45">
      <c r="A132" s="13" t="s">
        <v>170</v>
      </c>
      <c r="B132" s="13" t="s">
        <v>4</v>
      </c>
      <c r="C132" s="14" t="s">
        <v>1239</v>
      </c>
      <c r="D132" s="15">
        <v>46266.833333333299</v>
      </c>
      <c r="E132" s="15">
        <v>46267.25</v>
      </c>
      <c r="F132" s="14" t="s">
        <v>1287</v>
      </c>
    </row>
    <row r="133" spans="1:6" ht="45">
      <c r="A133" s="13" t="s">
        <v>1242</v>
      </c>
      <c r="B133" s="13" t="s">
        <v>5</v>
      </c>
      <c r="C133" s="14" t="s">
        <v>1243</v>
      </c>
      <c r="D133" s="15">
        <v>46266.833333333299</v>
      </c>
      <c r="E133" s="15">
        <v>46267.208333333299</v>
      </c>
      <c r="F133" s="14" t="s">
        <v>1286</v>
      </c>
    </row>
    <row r="134" spans="1:6" ht="45">
      <c r="A134" s="13" t="s">
        <v>1242</v>
      </c>
      <c r="B134" s="13" t="s">
        <v>5</v>
      </c>
      <c r="C134" s="14" t="s">
        <v>1244</v>
      </c>
      <c r="D134" s="15">
        <v>46266.833333333299</v>
      </c>
      <c r="E134" s="15">
        <v>46267.208333333299</v>
      </c>
      <c r="F134" s="14" t="s">
        <v>1286</v>
      </c>
    </row>
    <row r="135" spans="1:6" ht="45">
      <c r="A135" s="13" t="s">
        <v>202</v>
      </c>
      <c r="B135" s="13" t="s">
        <v>5</v>
      </c>
      <c r="C135" s="14" t="s">
        <v>203</v>
      </c>
      <c r="D135" s="15">
        <v>46266.833333333299</v>
      </c>
      <c r="E135" s="15">
        <v>46267.25</v>
      </c>
      <c r="F135" s="14" t="s">
        <v>204</v>
      </c>
    </row>
    <row r="136" spans="1:6" ht="45">
      <c r="A136" s="13" t="s">
        <v>202</v>
      </c>
      <c r="B136" s="13" t="s">
        <v>5</v>
      </c>
      <c r="C136" s="14" t="s">
        <v>205</v>
      </c>
      <c r="D136" s="15">
        <v>46266.833333333299</v>
      </c>
      <c r="E136" s="15">
        <v>46267.25</v>
      </c>
      <c r="F136" s="14" t="s">
        <v>204</v>
      </c>
    </row>
    <row r="137" spans="1:6" ht="45">
      <c r="A137" s="13" t="s">
        <v>202</v>
      </c>
      <c r="B137" s="13" t="s">
        <v>5</v>
      </c>
      <c r="C137" s="14" t="s">
        <v>206</v>
      </c>
      <c r="D137" s="15">
        <v>46266.833333333299</v>
      </c>
      <c r="E137" s="15">
        <v>46267.25</v>
      </c>
      <c r="F137" s="14" t="s">
        <v>204</v>
      </c>
    </row>
    <row r="138" spans="1:6" ht="45">
      <c r="A138" s="13" t="s">
        <v>202</v>
      </c>
      <c r="B138" s="13" t="s">
        <v>5</v>
      </c>
      <c r="C138" s="14" t="s">
        <v>207</v>
      </c>
      <c r="D138" s="15">
        <v>46266.833333333299</v>
      </c>
      <c r="E138" s="15">
        <v>46267.25</v>
      </c>
      <c r="F138" s="14" t="s">
        <v>204</v>
      </c>
    </row>
    <row r="139" spans="1:6" ht="45">
      <c r="A139" s="13" t="s">
        <v>202</v>
      </c>
      <c r="B139" s="13" t="s">
        <v>5</v>
      </c>
      <c r="C139" s="14" t="s">
        <v>208</v>
      </c>
      <c r="D139" s="15">
        <v>46266.833333333299</v>
      </c>
      <c r="E139" s="15">
        <v>46267.25</v>
      </c>
      <c r="F139" s="14" t="s">
        <v>204</v>
      </c>
    </row>
    <row r="140" spans="1:6" ht="45">
      <c r="A140" s="13" t="s">
        <v>610</v>
      </c>
      <c r="B140" s="13" t="s">
        <v>2</v>
      </c>
      <c r="C140" s="14" t="s">
        <v>1245</v>
      </c>
      <c r="D140" s="15">
        <v>46266.833333333299</v>
      </c>
      <c r="E140" s="15">
        <v>46267.25</v>
      </c>
      <c r="F140" s="14" t="s">
        <v>312</v>
      </c>
    </row>
    <row r="141" spans="1:6" ht="45">
      <c r="A141" s="13" t="s">
        <v>218</v>
      </c>
      <c r="B141" s="13" t="s">
        <v>5</v>
      </c>
      <c r="C141" s="14" t="s">
        <v>219</v>
      </c>
      <c r="D141" s="15">
        <v>46266.833333333299</v>
      </c>
      <c r="E141" s="15">
        <v>46267.25</v>
      </c>
      <c r="F141" s="14" t="s">
        <v>220</v>
      </c>
    </row>
    <row r="142" spans="1:6" ht="45">
      <c r="A142" s="13" t="s">
        <v>57</v>
      </c>
      <c r="B142" s="13" t="s">
        <v>2</v>
      </c>
      <c r="C142" s="14" t="s">
        <v>58</v>
      </c>
      <c r="D142" s="15">
        <v>46266.916666666701</v>
      </c>
      <c r="E142" s="15">
        <v>46267.208333333299</v>
      </c>
      <c r="F142" s="14" t="s">
        <v>59</v>
      </c>
    </row>
    <row r="143" spans="1:6" ht="45">
      <c r="A143" s="13" t="s">
        <v>57</v>
      </c>
      <c r="B143" s="13" t="s">
        <v>2</v>
      </c>
      <c r="C143" s="14" t="s">
        <v>63</v>
      </c>
      <c r="D143" s="15">
        <v>46266.875</v>
      </c>
      <c r="E143" s="15">
        <v>46267.208333333299</v>
      </c>
      <c r="F143" s="14" t="s">
        <v>64</v>
      </c>
    </row>
    <row r="144" spans="1:6" ht="45">
      <c r="A144" s="13" t="s">
        <v>57</v>
      </c>
      <c r="B144" s="13" t="s">
        <v>6</v>
      </c>
      <c r="C144" s="14" t="s">
        <v>1251</v>
      </c>
      <c r="D144" s="15">
        <v>46266.916666666701</v>
      </c>
      <c r="E144" s="15">
        <v>46267.208333333299</v>
      </c>
      <c r="F144" s="14" t="s">
        <v>1252</v>
      </c>
    </row>
    <row r="145" spans="1:6" ht="45">
      <c r="A145" s="13" t="s">
        <v>57</v>
      </c>
      <c r="B145" s="13" t="s">
        <v>6</v>
      </c>
      <c r="C145" s="14" t="s">
        <v>1246</v>
      </c>
      <c r="D145" s="15">
        <v>46266.833333333299</v>
      </c>
      <c r="E145" s="15">
        <v>46267.25</v>
      </c>
      <c r="F145" s="14" t="s">
        <v>554</v>
      </c>
    </row>
    <row r="146" spans="1:6" ht="45">
      <c r="A146" s="13" t="s">
        <v>57</v>
      </c>
      <c r="B146" s="13" t="s">
        <v>2</v>
      </c>
      <c r="C146" s="14" t="s">
        <v>119</v>
      </c>
      <c r="D146" s="15">
        <v>46266.833333333299</v>
      </c>
      <c r="E146" s="15">
        <v>46267.25</v>
      </c>
      <c r="F146" s="14" t="s">
        <v>120</v>
      </c>
    </row>
    <row r="147" spans="1:6" ht="45">
      <c r="A147" s="13" t="s">
        <v>57</v>
      </c>
      <c r="B147" s="13" t="s">
        <v>2</v>
      </c>
      <c r="C147" s="14" t="s">
        <v>1250</v>
      </c>
      <c r="D147" s="15">
        <v>46266.833333333299</v>
      </c>
      <c r="E147" s="15">
        <v>46267.25</v>
      </c>
      <c r="F147" s="14" t="s">
        <v>1248</v>
      </c>
    </row>
    <row r="148" spans="1:6" ht="45">
      <c r="A148" s="13" t="s">
        <v>57</v>
      </c>
      <c r="B148" s="13" t="s">
        <v>2</v>
      </c>
      <c r="C148" s="14" t="s">
        <v>1247</v>
      </c>
      <c r="D148" s="15">
        <v>46266.833333333299</v>
      </c>
      <c r="E148" s="15">
        <v>46267.25</v>
      </c>
      <c r="F148" s="14" t="s">
        <v>1248</v>
      </c>
    </row>
    <row r="149" spans="1:6" ht="45">
      <c r="A149" s="13" t="s">
        <v>57</v>
      </c>
      <c r="B149" s="13" t="s">
        <v>2</v>
      </c>
      <c r="C149" s="14" t="s">
        <v>1249</v>
      </c>
      <c r="D149" s="15">
        <v>46266.833333333299</v>
      </c>
      <c r="E149" s="15">
        <v>46267.25</v>
      </c>
      <c r="F149" s="14" t="s">
        <v>1248</v>
      </c>
    </row>
    <row r="150" spans="1:6" ht="45">
      <c r="A150" s="13" t="s">
        <v>26</v>
      </c>
      <c r="B150" s="13" t="s">
        <v>2</v>
      </c>
      <c r="C150" s="14" t="s">
        <v>27</v>
      </c>
      <c r="D150" s="15">
        <v>46266.875</v>
      </c>
      <c r="E150" s="15">
        <v>46267.208333333299</v>
      </c>
      <c r="F150" s="14" t="s">
        <v>28</v>
      </c>
    </row>
    <row r="151" spans="1:6" ht="45">
      <c r="A151" s="13" t="s">
        <v>26</v>
      </c>
      <c r="B151" s="13" t="s">
        <v>6</v>
      </c>
      <c r="C151" s="14" t="s">
        <v>50</v>
      </c>
      <c r="D151" s="15">
        <v>46266.875</v>
      </c>
      <c r="E151" s="15">
        <v>46267.208333333299</v>
      </c>
      <c r="F151" s="14" t="s">
        <v>51</v>
      </c>
    </row>
    <row r="152" spans="1:6" ht="45">
      <c r="A152" s="13" t="s">
        <v>145</v>
      </c>
      <c r="B152" s="13" t="s">
        <v>6</v>
      </c>
      <c r="C152" s="14" t="s">
        <v>157</v>
      </c>
      <c r="D152" s="15">
        <v>46266.833333333299</v>
      </c>
      <c r="E152" s="15">
        <v>46267.25</v>
      </c>
      <c r="F152" s="14" t="s">
        <v>155</v>
      </c>
    </row>
    <row r="153" spans="1:6" ht="45">
      <c r="A153" s="13" t="s">
        <v>145</v>
      </c>
      <c r="B153" s="13" t="s">
        <v>6</v>
      </c>
      <c r="C153" s="14" t="s">
        <v>158</v>
      </c>
      <c r="D153" s="15">
        <v>46266.833333333299</v>
      </c>
      <c r="E153" s="15">
        <v>46267.25</v>
      </c>
      <c r="F153" s="14" t="s">
        <v>155</v>
      </c>
    </row>
    <row r="154" spans="1:6" ht="45">
      <c r="A154" s="13" t="s">
        <v>137</v>
      </c>
      <c r="B154" s="13" t="s">
        <v>4</v>
      </c>
      <c r="C154" s="14" t="s">
        <v>138</v>
      </c>
      <c r="D154" s="15">
        <v>46266.833333333299</v>
      </c>
      <c r="E154" s="15">
        <v>46267.25</v>
      </c>
      <c r="F154" s="14" t="s">
        <v>139</v>
      </c>
    </row>
    <row r="155" spans="1:6" ht="45">
      <c r="A155" s="13" t="s">
        <v>137</v>
      </c>
      <c r="B155" s="13" t="s">
        <v>4</v>
      </c>
      <c r="C155" s="14" t="s">
        <v>140</v>
      </c>
      <c r="D155" s="15">
        <v>46266.833333333299</v>
      </c>
      <c r="E155" s="15">
        <v>46267.25</v>
      </c>
      <c r="F155" s="14" t="s">
        <v>139</v>
      </c>
    </row>
    <row r="156" spans="1:6" ht="45">
      <c r="A156" s="13" t="s">
        <v>137</v>
      </c>
      <c r="B156" s="13" t="s">
        <v>4</v>
      </c>
      <c r="C156" s="14" t="s">
        <v>141</v>
      </c>
      <c r="D156" s="15">
        <v>46266.833333333299</v>
      </c>
      <c r="E156" s="15">
        <v>46267.25</v>
      </c>
      <c r="F156" s="14" t="s">
        <v>139</v>
      </c>
    </row>
    <row r="157" spans="1:6" ht="45">
      <c r="A157" s="13" t="s">
        <v>763</v>
      </c>
      <c r="B157" s="13" t="s">
        <v>5</v>
      </c>
      <c r="C157" s="14" t="s">
        <v>1255</v>
      </c>
      <c r="D157" s="15">
        <v>46266.833333333299</v>
      </c>
      <c r="E157" s="15">
        <v>46267.25</v>
      </c>
      <c r="F157" s="14" t="s">
        <v>1254</v>
      </c>
    </row>
    <row r="158" spans="1:6" ht="45">
      <c r="A158" s="13" t="s">
        <v>763</v>
      </c>
      <c r="B158" s="13" t="s">
        <v>5</v>
      </c>
      <c r="C158" s="14" t="s">
        <v>1253</v>
      </c>
      <c r="D158" s="15">
        <v>46266.833333333299</v>
      </c>
      <c r="E158" s="15">
        <v>46267.25</v>
      </c>
      <c r="F158" s="14" t="s">
        <v>1254</v>
      </c>
    </row>
    <row r="159" spans="1:6" ht="45">
      <c r="A159" s="13" t="s">
        <v>389</v>
      </c>
      <c r="B159" s="13" t="s">
        <v>4</v>
      </c>
      <c r="C159" s="14" t="s">
        <v>390</v>
      </c>
      <c r="D159" s="15">
        <v>46266.833333333299</v>
      </c>
      <c r="E159" s="15">
        <v>46267.25</v>
      </c>
      <c r="F159" s="14" t="s">
        <v>391</v>
      </c>
    </row>
    <row r="160" spans="1:6" ht="45">
      <c r="A160" s="13" t="s">
        <v>389</v>
      </c>
      <c r="B160" s="13" t="s">
        <v>5</v>
      </c>
      <c r="C160" s="14" t="s">
        <v>1256</v>
      </c>
      <c r="D160" s="15">
        <v>46266.916666666701</v>
      </c>
      <c r="E160" s="15">
        <v>46267.229166666701</v>
      </c>
      <c r="F160" s="14" t="s">
        <v>1257</v>
      </c>
    </row>
    <row r="161" spans="1:6" ht="45">
      <c r="A161" s="13" t="s">
        <v>415</v>
      </c>
      <c r="B161" s="13" t="s">
        <v>4</v>
      </c>
      <c r="C161" s="14" t="s">
        <v>416</v>
      </c>
      <c r="D161" s="15">
        <v>46266.916666666701</v>
      </c>
      <c r="E161" s="15">
        <v>46267.229166666701</v>
      </c>
      <c r="F161" s="14" t="s">
        <v>414</v>
      </c>
    </row>
    <row r="162" spans="1:6" ht="45">
      <c r="A162" s="13" t="s">
        <v>415</v>
      </c>
      <c r="B162" s="13" t="s">
        <v>4</v>
      </c>
      <c r="C162" s="14" t="s">
        <v>417</v>
      </c>
      <c r="D162" s="15">
        <v>46266.916666666701</v>
      </c>
      <c r="E162" s="15">
        <v>46267.229166666701</v>
      </c>
      <c r="F162" s="14" t="s">
        <v>414</v>
      </c>
    </row>
    <row r="163" spans="1:6" ht="45">
      <c r="A163" s="13" t="s">
        <v>415</v>
      </c>
      <c r="B163" s="13" t="s">
        <v>7</v>
      </c>
      <c r="C163" s="14" t="s">
        <v>427</v>
      </c>
      <c r="D163" s="15">
        <v>46266.916666666701</v>
      </c>
      <c r="E163" s="15">
        <v>46267.229166666701</v>
      </c>
      <c r="F163" s="14" t="s">
        <v>428</v>
      </c>
    </row>
    <row r="164" spans="1:6" ht="45">
      <c r="A164" s="13" t="s">
        <v>415</v>
      </c>
      <c r="B164" s="13" t="s">
        <v>8</v>
      </c>
      <c r="C164" s="14" t="s">
        <v>429</v>
      </c>
      <c r="D164" s="15">
        <v>46266.916666666701</v>
      </c>
      <c r="E164" s="15">
        <v>46267.229166666701</v>
      </c>
      <c r="F164" s="14" t="s">
        <v>430</v>
      </c>
    </row>
    <row r="165" spans="1:6" ht="45">
      <c r="A165" s="13" t="s">
        <v>415</v>
      </c>
      <c r="B165" s="13" t="s">
        <v>2</v>
      </c>
      <c r="C165" s="14" t="s">
        <v>448</v>
      </c>
      <c r="D165" s="15">
        <v>46266.916666666701</v>
      </c>
      <c r="E165" s="15">
        <v>46267.229166666701</v>
      </c>
      <c r="F165" s="14" t="s">
        <v>449</v>
      </c>
    </row>
    <row r="166" spans="1:6" ht="45">
      <c r="A166" s="13" t="s">
        <v>415</v>
      </c>
      <c r="B166" s="13" t="s">
        <v>7</v>
      </c>
      <c r="C166" s="14" t="s">
        <v>1258</v>
      </c>
      <c r="D166" s="15">
        <v>46266.916666666701</v>
      </c>
      <c r="E166" s="15">
        <v>46267.229166666701</v>
      </c>
      <c r="F166" s="14" t="s">
        <v>1259</v>
      </c>
    </row>
    <row r="167" spans="1:6" ht="45">
      <c r="A167" s="13" t="s">
        <v>333</v>
      </c>
      <c r="B167" s="13" t="s">
        <v>5</v>
      </c>
      <c r="C167" s="14" t="s">
        <v>334</v>
      </c>
      <c r="D167" s="15">
        <v>46266.875</v>
      </c>
      <c r="E167" s="15">
        <v>46267.25</v>
      </c>
      <c r="F167" s="14" t="s">
        <v>335</v>
      </c>
    </row>
    <row r="168" spans="1:6" ht="45">
      <c r="A168" s="13" t="s">
        <v>333</v>
      </c>
      <c r="B168" s="13" t="s">
        <v>4</v>
      </c>
      <c r="C168" s="14" t="s">
        <v>363</v>
      </c>
      <c r="D168" s="15">
        <v>46266.958333333299</v>
      </c>
      <c r="E168" s="15">
        <v>46267.25</v>
      </c>
      <c r="F168" s="14" t="s">
        <v>364</v>
      </c>
    </row>
    <row r="169" spans="1:6" ht="45">
      <c r="A169" s="13" t="s">
        <v>333</v>
      </c>
      <c r="B169" s="13" t="s">
        <v>5</v>
      </c>
      <c r="C169" s="14" t="s">
        <v>375</v>
      </c>
      <c r="D169" s="15">
        <v>46266.875</v>
      </c>
      <c r="E169" s="15">
        <v>46267.25</v>
      </c>
      <c r="F169" s="14" t="s">
        <v>373</v>
      </c>
    </row>
    <row r="170" spans="1:6" ht="45">
      <c r="A170" s="13" t="s">
        <v>365</v>
      </c>
      <c r="B170" s="13" t="s">
        <v>6</v>
      </c>
      <c r="C170" s="14" t="s">
        <v>366</v>
      </c>
      <c r="D170" s="15">
        <v>46266.958333333299</v>
      </c>
      <c r="E170" s="15">
        <v>46267.25</v>
      </c>
      <c r="F170" s="14" t="s">
        <v>364</v>
      </c>
    </row>
    <row r="171" spans="1:6" ht="60">
      <c r="A171" s="13" t="s">
        <v>327</v>
      </c>
      <c r="B171" s="13" t="s">
        <v>2</v>
      </c>
      <c r="C171" s="14" t="s">
        <v>328</v>
      </c>
      <c r="D171" s="15">
        <v>46237.25</v>
      </c>
      <c r="E171" s="15">
        <v>46692.25</v>
      </c>
      <c r="F171" s="14" t="s">
        <v>329</v>
      </c>
    </row>
    <row r="172" spans="1:6" ht="45">
      <c r="A172" s="13" t="s">
        <v>327</v>
      </c>
      <c r="B172" s="13" t="s">
        <v>2</v>
      </c>
      <c r="C172" s="14" t="s">
        <v>352</v>
      </c>
      <c r="D172" s="15">
        <v>46266.875</v>
      </c>
      <c r="E172" s="15">
        <v>46267.25</v>
      </c>
      <c r="F172" s="14" t="s">
        <v>353</v>
      </c>
    </row>
    <row r="173" spans="1:6" ht="30">
      <c r="A173" s="13" t="s">
        <v>327</v>
      </c>
      <c r="B173" s="13" t="s">
        <v>2</v>
      </c>
      <c r="C173" s="14" t="s">
        <v>362</v>
      </c>
      <c r="D173" s="15">
        <v>46266.875</v>
      </c>
      <c r="E173" s="15">
        <v>46267.25</v>
      </c>
      <c r="F173" s="14" t="s">
        <v>361</v>
      </c>
    </row>
    <row r="174" spans="1:6" ht="45">
      <c r="A174" s="13" t="s">
        <v>327</v>
      </c>
      <c r="B174" s="13" t="s">
        <v>4</v>
      </c>
      <c r="C174" s="14" t="s">
        <v>413</v>
      </c>
      <c r="D174" s="15">
        <v>46266.916666666701</v>
      </c>
      <c r="E174" s="15">
        <v>46267.229166666701</v>
      </c>
      <c r="F174" s="14" t="s">
        <v>414</v>
      </c>
    </row>
    <row r="175" spans="1:6" ht="45">
      <c r="A175" s="13" t="s">
        <v>354</v>
      </c>
      <c r="B175" s="13" t="s">
        <v>4</v>
      </c>
      <c r="C175" s="14" t="s">
        <v>1264</v>
      </c>
      <c r="D175" s="15">
        <v>46266.875</v>
      </c>
      <c r="E175" s="15">
        <v>46267.25</v>
      </c>
      <c r="F175" s="14" t="s">
        <v>1265</v>
      </c>
    </row>
    <row r="176" spans="1:6" ht="30">
      <c r="A176" s="13" t="s">
        <v>354</v>
      </c>
      <c r="B176" s="13" t="s">
        <v>4</v>
      </c>
      <c r="C176" s="14" t="s">
        <v>1260</v>
      </c>
      <c r="D176" s="15">
        <v>46266.916666666701</v>
      </c>
      <c r="E176" s="15">
        <v>46267.229166666701</v>
      </c>
      <c r="F176" s="14" t="s">
        <v>1261</v>
      </c>
    </row>
    <row r="177" spans="1:6" ht="45">
      <c r="A177" s="13" t="s">
        <v>354</v>
      </c>
      <c r="B177" s="13" t="s">
        <v>2</v>
      </c>
      <c r="C177" s="14" t="s">
        <v>1262</v>
      </c>
      <c r="D177" s="15">
        <v>46266.875</v>
      </c>
      <c r="E177" s="15">
        <v>46267.25</v>
      </c>
      <c r="F177" s="14" t="s">
        <v>1263</v>
      </c>
    </row>
    <row r="178" spans="1:6" ht="45">
      <c r="A178" s="13" t="s">
        <v>78</v>
      </c>
      <c r="B178" s="13" t="s">
        <v>2</v>
      </c>
      <c r="C178" s="14" t="s">
        <v>79</v>
      </c>
      <c r="D178" s="15">
        <v>46266.927083333299</v>
      </c>
      <c r="E178" s="15">
        <v>46267.25</v>
      </c>
      <c r="F178" s="14" t="s">
        <v>80</v>
      </c>
    </row>
    <row r="179" spans="1:6" ht="45">
      <c r="A179" s="13" t="s">
        <v>78</v>
      </c>
      <c r="B179" s="13" t="s">
        <v>2</v>
      </c>
      <c r="C179" s="14" t="s">
        <v>81</v>
      </c>
      <c r="D179" s="15">
        <v>46266.927083333299</v>
      </c>
      <c r="E179" s="15">
        <v>46267.25</v>
      </c>
      <c r="F179" s="14" t="s">
        <v>80</v>
      </c>
    </row>
    <row r="180" spans="1:6" ht="60">
      <c r="A180" s="13" t="s">
        <v>78</v>
      </c>
      <c r="B180" s="13" t="s">
        <v>2</v>
      </c>
      <c r="C180" s="14" t="s">
        <v>82</v>
      </c>
      <c r="D180" s="15">
        <v>46266.927083333299</v>
      </c>
      <c r="E180" s="15">
        <v>46267.25</v>
      </c>
      <c r="F180" s="14" t="s">
        <v>80</v>
      </c>
    </row>
    <row r="181" spans="1:6" ht="30">
      <c r="A181" s="13" t="s">
        <v>78</v>
      </c>
      <c r="B181" s="13" t="s">
        <v>6</v>
      </c>
      <c r="C181" s="14" t="s">
        <v>83</v>
      </c>
      <c r="D181" s="15">
        <v>46266.927083333299</v>
      </c>
      <c r="E181" s="15">
        <v>46267.25</v>
      </c>
      <c r="F181" s="14" t="s">
        <v>84</v>
      </c>
    </row>
    <row r="182" spans="1:6" ht="60">
      <c r="A182" s="13" t="s">
        <v>78</v>
      </c>
      <c r="B182" s="13" t="s">
        <v>6</v>
      </c>
      <c r="C182" s="14" t="s">
        <v>85</v>
      </c>
      <c r="D182" s="15">
        <v>46266.927083333299</v>
      </c>
      <c r="E182" s="15">
        <v>46267.25</v>
      </c>
      <c r="F182" s="14" t="s">
        <v>84</v>
      </c>
    </row>
    <row r="183" spans="1:6" ht="60">
      <c r="A183" s="13" t="s">
        <v>78</v>
      </c>
      <c r="B183" s="13" t="s">
        <v>6</v>
      </c>
      <c r="C183" s="14" t="s">
        <v>1267</v>
      </c>
      <c r="D183" s="15">
        <v>46266.958333333299</v>
      </c>
      <c r="E183" s="15">
        <v>46267.208333333299</v>
      </c>
      <c r="F183" s="14" t="s">
        <v>1285</v>
      </c>
    </row>
    <row r="184" spans="1:6" ht="60">
      <c r="A184" s="13" t="s">
        <v>78</v>
      </c>
      <c r="B184" s="13" t="s">
        <v>6</v>
      </c>
      <c r="C184" s="14" t="s">
        <v>1266</v>
      </c>
      <c r="D184" s="15">
        <v>46266.958333333299</v>
      </c>
      <c r="E184" s="15">
        <v>46267.208333333299</v>
      </c>
      <c r="F184" s="14" t="s">
        <v>1285</v>
      </c>
    </row>
    <row r="185" spans="1:6" ht="60">
      <c r="A185" s="13" t="s">
        <v>503</v>
      </c>
      <c r="B185" s="13" t="s">
        <v>6</v>
      </c>
      <c r="C185" s="14" t="s">
        <v>1268</v>
      </c>
      <c r="D185" s="15">
        <v>46266.875</v>
      </c>
      <c r="E185" s="15">
        <v>46267.125</v>
      </c>
      <c r="F185" s="14" t="s">
        <v>1269</v>
      </c>
    </row>
    <row r="186" spans="1:6" ht="45">
      <c r="A186" s="13" t="s">
        <v>90</v>
      </c>
      <c r="B186" s="13" t="s">
        <v>5</v>
      </c>
      <c r="C186" s="14" t="s">
        <v>91</v>
      </c>
      <c r="D186" s="15">
        <v>46266.833333333299</v>
      </c>
      <c r="E186" s="15">
        <v>46267.25</v>
      </c>
      <c r="F186" s="14" t="s">
        <v>92</v>
      </c>
    </row>
    <row r="187" spans="1:6" ht="30">
      <c r="A187" s="13" t="s">
        <v>470</v>
      </c>
      <c r="B187" s="13" t="s">
        <v>2</v>
      </c>
      <c r="C187" s="14" t="s">
        <v>1270</v>
      </c>
      <c r="D187" s="15">
        <v>46266.875</v>
      </c>
      <c r="E187" s="15">
        <v>46267.25</v>
      </c>
      <c r="F187" s="14" t="s">
        <v>1271</v>
      </c>
    </row>
    <row r="188" spans="1:6" ht="30">
      <c r="A188" s="13" t="s">
        <v>470</v>
      </c>
      <c r="B188" s="13" t="s">
        <v>2</v>
      </c>
      <c r="C188" s="14" t="s">
        <v>1272</v>
      </c>
      <c r="D188" s="15">
        <v>46266.875</v>
      </c>
      <c r="E188" s="15">
        <v>46267.25</v>
      </c>
      <c r="F188" s="14" t="s">
        <v>1271</v>
      </c>
    </row>
    <row r="189" spans="1:6" ht="45">
      <c r="A189" s="13" t="s">
        <v>470</v>
      </c>
      <c r="B189" s="13" t="s">
        <v>6</v>
      </c>
      <c r="C189" s="14" t="s">
        <v>481</v>
      </c>
      <c r="D189" s="15">
        <v>46266.916666666701</v>
      </c>
      <c r="E189" s="15">
        <v>46267.25</v>
      </c>
      <c r="F189" s="14" t="s">
        <v>480</v>
      </c>
    </row>
    <row r="190" spans="1:6" ht="45">
      <c r="A190" s="13" t="s">
        <v>470</v>
      </c>
      <c r="B190" s="13" t="s">
        <v>6</v>
      </c>
      <c r="C190" s="14" t="s">
        <v>482</v>
      </c>
      <c r="D190" s="15">
        <v>46266.916666666701</v>
      </c>
      <c r="E190" s="15">
        <v>46267.25</v>
      </c>
      <c r="F190" s="14" t="s">
        <v>480</v>
      </c>
    </row>
    <row r="191" spans="1:6" ht="45">
      <c r="A191" s="13" t="s">
        <v>240</v>
      </c>
      <c r="B191" s="13" t="s">
        <v>2</v>
      </c>
      <c r="C191" s="14" t="s">
        <v>1274</v>
      </c>
      <c r="D191" s="15">
        <v>46266.833333333299</v>
      </c>
      <c r="E191" s="15">
        <v>46267.25</v>
      </c>
      <c r="F191" s="14" t="s">
        <v>1289</v>
      </c>
    </row>
    <row r="192" spans="1:6" ht="45">
      <c r="A192" s="13" t="s">
        <v>240</v>
      </c>
      <c r="B192" s="13" t="s">
        <v>2</v>
      </c>
      <c r="C192" s="14" t="s">
        <v>1273</v>
      </c>
      <c r="D192" s="15">
        <v>46266.833333333299</v>
      </c>
      <c r="E192" s="15">
        <v>46267.25</v>
      </c>
      <c r="F192" s="14" t="s">
        <v>1289</v>
      </c>
    </row>
    <row r="193" spans="1:6" ht="45">
      <c r="A193" s="13" t="s">
        <v>240</v>
      </c>
      <c r="B193" s="13" t="s">
        <v>2</v>
      </c>
      <c r="C193" s="14" t="s">
        <v>1278</v>
      </c>
      <c r="D193" s="15">
        <v>46266.833333333299</v>
      </c>
      <c r="E193" s="15">
        <v>46267.25</v>
      </c>
      <c r="F193" s="14" t="s">
        <v>1289</v>
      </c>
    </row>
    <row r="194" spans="1:6" ht="45">
      <c r="A194" s="13" t="s">
        <v>240</v>
      </c>
      <c r="B194" s="13" t="s">
        <v>2</v>
      </c>
      <c r="C194" s="14" t="s">
        <v>1277</v>
      </c>
      <c r="D194" s="15">
        <v>46266.833333333299</v>
      </c>
      <c r="E194" s="15">
        <v>46267.25</v>
      </c>
      <c r="F194" s="14" t="s">
        <v>1289</v>
      </c>
    </row>
    <row r="195" spans="1:6" ht="45">
      <c r="A195" s="13" t="s">
        <v>240</v>
      </c>
      <c r="B195" s="13" t="s">
        <v>2</v>
      </c>
      <c r="C195" s="14" t="s">
        <v>1276</v>
      </c>
      <c r="D195" s="15">
        <v>46266.833333333299</v>
      </c>
      <c r="E195" s="15">
        <v>46267.25</v>
      </c>
      <c r="F195" s="14" t="s">
        <v>1289</v>
      </c>
    </row>
    <row r="196" spans="1:6" ht="45">
      <c r="A196" s="13" t="s">
        <v>240</v>
      </c>
      <c r="B196" s="13" t="s">
        <v>2</v>
      </c>
      <c r="C196" s="14" t="s">
        <v>1275</v>
      </c>
      <c r="D196" s="15">
        <v>46266.833333333299</v>
      </c>
      <c r="E196" s="15">
        <v>46267.25</v>
      </c>
      <c r="F196" s="14" t="s">
        <v>1289</v>
      </c>
    </row>
    <row r="197" spans="1:6" ht="45">
      <c r="A197" s="13" t="s">
        <v>245</v>
      </c>
      <c r="B197" s="13" t="s">
        <v>2</v>
      </c>
      <c r="C197" s="14" t="s">
        <v>250</v>
      </c>
      <c r="D197" s="15">
        <v>46266.833333333299</v>
      </c>
      <c r="E197" s="15">
        <v>46267.25</v>
      </c>
      <c r="F197" s="14" t="s">
        <v>1289</v>
      </c>
    </row>
    <row r="198" spans="1:6" ht="30">
      <c r="A198" s="13" t="s">
        <v>245</v>
      </c>
      <c r="B198" s="13" t="s">
        <v>4</v>
      </c>
      <c r="C198" s="14" t="s">
        <v>257</v>
      </c>
      <c r="D198" s="15">
        <v>46266.875</v>
      </c>
      <c r="E198" s="15">
        <v>46267.25</v>
      </c>
      <c r="F198" s="14" t="s">
        <v>247</v>
      </c>
    </row>
    <row r="199" spans="1:6" ht="30">
      <c r="A199" s="13" t="s">
        <v>245</v>
      </c>
      <c r="B199" s="13" t="s">
        <v>5</v>
      </c>
      <c r="C199" s="14" t="s">
        <v>591</v>
      </c>
      <c r="D199" s="15">
        <v>46266.875</v>
      </c>
      <c r="E199" s="15">
        <v>46267.25</v>
      </c>
      <c r="F199" s="14" t="s">
        <v>247</v>
      </c>
    </row>
    <row r="200" spans="1:6" ht="45">
      <c r="A200" s="13" t="s">
        <v>245</v>
      </c>
      <c r="B200" s="13" t="s">
        <v>4</v>
      </c>
      <c r="C200" s="14" t="s">
        <v>590</v>
      </c>
      <c r="D200" s="15">
        <v>46266.875</v>
      </c>
      <c r="E200" s="15">
        <v>46267.25</v>
      </c>
      <c r="F200" s="14" t="s">
        <v>247</v>
      </c>
    </row>
    <row r="201" spans="1:6" ht="45">
      <c r="A201" s="13" t="s">
        <v>245</v>
      </c>
      <c r="B201" s="13" t="s">
        <v>5</v>
      </c>
      <c r="C201" s="14" t="s">
        <v>282</v>
      </c>
      <c r="D201" s="15">
        <v>46266.916666666701</v>
      </c>
      <c r="E201" s="15">
        <v>46267.25</v>
      </c>
      <c r="F201" s="14" t="s">
        <v>283</v>
      </c>
    </row>
    <row r="202" spans="1:6" ht="45">
      <c r="A202" s="13" t="s">
        <v>234</v>
      </c>
      <c r="B202" s="13" t="s">
        <v>6</v>
      </c>
      <c r="C202" s="14" t="s">
        <v>235</v>
      </c>
      <c r="D202" s="15">
        <v>45804.208333333299</v>
      </c>
      <c r="E202" s="15">
        <v>46418.208333333299</v>
      </c>
      <c r="F202" s="14" t="s">
        <v>236</v>
      </c>
    </row>
    <row r="203" spans="1:6" ht="45">
      <c r="A203" s="13" t="s">
        <v>234</v>
      </c>
      <c r="B203" s="13" t="s">
        <v>6</v>
      </c>
      <c r="C203" s="14" t="s">
        <v>300</v>
      </c>
      <c r="D203" s="15">
        <v>46266.875</v>
      </c>
      <c r="E203" s="15">
        <v>46267.25</v>
      </c>
      <c r="F203" s="14" t="s">
        <v>298</v>
      </c>
    </row>
    <row r="204" spans="1:6" ht="45">
      <c r="A204" s="13" t="s">
        <v>234</v>
      </c>
      <c r="B204" s="13" t="s">
        <v>6</v>
      </c>
      <c r="C204" s="14" t="s">
        <v>301</v>
      </c>
      <c r="D204" s="15">
        <v>46266.875</v>
      </c>
      <c r="E204" s="15">
        <v>46267.25</v>
      </c>
      <c r="F204" s="14" t="s">
        <v>298</v>
      </c>
    </row>
    <row r="205" spans="1:6" ht="45">
      <c r="A205" s="13" t="s">
        <v>296</v>
      </c>
      <c r="B205" s="13" t="s">
        <v>5</v>
      </c>
      <c r="C205" s="14" t="s">
        <v>297</v>
      </c>
      <c r="D205" s="15">
        <v>46266.875</v>
      </c>
      <c r="E205" s="15">
        <v>46267.208333333299</v>
      </c>
      <c r="F205" s="14" t="s">
        <v>298</v>
      </c>
    </row>
    <row r="206" spans="1:6" ht="45">
      <c r="A206" s="13" t="s">
        <v>296</v>
      </c>
      <c r="B206" s="13" t="s">
        <v>5</v>
      </c>
      <c r="C206" s="14" t="s">
        <v>299</v>
      </c>
      <c r="D206" s="15">
        <v>46266.875</v>
      </c>
      <c r="E206" s="15">
        <v>46267.208333333299</v>
      </c>
      <c r="F206" s="14" t="s">
        <v>298</v>
      </c>
    </row>
    <row r="207" spans="1:6" ht="75">
      <c r="A207" s="13" t="s">
        <v>105</v>
      </c>
      <c r="B207" s="13" t="s">
        <v>6</v>
      </c>
      <c r="C207" s="14" t="s">
        <v>106</v>
      </c>
      <c r="D207" s="15">
        <v>46266.833333333299</v>
      </c>
      <c r="E207" s="15">
        <v>46267.25</v>
      </c>
      <c r="F207" s="14" t="s">
        <v>107</v>
      </c>
    </row>
    <row r="208" spans="1:6" ht="75">
      <c r="A208" s="13" t="s">
        <v>105</v>
      </c>
      <c r="B208" s="13" t="s">
        <v>6</v>
      </c>
      <c r="C208" s="14" t="s">
        <v>268</v>
      </c>
      <c r="D208" s="15">
        <v>46266.875</v>
      </c>
      <c r="E208" s="15">
        <v>46267.208333333299</v>
      </c>
      <c r="F208" s="14" t="s">
        <v>269</v>
      </c>
    </row>
    <row r="209" spans="1:6" ht="75">
      <c r="A209" s="13" t="s">
        <v>105</v>
      </c>
      <c r="B209" s="13" t="s">
        <v>6</v>
      </c>
      <c r="C209" s="14" t="s">
        <v>270</v>
      </c>
      <c r="D209" s="15">
        <v>46266.875</v>
      </c>
      <c r="E209" s="15">
        <v>46267.208333333299</v>
      </c>
      <c r="F209" s="14" t="s">
        <v>269</v>
      </c>
    </row>
    <row r="210" spans="1:6" ht="60">
      <c r="A210" s="13" t="s">
        <v>105</v>
      </c>
      <c r="B210" s="13" t="s">
        <v>6</v>
      </c>
      <c r="C210" s="14" t="s">
        <v>302</v>
      </c>
      <c r="D210" s="15">
        <v>46266.916666666701</v>
      </c>
      <c r="E210" s="15">
        <v>46267.25</v>
      </c>
      <c r="F210" s="14" t="s">
        <v>303</v>
      </c>
    </row>
    <row r="211" spans="1:6" ht="60">
      <c r="A211" s="13" t="s">
        <v>105</v>
      </c>
      <c r="B211" s="13" t="s">
        <v>6</v>
      </c>
      <c r="C211" s="14" t="s">
        <v>304</v>
      </c>
      <c r="D211" s="15">
        <v>46266.916666666701</v>
      </c>
      <c r="E211" s="15">
        <v>46267.25</v>
      </c>
      <c r="F211" s="14" t="s">
        <v>303</v>
      </c>
    </row>
    <row r="212" spans="1:6" ht="75">
      <c r="A212" s="13" t="s">
        <v>105</v>
      </c>
      <c r="B212" s="13" t="s">
        <v>2</v>
      </c>
      <c r="C212" s="14" t="s">
        <v>1281</v>
      </c>
      <c r="D212" s="15">
        <v>46266.875</v>
      </c>
      <c r="E212" s="15">
        <v>46267.25</v>
      </c>
      <c r="F212" s="14" t="s">
        <v>1291</v>
      </c>
    </row>
    <row r="213" spans="1:6" ht="60">
      <c r="A213" s="13" t="s">
        <v>105</v>
      </c>
      <c r="B213" s="13" t="s">
        <v>2</v>
      </c>
      <c r="C213" s="14" t="s">
        <v>1280</v>
      </c>
      <c r="D213" s="15">
        <v>46266.875</v>
      </c>
      <c r="E213" s="15">
        <v>46267.25</v>
      </c>
      <c r="F213" s="14" t="s">
        <v>1291</v>
      </c>
    </row>
    <row r="214" spans="1:6" ht="45">
      <c r="A214" s="13" t="s">
        <v>105</v>
      </c>
      <c r="B214" s="13" t="s">
        <v>2</v>
      </c>
      <c r="C214" s="14" t="s">
        <v>1279</v>
      </c>
      <c r="D214" s="15">
        <v>46266.875</v>
      </c>
      <c r="E214" s="15">
        <v>46267.25</v>
      </c>
      <c r="F214" s="14" t="s">
        <v>1291</v>
      </c>
    </row>
    <row r="215" spans="1:6" ht="75">
      <c r="A215" s="13" t="s">
        <v>105</v>
      </c>
      <c r="B215" s="13" t="s">
        <v>2</v>
      </c>
      <c r="C215" s="14" t="s">
        <v>512</v>
      </c>
      <c r="D215" s="15">
        <v>46266.875</v>
      </c>
      <c r="E215" s="15">
        <v>46267.25</v>
      </c>
      <c r="F215" s="14" t="s">
        <v>513</v>
      </c>
    </row>
    <row r="216" spans="1:6" ht="75">
      <c r="A216" s="13" t="s">
        <v>271</v>
      </c>
      <c r="B216" s="13" t="s">
        <v>8</v>
      </c>
      <c r="C216" s="14" t="s">
        <v>272</v>
      </c>
      <c r="D216" s="15">
        <v>46266.999305555597</v>
      </c>
      <c r="E216" s="15">
        <v>46267.25</v>
      </c>
      <c r="F216" s="14" t="s">
        <v>273</v>
      </c>
    </row>
    <row r="217" spans="1:6" ht="90">
      <c r="A217" s="13" t="s">
        <v>271</v>
      </c>
      <c r="B217" s="13" t="s">
        <v>7</v>
      </c>
      <c r="C217" s="14" t="s">
        <v>274</v>
      </c>
      <c r="D217" s="15">
        <v>46266.999305555597</v>
      </c>
      <c r="E217" s="15">
        <v>46267.25</v>
      </c>
      <c r="F217" s="14" t="s">
        <v>273</v>
      </c>
    </row>
    <row r="218" spans="1:6" ht="120">
      <c r="A218" s="13" t="s">
        <v>271</v>
      </c>
      <c r="B218" s="13" t="s">
        <v>7</v>
      </c>
      <c r="C218" s="14" t="s">
        <v>314</v>
      </c>
      <c r="D218" s="15">
        <v>46266.875</v>
      </c>
      <c r="E218" s="15">
        <v>46267.25</v>
      </c>
      <c r="F218" s="14" t="s">
        <v>315</v>
      </c>
    </row>
    <row r="219" spans="1:6" ht="120">
      <c r="A219" s="13" t="s">
        <v>271</v>
      </c>
      <c r="B219" s="13" t="s">
        <v>7</v>
      </c>
      <c r="C219" s="14" t="s">
        <v>316</v>
      </c>
      <c r="D219" s="15">
        <v>46266.875</v>
      </c>
      <c r="E219" s="15">
        <v>46267.25</v>
      </c>
      <c r="F219" s="14" t="s">
        <v>315</v>
      </c>
    </row>
    <row r="220" spans="1:6" ht="45">
      <c r="A220" s="13" t="s">
        <v>271</v>
      </c>
      <c r="B220" s="13" t="s">
        <v>2</v>
      </c>
      <c r="C220" s="14" t="s">
        <v>319</v>
      </c>
      <c r="D220" s="15">
        <v>46266.875</v>
      </c>
      <c r="E220" s="15">
        <v>46267.25</v>
      </c>
      <c r="F220" s="14" t="s">
        <v>315</v>
      </c>
    </row>
    <row r="221" spans="1:6" ht="60">
      <c r="A221" s="13" t="s">
        <v>271</v>
      </c>
      <c r="B221" s="13" t="s">
        <v>7</v>
      </c>
      <c r="C221" s="14" t="s">
        <v>1284</v>
      </c>
      <c r="D221" s="15">
        <v>46266.875</v>
      </c>
      <c r="E221" s="15">
        <v>46267.25</v>
      </c>
      <c r="F221" s="14" t="s">
        <v>1283</v>
      </c>
    </row>
    <row r="222" spans="1:6" ht="75">
      <c r="A222" s="13" t="s">
        <v>271</v>
      </c>
      <c r="B222" s="13" t="s">
        <v>7</v>
      </c>
      <c r="C222" s="14" t="s">
        <v>1282</v>
      </c>
      <c r="D222" s="15">
        <v>46266.875</v>
      </c>
      <c r="E222" s="15">
        <v>46267.25</v>
      </c>
      <c r="F222" s="14" t="s">
        <v>1283</v>
      </c>
    </row>
    <row r="223" spans="1:6" ht="60">
      <c r="A223" s="13" t="s">
        <v>271</v>
      </c>
      <c r="B223" s="13" t="s">
        <v>8</v>
      </c>
      <c r="C223" s="14" t="s">
        <v>320</v>
      </c>
      <c r="D223" s="15">
        <v>46266.875</v>
      </c>
      <c r="E223" s="15">
        <v>46267.208333333299</v>
      </c>
      <c r="F223" s="14" t="s">
        <v>321</v>
      </c>
    </row>
    <row r="224" spans="1:6" ht="45">
      <c r="A224" s="13" t="s">
        <v>271</v>
      </c>
      <c r="B224" s="13" t="s">
        <v>8</v>
      </c>
      <c r="C224" s="14" t="s">
        <v>322</v>
      </c>
      <c r="D224" s="15">
        <v>46266.875</v>
      </c>
      <c r="E224" s="15">
        <v>46267.208333333299</v>
      </c>
      <c r="F224" s="14" t="s">
        <v>321</v>
      </c>
    </row>
    <row r="225" spans="1:6" ht="60">
      <c r="A225" s="13" t="s">
        <v>159</v>
      </c>
      <c r="B225" s="13" t="s">
        <v>6</v>
      </c>
      <c r="C225" s="14" t="s">
        <v>160</v>
      </c>
      <c r="D225" s="15">
        <v>46266.833333333299</v>
      </c>
      <c r="E225" s="15">
        <v>46267.25</v>
      </c>
      <c r="F225" s="14" t="s">
        <v>161</v>
      </c>
    </row>
    <row r="226" spans="1:6" ht="105">
      <c r="A226" s="13" t="s">
        <v>159</v>
      </c>
      <c r="B226" s="13" t="s">
        <v>6</v>
      </c>
      <c r="C226" s="14" t="s">
        <v>162</v>
      </c>
      <c r="D226" s="15">
        <v>46266.833333333299</v>
      </c>
      <c r="E226" s="15">
        <v>46267.25</v>
      </c>
      <c r="F226" s="14" t="s">
        <v>161</v>
      </c>
    </row>
    <row r="227" spans="1:6" ht="90">
      <c r="A227" s="13" t="s">
        <v>159</v>
      </c>
      <c r="B227" s="13" t="s">
        <v>6</v>
      </c>
      <c r="C227" s="14" t="s">
        <v>163</v>
      </c>
      <c r="D227" s="15">
        <v>46266.833333333299</v>
      </c>
      <c r="E227" s="15">
        <v>46267.25</v>
      </c>
      <c r="F227" s="14" t="s">
        <v>161</v>
      </c>
    </row>
    <row r="228" spans="1:6" ht="75">
      <c r="A228" s="13" t="s">
        <v>159</v>
      </c>
      <c r="B228" s="13" t="s">
        <v>6</v>
      </c>
      <c r="C228" s="14" t="s">
        <v>164</v>
      </c>
      <c r="D228" s="15">
        <v>46266.833333333299</v>
      </c>
      <c r="E228" s="15">
        <v>46267.25</v>
      </c>
      <c r="F228" s="14" t="s">
        <v>161</v>
      </c>
    </row>
    <row r="229" spans="1:6" ht="105">
      <c r="A229" s="13" t="s">
        <v>159</v>
      </c>
      <c r="B229" s="13" t="s">
        <v>6</v>
      </c>
      <c r="C229" s="14" t="s">
        <v>165</v>
      </c>
      <c r="D229" s="15">
        <v>46266.833333333299</v>
      </c>
      <c r="E229" s="15">
        <v>46267.25</v>
      </c>
      <c r="F229" s="14" t="s">
        <v>161</v>
      </c>
    </row>
    <row r="230" spans="1:6" ht="120">
      <c r="A230" s="13" t="s">
        <v>159</v>
      </c>
      <c r="B230" s="13" t="s">
        <v>6</v>
      </c>
      <c r="C230" s="14" t="s">
        <v>166</v>
      </c>
      <c r="D230" s="15">
        <v>46266.833333333299</v>
      </c>
      <c r="E230" s="15">
        <v>46267.25</v>
      </c>
      <c r="F230" s="14" t="s">
        <v>161</v>
      </c>
    </row>
    <row r="231" spans="1:6" ht="120">
      <c r="A231" s="13" t="s">
        <v>237</v>
      </c>
      <c r="B231" s="13" t="s">
        <v>2</v>
      </c>
      <c r="C231" s="14" t="s">
        <v>238</v>
      </c>
      <c r="D231" s="15">
        <v>46266.875</v>
      </c>
      <c r="E231" s="15">
        <v>46267.25</v>
      </c>
      <c r="F231" s="14" t="s">
        <v>239</v>
      </c>
    </row>
    <row r="232" spans="1:6" ht="165">
      <c r="A232" s="13" t="s">
        <v>127</v>
      </c>
      <c r="B232" s="13" t="s">
        <v>4</v>
      </c>
      <c r="C232" s="14" t="s">
        <v>128</v>
      </c>
      <c r="D232" s="15">
        <v>46266.833333333299</v>
      </c>
      <c r="E232" s="15">
        <v>46267.25</v>
      </c>
      <c r="F232" s="14" t="s">
        <v>129</v>
      </c>
    </row>
    <row r="233" spans="1:6" ht="165">
      <c r="A233" s="13" t="s">
        <v>127</v>
      </c>
      <c r="B233" s="13" t="s">
        <v>4</v>
      </c>
      <c r="C233" s="14" t="s">
        <v>130</v>
      </c>
      <c r="D233" s="15">
        <v>46266.833333333299</v>
      </c>
      <c r="E233" s="15">
        <v>46267.25</v>
      </c>
      <c r="F233" s="14" t="s">
        <v>129</v>
      </c>
    </row>
    <row r="234" spans="1:6" ht="165">
      <c r="A234" s="13" t="s">
        <v>127</v>
      </c>
      <c r="B234" s="13" t="s">
        <v>4</v>
      </c>
      <c r="C234" s="14" t="s">
        <v>131</v>
      </c>
      <c r="D234" s="15">
        <v>46266.833333333299</v>
      </c>
      <c r="E234" s="15">
        <v>46267.25</v>
      </c>
      <c r="F234" s="14" t="s">
        <v>129</v>
      </c>
    </row>
    <row r="235" spans="1:6" ht="45">
      <c r="A235" s="13" t="s">
        <v>127</v>
      </c>
      <c r="B235" s="13" t="s">
        <v>4</v>
      </c>
      <c r="C235" s="14" t="s">
        <v>132</v>
      </c>
      <c r="D235" s="15">
        <v>46266.833333333299</v>
      </c>
      <c r="E235" s="15">
        <v>46267.25</v>
      </c>
      <c r="F235" s="14" t="s">
        <v>129</v>
      </c>
    </row>
    <row r="236" spans="1:6" ht="60">
      <c r="A236" s="13" t="s">
        <v>127</v>
      </c>
      <c r="B236" s="13" t="s">
        <v>5</v>
      </c>
      <c r="C236" s="14" t="s">
        <v>133</v>
      </c>
      <c r="D236" s="15">
        <v>46266.916666666701</v>
      </c>
      <c r="E236" s="15">
        <v>46267.25</v>
      </c>
      <c r="F236" s="14" t="s">
        <v>129</v>
      </c>
    </row>
    <row r="237" spans="1:6" ht="45">
      <c r="A237" s="13" t="s">
        <v>127</v>
      </c>
      <c r="B237" s="13" t="s">
        <v>5</v>
      </c>
      <c r="C237" s="14" t="s">
        <v>134</v>
      </c>
      <c r="D237" s="15">
        <v>46266.916666666701</v>
      </c>
      <c r="E237" s="15">
        <v>46267.25</v>
      </c>
      <c r="F237" s="14" t="s">
        <v>129</v>
      </c>
    </row>
    <row r="238" spans="1:6" ht="75">
      <c r="A238" s="13" t="s">
        <v>127</v>
      </c>
      <c r="B238" s="13" t="s">
        <v>5</v>
      </c>
      <c r="C238" s="14" t="s">
        <v>135</v>
      </c>
      <c r="D238" s="15">
        <v>46266.916666666701</v>
      </c>
      <c r="E238" s="15">
        <v>46267.25</v>
      </c>
      <c r="F238" s="14" t="s">
        <v>129</v>
      </c>
    </row>
    <row r="239" spans="1:6" ht="75">
      <c r="A239" s="13" t="s">
        <v>127</v>
      </c>
      <c r="B239" s="13" t="s">
        <v>5</v>
      </c>
      <c r="C239" s="14" t="s">
        <v>136</v>
      </c>
      <c r="D239" s="15">
        <v>46266.916666666701</v>
      </c>
      <c r="E239" s="15">
        <v>46267.25</v>
      </c>
      <c r="F239" s="14" t="s">
        <v>129</v>
      </c>
    </row>
    <row r="240" spans="1:6" ht="105">
      <c r="A240" s="13" t="s">
        <v>127</v>
      </c>
      <c r="B240" s="13" t="s">
        <v>6</v>
      </c>
      <c r="C240" s="14" t="s">
        <v>154</v>
      </c>
      <c r="D240" s="15">
        <v>46266.833333333299</v>
      </c>
      <c r="E240" s="15">
        <v>46267.25</v>
      </c>
      <c r="F240" s="14" t="s">
        <v>155</v>
      </c>
    </row>
    <row r="241" spans="1:6" ht="105">
      <c r="A241" s="13" t="s">
        <v>127</v>
      </c>
      <c r="B241" s="13" t="s">
        <v>6</v>
      </c>
      <c r="C241" s="14" t="s">
        <v>156</v>
      </c>
      <c r="D241" s="15">
        <v>46266.833333333299</v>
      </c>
      <c r="E241" s="15">
        <v>46267.25</v>
      </c>
      <c r="F241" s="14" t="s">
        <v>155</v>
      </c>
    </row>
    <row r="242" spans="1:6" ht="75">
      <c r="A242" s="13" t="s">
        <v>127</v>
      </c>
      <c r="B242" s="13" t="s">
        <v>5</v>
      </c>
      <c r="C242" s="14" t="s">
        <v>173</v>
      </c>
      <c r="D242" s="15">
        <v>46266.833333333299</v>
      </c>
      <c r="E242" s="15">
        <v>46267.25</v>
      </c>
      <c r="F242" s="14" t="s">
        <v>174</v>
      </c>
    </row>
    <row r="243" spans="1:6" ht="75">
      <c r="A243" s="13" t="s">
        <v>127</v>
      </c>
      <c r="B243" s="13" t="s">
        <v>5</v>
      </c>
      <c r="C243" s="14" t="s">
        <v>175</v>
      </c>
      <c r="D243" s="15">
        <v>46266.833333333299</v>
      </c>
      <c r="E243" s="15">
        <v>46267.25</v>
      </c>
      <c r="F243" s="14" t="s">
        <v>174</v>
      </c>
    </row>
    <row r="244" spans="1:6" ht="75">
      <c r="A244" s="13" t="s">
        <v>127</v>
      </c>
      <c r="B244" s="13" t="s">
        <v>5</v>
      </c>
      <c r="C244" s="14" t="s">
        <v>176</v>
      </c>
      <c r="D244" s="15">
        <v>46266.833333333299</v>
      </c>
      <c r="E244" s="15">
        <v>46267.25</v>
      </c>
      <c r="F244" s="14" t="s">
        <v>174</v>
      </c>
    </row>
    <row r="245" spans="1:6" ht="75">
      <c r="A245" s="13" t="s">
        <v>258</v>
      </c>
      <c r="B245" s="13" t="s">
        <v>5</v>
      </c>
      <c r="C245" s="14" t="s">
        <v>259</v>
      </c>
      <c r="D245" s="15">
        <v>46266.875</v>
      </c>
      <c r="E245" s="15">
        <v>46267.25</v>
      </c>
      <c r="F245" s="14" t="s">
        <v>260</v>
      </c>
    </row>
    <row r="246" spans="1:6" ht="75">
      <c r="A246" s="13" t="s">
        <v>258</v>
      </c>
      <c r="B246" s="13" t="s">
        <v>5</v>
      </c>
      <c r="C246" s="14" t="s">
        <v>261</v>
      </c>
      <c r="D246" s="15">
        <v>46266.875</v>
      </c>
      <c r="E246" s="15">
        <v>46267.25</v>
      </c>
      <c r="F246" s="14" t="s">
        <v>260</v>
      </c>
    </row>
    <row r="247" spans="1:6" ht="90">
      <c r="A247" s="13" t="s">
        <v>258</v>
      </c>
      <c r="B247" s="13" t="s">
        <v>4</v>
      </c>
      <c r="C247" s="14" t="s">
        <v>275</v>
      </c>
      <c r="D247" s="15">
        <v>46266.875</v>
      </c>
      <c r="E247" s="15">
        <v>46267.208333333299</v>
      </c>
      <c r="F247" s="14" t="s">
        <v>276</v>
      </c>
    </row>
    <row r="248" spans="1:6" ht="90">
      <c r="A248" s="13" t="s">
        <v>258</v>
      </c>
      <c r="B248" s="13" t="s">
        <v>4</v>
      </c>
      <c r="C248" s="14" t="s">
        <v>277</v>
      </c>
      <c r="D248" s="15">
        <v>46266.875</v>
      </c>
      <c r="E248" s="15">
        <v>46267.208333333299</v>
      </c>
      <c r="F248" s="14" t="s">
        <v>276</v>
      </c>
    </row>
    <row r="249" spans="1:6" ht="60">
      <c r="A249" s="13" t="s">
        <v>258</v>
      </c>
      <c r="B249" s="13" t="s">
        <v>4</v>
      </c>
      <c r="C249" s="14" t="s">
        <v>278</v>
      </c>
      <c r="D249" s="15">
        <v>46266.875</v>
      </c>
      <c r="E249" s="15">
        <v>46267.208333333299</v>
      </c>
      <c r="F249" s="14" t="s">
        <v>276</v>
      </c>
    </row>
    <row r="250" spans="1:6" ht="60">
      <c r="A250" s="13" t="s">
        <v>258</v>
      </c>
      <c r="B250" s="13" t="s">
        <v>4</v>
      </c>
      <c r="C250" s="14" t="s">
        <v>279</v>
      </c>
      <c r="D250" s="15">
        <v>46266.875</v>
      </c>
      <c r="E250" s="15">
        <v>46267.208333333299</v>
      </c>
      <c r="F250" s="14" t="s">
        <v>276</v>
      </c>
    </row>
    <row r="251" spans="1:6" ht="75">
      <c r="A251" s="13" t="s">
        <v>258</v>
      </c>
      <c r="B251" s="13" t="s">
        <v>5</v>
      </c>
      <c r="C251" s="14" t="s">
        <v>307</v>
      </c>
      <c r="D251" s="15">
        <v>46266.875</v>
      </c>
      <c r="E251" s="15">
        <v>46267.25</v>
      </c>
      <c r="F251" s="14" t="s">
        <v>308</v>
      </c>
    </row>
    <row r="252" spans="1:6" ht="60">
      <c r="A252" s="13" t="s">
        <v>258</v>
      </c>
      <c r="B252" s="13" t="s">
        <v>5</v>
      </c>
      <c r="C252" s="14" t="s">
        <v>309</v>
      </c>
      <c r="D252" s="15">
        <v>46266.875</v>
      </c>
      <c r="E252" s="15">
        <v>46267.25</v>
      </c>
      <c r="F252" s="14" t="s">
        <v>308</v>
      </c>
    </row>
    <row r="253" spans="1:6" ht="75">
      <c r="A253" s="13" t="s">
        <v>317</v>
      </c>
      <c r="B253" s="13" t="s">
        <v>6</v>
      </c>
      <c r="C253" s="14" t="s">
        <v>318</v>
      </c>
      <c r="D253" s="15">
        <v>46266.875</v>
      </c>
      <c r="E253" s="15">
        <v>46267.25</v>
      </c>
      <c r="F253" s="14" t="s">
        <v>315</v>
      </c>
    </row>
    <row r="254" spans="1:6" ht="60">
      <c r="A254" s="13" t="s">
        <v>262</v>
      </c>
      <c r="B254" s="13" t="s">
        <v>4</v>
      </c>
      <c r="C254" s="14" t="s">
        <v>263</v>
      </c>
      <c r="D254" s="15">
        <v>46266.833333333299</v>
      </c>
      <c r="E254" s="15">
        <v>46267.25</v>
      </c>
      <c r="F254" s="14" t="s">
        <v>264</v>
      </c>
    </row>
    <row r="255" spans="1:6" ht="45">
      <c r="A255" s="13" t="s">
        <v>262</v>
      </c>
      <c r="B255" s="13" t="s">
        <v>4</v>
      </c>
      <c r="C255" s="14" t="s">
        <v>265</v>
      </c>
      <c r="D255" s="15">
        <v>46266.833333333299</v>
      </c>
      <c r="E255" s="15">
        <v>46267.25</v>
      </c>
      <c r="F255" s="14" t="s">
        <v>264</v>
      </c>
    </row>
    <row r="256" spans="1:6" ht="45">
      <c r="A256" s="13" t="s">
        <v>262</v>
      </c>
      <c r="B256" s="13" t="s">
        <v>5</v>
      </c>
      <c r="C256" s="14" t="s">
        <v>266</v>
      </c>
      <c r="D256" s="15">
        <v>46266.833333333299</v>
      </c>
      <c r="E256" s="15">
        <v>46267.25</v>
      </c>
      <c r="F256" s="14" t="s">
        <v>264</v>
      </c>
    </row>
    <row r="257" spans="1:6" ht="45">
      <c r="A257" s="16" t="s">
        <v>262</v>
      </c>
      <c r="B257" s="16" t="s">
        <v>5</v>
      </c>
      <c r="C257" s="17" t="s">
        <v>267</v>
      </c>
      <c r="D257" s="18">
        <v>46266.833333333299</v>
      </c>
      <c r="E257" s="18">
        <v>46267.25</v>
      </c>
      <c r="F257" s="17" t="s">
        <v>264</v>
      </c>
    </row>
    <row r="258" spans="1:6">
      <c r="A258" s="13"/>
      <c r="B258" s="13"/>
      <c r="C258" s="14"/>
      <c r="D258" s="15"/>
      <c r="E258" s="15"/>
      <c r="F258" s="14"/>
    </row>
    <row r="259" spans="1:6">
      <c r="A259" s="13"/>
      <c r="B259" s="13"/>
      <c r="C259" s="14"/>
      <c r="D259" s="15"/>
      <c r="E259" s="15"/>
      <c r="F259" s="14"/>
    </row>
    <row r="260" spans="1:6">
      <c r="A260" s="16"/>
      <c r="B260" s="16"/>
      <c r="C260" s="17"/>
      <c r="D260" s="18"/>
      <c r="E260" s="18"/>
      <c r="F260" s="17"/>
    </row>
  </sheetData>
  <autoFilter ref="A2:F3" xr:uid="{9B10CC16-75C3-4B38-89E9-8B46EE5903F7}">
    <sortState xmlns:xlrd2="http://schemas.microsoft.com/office/spreadsheetml/2017/richdata2" ref="A3:F257">
      <sortCondition ref="A2:A3"/>
    </sortState>
  </autoFilter>
  <mergeCells count="1">
    <mergeCell ref="A1:F1"/>
  </mergeCells>
  <conditionalFormatting sqref="A258:F260">
    <cfRule type="expression" dxfId="13" priority="2">
      <formula>$J258="Over 12 hours"</formula>
    </cfRule>
  </conditionalFormatting>
  <conditionalFormatting sqref="A3:F257">
    <cfRule type="expression" dxfId="6"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B2F54-6167-40AE-8321-0BC16F1B0425}">
  <sheetPr>
    <tabColor theme="5"/>
  </sheetPr>
  <dimension ref="A1:K304"/>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4.26953125" style="4" customWidth="1"/>
    <col min="4" max="4" width="16.7265625" style="4" customWidth="1"/>
    <col min="5" max="5" width="17.7265625" style="9" customWidth="1"/>
    <col min="6" max="6" width="47" style="9" customWidth="1"/>
    <col min="7" max="11" width="0" hidden="1" customWidth="1"/>
    <col min="12" max="16384" width="8.7265625" hidden="1"/>
  </cols>
  <sheetData>
    <row r="1" spans="1:6" ht="33">
      <c r="A1" s="28" t="str">
        <f>"Daily closure report: "&amp;'Front page'!A5</f>
        <v>Daily closure report: Wednesday, 2 September</v>
      </c>
      <c r="B1" s="28"/>
      <c r="C1" s="28"/>
      <c r="D1" s="28"/>
      <c r="E1" s="28"/>
      <c r="F1" s="28"/>
    </row>
    <row r="2" spans="1:6" s="3" customFormat="1" ht="27.6">
      <c r="A2" s="8" t="s">
        <v>9</v>
      </c>
      <c r="B2" s="8" t="s">
        <v>1</v>
      </c>
      <c r="C2" s="8" t="s">
        <v>0</v>
      </c>
      <c r="D2" s="7" t="s">
        <v>11</v>
      </c>
      <c r="E2" s="7" t="s">
        <v>12</v>
      </c>
      <c r="F2" s="8" t="s">
        <v>10</v>
      </c>
    </row>
    <row r="3" spans="1:6" ht="60">
      <c r="A3" s="10" t="s">
        <v>42</v>
      </c>
      <c r="B3" s="10" t="s">
        <v>6</v>
      </c>
      <c r="C3" s="11" t="s">
        <v>43</v>
      </c>
      <c r="D3" s="12">
        <v>46267.833333333299</v>
      </c>
      <c r="E3" s="12">
        <v>46268.208333333299</v>
      </c>
      <c r="F3" s="11" t="s">
        <v>44</v>
      </c>
    </row>
    <row r="4" spans="1:6" ht="60">
      <c r="A4" s="10" t="s">
        <v>42</v>
      </c>
      <c r="B4" s="10" t="s">
        <v>23</v>
      </c>
      <c r="C4" s="11" t="s">
        <v>52</v>
      </c>
      <c r="D4" s="12">
        <v>45847.208333333299</v>
      </c>
      <c r="E4" s="12">
        <v>46507.999305555597</v>
      </c>
      <c r="F4" s="11" t="s">
        <v>53</v>
      </c>
    </row>
    <row r="5" spans="1:6" ht="60">
      <c r="A5" s="10" t="s">
        <v>42</v>
      </c>
      <c r="B5" s="10" t="s">
        <v>6</v>
      </c>
      <c r="C5" s="11" t="s">
        <v>108</v>
      </c>
      <c r="D5" s="12">
        <v>46267.833333333299</v>
      </c>
      <c r="E5" s="12">
        <v>46268.25</v>
      </c>
      <c r="F5" s="11" t="s">
        <v>109</v>
      </c>
    </row>
    <row r="6" spans="1:6" ht="60">
      <c r="A6" s="10" t="s">
        <v>42</v>
      </c>
      <c r="B6" s="10" t="s">
        <v>6</v>
      </c>
      <c r="C6" s="11" t="s">
        <v>110</v>
      </c>
      <c r="D6" s="12">
        <v>46267.833333333299</v>
      </c>
      <c r="E6" s="12">
        <v>46268.25</v>
      </c>
      <c r="F6" s="11" t="s">
        <v>109</v>
      </c>
    </row>
    <row r="7" spans="1:6" ht="60">
      <c r="A7" s="10" t="s">
        <v>42</v>
      </c>
      <c r="B7" s="10" t="s">
        <v>6</v>
      </c>
      <c r="C7" s="11" t="s">
        <v>111</v>
      </c>
      <c r="D7" s="12">
        <v>46267.833333333299</v>
      </c>
      <c r="E7" s="12">
        <v>46268.25</v>
      </c>
      <c r="F7" s="11" t="s">
        <v>109</v>
      </c>
    </row>
    <row r="8" spans="1:6" ht="45">
      <c r="A8" s="10" t="s">
        <v>42</v>
      </c>
      <c r="B8" s="10" t="s">
        <v>6</v>
      </c>
      <c r="C8" s="11" t="s">
        <v>112</v>
      </c>
      <c r="D8" s="12">
        <v>46267.833333333299</v>
      </c>
      <c r="E8" s="12">
        <v>46268.25</v>
      </c>
      <c r="F8" s="11" t="s">
        <v>109</v>
      </c>
    </row>
    <row r="9" spans="1:6" ht="60">
      <c r="A9" s="10" t="s">
        <v>42</v>
      </c>
      <c r="B9" s="10" t="s">
        <v>6</v>
      </c>
      <c r="C9" s="11" t="s">
        <v>113</v>
      </c>
      <c r="D9" s="12">
        <v>46267.833333333299</v>
      </c>
      <c r="E9" s="12">
        <v>46268.25</v>
      </c>
      <c r="F9" s="11" t="s">
        <v>109</v>
      </c>
    </row>
    <row r="10" spans="1:6" ht="60">
      <c r="A10" s="10" t="s">
        <v>42</v>
      </c>
      <c r="B10" s="10" t="s">
        <v>6</v>
      </c>
      <c r="C10" s="11" t="s">
        <v>114</v>
      </c>
      <c r="D10" s="12">
        <v>46267.833333333299</v>
      </c>
      <c r="E10" s="12">
        <v>46268.25</v>
      </c>
      <c r="F10" s="11" t="s">
        <v>109</v>
      </c>
    </row>
    <row r="11" spans="1:6" ht="45">
      <c r="A11" s="10" t="s">
        <v>42</v>
      </c>
      <c r="B11" s="10" t="s">
        <v>6</v>
      </c>
      <c r="C11" s="11" t="s">
        <v>115</v>
      </c>
      <c r="D11" s="12">
        <v>46267.833333333299</v>
      </c>
      <c r="E11" s="12">
        <v>46268.25</v>
      </c>
      <c r="F11" s="11" t="s">
        <v>116</v>
      </c>
    </row>
    <row r="12" spans="1:6" ht="45">
      <c r="A12" s="10" t="s">
        <v>42</v>
      </c>
      <c r="B12" s="10" t="s">
        <v>6</v>
      </c>
      <c r="C12" s="11" t="s">
        <v>117</v>
      </c>
      <c r="D12" s="12">
        <v>46267.833333333299</v>
      </c>
      <c r="E12" s="12">
        <v>46268.25</v>
      </c>
      <c r="F12" s="11" t="s">
        <v>116</v>
      </c>
    </row>
    <row r="13" spans="1:6" ht="45">
      <c r="A13" s="10" t="s">
        <v>42</v>
      </c>
      <c r="B13" s="10" t="s">
        <v>6</v>
      </c>
      <c r="C13" s="11" t="s">
        <v>118</v>
      </c>
      <c r="D13" s="12">
        <v>46267.833333333299</v>
      </c>
      <c r="E13" s="12">
        <v>46268.25</v>
      </c>
      <c r="F13" s="11" t="s">
        <v>116</v>
      </c>
    </row>
    <row r="14" spans="1:6" ht="45">
      <c r="A14" s="10" t="s">
        <v>42</v>
      </c>
      <c r="B14" s="10" t="s">
        <v>6</v>
      </c>
      <c r="C14" s="11" t="s">
        <v>216</v>
      </c>
      <c r="D14" s="12">
        <v>46267.833333333299</v>
      </c>
      <c r="E14" s="12">
        <v>46268.25</v>
      </c>
      <c r="F14" s="11" t="s">
        <v>217</v>
      </c>
    </row>
    <row r="15" spans="1:6" ht="45">
      <c r="A15" s="10" t="s">
        <v>60</v>
      </c>
      <c r="B15" s="10" t="s">
        <v>2</v>
      </c>
      <c r="C15" s="11" t="s">
        <v>61</v>
      </c>
      <c r="D15" s="12">
        <v>46267.875</v>
      </c>
      <c r="E15" s="12">
        <v>46268.208333333299</v>
      </c>
      <c r="F15" s="11" t="s">
        <v>62</v>
      </c>
    </row>
    <row r="16" spans="1:6" ht="45">
      <c r="A16" s="10" t="s">
        <v>60</v>
      </c>
      <c r="B16" s="10" t="s">
        <v>2</v>
      </c>
      <c r="C16" s="11" t="s">
        <v>142</v>
      </c>
      <c r="D16" s="12">
        <v>46267.833333333299</v>
      </c>
      <c r="E16" s="12">
        <v>46268.25</v>
      </c>
      <c r="F16" s="11" t="s">
        <v>143</v>
      </c>
    </row>
    <row r="17" spans="1:6" ht="45">
      <c r="A17" s="10" t="s">
        <v>60</v>
      </c>
      <c r="B17" s="10" t="s">
        <v>2</v>
      </c>
      <c r="C17" s="11" t="s">
        <v>144</v>
      </c>
      <c r="D17" s="12">
        <v>46267.833333333299</v>
      </c>
      <c r="E17" s="12">
        <v>46268.25</v>
      </c>
      <c r="F17" s="11" t="s">
        <v>143</v>
      </c>
    </row>
    <row r="18" spans="1:6" ht="45">
      <c r="A18" s="10" t="s">
        <v>60</v>
      </c>
      <c r="B18" s="10" t="s">
        <v>2</v>
      </c>
      <c r="C18" s="11" t="s">
        <v>147</v>
      </c>
      <c r="D18" s="12">
        <v>46267.833333333299</v>
      </c>
      <c r="E18" s="12">
        <v>46268.25</v>
      </c>
      <c r="F18" s="11" t="s">
        <v>143</v>
      </c>
    </row>
    <row r="19" spans="1:6" ht="45">
      <c r="A19" s="10" t="s">
        <v>60</v>
      </c>
      <c r="B19" s="10" t="s">
        <v>6</v>
      </c>
      <c r="C19" s="11" t="s">
        <v>195</v>
      </c>
      <c r="D19" s="12">
        <v>46267.833333333299</v>
      </c>
      <c r="E19" s="12">
        <v>46268.25</v>
      </c>
      <c r="F19" s="11" t="s">
        <v>196</v>
      </c>
    </row>
    <row r="20" spans="1:6" ht="60">
      <c r="A20" s="10" t="s">
        <v>60</v>
      </c>
      <c r="B20" s="10" t="s">
        <v>6</v>
      </c>
      <c r="C20" s="11" t="s">
        <v>197</v>
      </c>
      <c r="D20" s="12">
        <v>46267.833333333299</v>
      </c>
      <c r="E20" s="12">
        <v>46268.25</v>
      </c>
      <c r="F20" s="11" t="s">
        <v>196</v>
      </c>
    </row>
    <row r="21" spans="1:6" ht="75">
      <c r="A21" s="10" t="s">
        <v>60</v>
      </c>
      <c r="B21" s="10" t="s">
        <v>6</v>
      </c>
      <c r="C21" s="11" t="s">
        <v>198</v>
      </c>
      <c r="D21" s="12">
        <v>46267.833333333299</v>
      </c>
      <c r="E21" s="12">
        <v>46268.25</v>
      </c>
      <c r="F21" s="11" t="s">
        <v>196</v>
      </c>
    </row>
    <row r="22" spans="1:6" ht="60">
      <c r="A22" s="10" t="s">
        <v>60</v>
      </c>
      <c r="B22" s="10" t="s">
        <v>6</v>
      </c>
      <c r="C22" s="11" t="s">
        <v>199</v>
      </c>
      <c r="D22" s="12">
        <v>46267.833333333299</v>
      </c>
      <c r="E22" s="12">
        <v>46268.25</v>
      </c>
      <c r="F22" s="11" t="s">
        <v>196</v>
      </c>
    </row>
    <row r="23" spans="1:6" ht="60">
      <c r="A23" s="10" t="s">
        <v>60</v>
      </c>
      <c r="B23" s="10" t="s">
        <v>6</v>
      </c>
      <c r="C23" s="11" t="s">
        <v>200</v>
      </c>
      <c r="D23" s="12">
        <v>46267.833333333299</v>
      </c>
      <c r="E23" s="12">
        <v>46268.25</v>
      </c>
      <c r="F23" s="11" t="s">
        <v>196</v>
      </c>
    </row>
    <row r="24" spans="1:6" ht="45">
      <c r="A24" s="10" t="s">
        <v>60</v>
      </c>
      <c r="B24" s="10" t="s">
        <v>6</v>
      </c>
      <c r="C24" s="11" t="s">
        <v>201</v>
      </c>
      <c r="D24" s="12">
        <v>46267.833333333299</v>
      </c>
      <c r="E24" s="12">
        <v>46268.25</v>
      </c>
      <c r="F24" s="11" t="s">
        <v>196</v>
      </c>
    </row>
    <row r="25" spans="1:6" ht="60">
      <c r="A25" s="10" t="s">
        <v>60</v>
      </c>
      <c r="B25" s="10" t="s">
        <v>2</v>
      </c>
      <c r="C25" s="11" t="s">
        <v>209</v>
      </c>
      <c r="D25" s="12">
        <v>46267.833333333299</v>
      </c>
      <c r="E25" s="12">
        <v>46268.25</v>
      </c>
      <c r="F25" s="11" t="s">
        <v>210</v>
      </c>
    </row>
    <row r="26" spans="1:6" ht="75">
      <c r="A26" s="10" t="s">
        <v>60</v>
      </c>
      <c r="B26" s="10" t="s">
        <v>2</v>
      </c>
      <c r="C26" s="11" t="s">
        <v>211</v>
      </c>
      <c r="D26" s="12">
        <v>46267.833333333299</v>
      </c>
      <c r="E26" s="12">
        <v>46268.25</v>
      </c>
      <c r="F26" s="11" t="s">
        <v>210</v>
      </c>
    </row>
    <row r="27" spans="1:6" ht="60">
      <c r="A27" s="10" t="s">
        <v>60</v>
      </c>
      <c r="B27" s="10" t="s">
        <v>2</v>
      </c>
      <c r="C27" s="11" t="s">
        <v>212</v>
      </c>
      <c r="D27" s="12">
        <v>46267.833333333299</v>
      </c>
      <c r="E27" s="12">
        <v>46268.25</v>
      </c>
      <c r="F27" s="11" t="s">
        <v>210</v>
      </c>
    </row>
    <row r="28" spans="1:6" ht="45">
      <c r="A28" s="10" t="s">
        <v>60</v>
      </c>
      <c r="B28" s="10" t="s">
        <v>6</v>
      </c>
      <c r="C28" s="11" t="s">
        <v>213</v>
      </c>
      <c r="D28" s="12">
        <v>46267.833333333299</v>
      </c>
      <c r="E28" s="12">
        <v>46268.25</v>
      </c>
      <c r="F28" s="11" t="s">
        <v>214</v>
      </c>
    </row>
    <row r="29" spans="1:6" ht="75">
      <c r="A29" s="10" t="s">
        <v>60</v>
      </c>
      <c r="B29" s="10" t="s">
        <v>6</v>
      </c>
      <c r="C29" s="11" t="s">
        <v>215</v>
      </c>
      <c r="D29" s="12">
        <v>46267.833333333299</v>
      </c>
      <c r="E29" s="12">
        <v>46268.25</v>
      </c>
      <c r="F29" s="11" t="s">
        <v>214</v>
      </c>
    </row>
    <row r="30" spans="1:6" ht="75">
      <c r="A30" s="10" t="s">
        <v>60</v>
      </c>
      <c r="B30" s="10" t="s">
        <v>6</v>
      </c>
      <c r="C30" s="11" t="s">
        <v>450</v>
      </c>
      <c r="D30" s="12">
        <v>46267.916666666701</v>
      </c>
      <c r="E30" s="12">
        <v>46268.229166666701</v>
      </c>
      <c r="F30" s="11" t="s">
        <v>451</v>
      </c>
    </row>
    <row r="31" spans="1:6" ht="75">
      <c r="A31" s="10" t="s">
        <v>65</v>
      </c>
      <c r="B31" s="10" t="s">
        <v>7</v>
      </c>
      <c r="C31" s="11" t="s">
        <v>66</v>
      </c>
      <c r="D31" s="12">
        <v>46267.916666666701</v>
      </c>
      <c r="E31" s="12">
        <v>46268.208333333299</v>
      </c>
      <c r="F31" s="11" t="s">
        <v>67</v>
      </c>
    </row>
    <row r="32" spans="1:6" ht="75">
      <c r="A32" s="10" t="s">
        <v>442</v>
      </c>
      <c r="B32" s="10" t="s">
        <v>6</v>
      </c>
      <c r="C32" s="11" t="s">
        <v>443</v>
      </c>
      <c r="D32" s="12">
        <v>46267.833333333299</v>
      </c>
      <c r="E32" s="12">
        <v>46268.166666666701</v>
      </c>
      <c r="F32" s="11" t="s">
        <v>444</v>
      </c>
    </row>
    <row r="33" spans="1:6" ht="75">
      <c r="A33" s="10" t="s">
        <v>32</v>
      </c>
      <c r="B33" s="10" t="s">
        <v>2</v>
      </c>
      <c r="C33" s="11" t="s">
        <v>33</v>
      </c>
      <c r="D33" s="12">
        <v>46267.895833333299</v>
      </c>
      <c r="E33" s="12">
        <v>46268.1875</v>
      </c>
      <c r="F33" s="11" t="s">
        <v>34</v>
      </c>
    </row>
    <row r="34" spans="1:6" ht="75">
      <c r="A34" s="10" t="s">
        <v>32</v>
      </c>
      <c r="B34" s="10" t="s">
        <v>6</v>
      </c>
      <c r="C34" s="11" t="s">
        <v>35</v>
      </c>
      <c r="D34" s="12">
        <v>46267.895833333299</v>
      </c>
      <c r="E34" s="12">
        <v>46268.1875</v>
      </c>
      <c r="F34" s="11" t="s">
        <v>34</v>
      </c>
    </row>
    <row r="35" spans="1:6" ht="75">
      <c r="A35" s="10" t="s">
        <v>17</v>
      </c>
      <c r="B35" s="10" t="s">
        <v>6</v>
      </c>
      <c r="C35" s="11" t="s">
        <v>18</v>
      </c>
      <c r="D35" s="12">
        <v>46267.875</v>
      </c>
      <c r="E35" s="12">
        <v>46268.208333333299</v>
      </c>
      <c r="F35" s="11" t="s">
        <v>19</v>
      </c>
    </row>
    <row r="36" spans="1:6" ht="90">
      <c r="A36" s="10" t="s">
        <v>17</v>
      </c>
      <c r="B36" s="10" t="s">
        <v>2</v>
      </c>
      <c r="C36" s="11" t="s">
        <v>45</v>
      </c>
      <c r="D36" s="12">
        <v>46267.875</v>
      </c>
      <c r="E36" s="12">
        <v>46268.208333333299</v>
      </c>
      <c r="F36" s="11" t="s">
        <v>46</v>
      </c>
    </row>
    <row r="37" spans="1:6" ht="90">
      <c r="A37" s="10" t="s">
        <v>17</v>
      </c>
      <c r="B37" s="10" t="s">
        <v>2</v>
      </c>
      <c r="C37" s="11" t="s">
        <v>47</v>
      </c>
      <c r="D37" s="12">
        <v>46267.875</v>
      </c>
      <c r="E37" s="12">
        <v>46268.208333333299</v>
      </c>
      <c r="F37" s="11" t="s">
        <v>46</v>
      </c>
    </row>
    <row r="38" spans="1:6" ht="90">
      <c r="A38" s="10" t="s">
        <v>29</v>
      </c>
      <c r="B38" s="10" t="s">
        <v>5</v>
      </c>
      <c r="C38" s="11" t="s">
        <v>30</v>
      </c>
      <c r="D38" s="12">
        <v>46267.916666666701</v>
      </c>
      <c r="E38" s="12">
        <v>46268.25</v>
      </c>
      <c r="F38" s="11" t="s">
        <v>31</v>
      </c>
    </row>
    <row r="39" spans="1:6" ht="90">
      <c r="A39" s="10" t="s">
        <v>29</v>
      </c>
      <c r="B39" s="10" t="s">
        <v>4</v>
      </c>
      <c r="C39" s="11" t="s">
        <v>37</v>
      </c>
      <c r="D39" s="12">
        <v>46267.833333333299</v>
      </c>
      <c r="E39" s="12">
        <v>46268.25</v>
      </c>
      <c r="F39" s="11" t="s">
        <v>38</v>
      </c>
    </row>
    <row r="40" spans="1:6" ht="90">
      <c r="A40" s="10" t="s">
        <v>29</v>
      </c>
      <c r="B40" s="10" t="s">
        <v>5</v>
      </c>
      <c r="C40" s="11" t="s">
        <v>39</v>
      </c>
      <c r="D40" s="12">
        <v>46267.833333333299</v>
      </c>
      <c r="E40" s="12">
        <v>46268.25</v>
      </c>
      <c r="F40" s="11" t="s">
        <v>40</v>
      </c>
    </row>
    <row r="41" spans="1:6" ht="90">
      <c r="A41" s="10" t="s">
        <v>29</v>
      </c>
      <c r="B41" s="10" t="s">
        <v>5</v>
      </c>
      <c r="C41" s="11" t="s">
        <v>41</v>
      </c>
      <c r="D41" s="12">
        <v>46267.833333333299</v>
      </c>
      <c r="E41" s="12">
        <v>46268.25</v>
      </c>
      <c r="F41" s="11" t="s">
        <v>40</v>
      </c>
    </row>
    <row r="42" spans="1:6" ht="90">
      <c r="A42" s="10" t="s">
        <v>29</v>
      </c>
      <c r="B42" s="10" t="s">
        <v>5</v>
      </c>
      <c r="C42" s="11" t="s">
        <v>93</v>
      </c>
      <c r="D42" s="12">
        <v>46266.541666666701</v>
      </c>
      <c r="E42" s="12">
        <v>46270.25</v>
      </c>
      <c r="F42" s="11" t="s">
        <v>94</v>
      </c>
    </row>
    <row r="43" spans="1:6" ht="90">
      <c r="A43" s="10" t="s">
        <v>29</v>
      </c>
      <c r="B43" s="10" t="s">
        <v>5</v>
      </c>
      <c r="C43" s="11" t="s">
        <v>95</v>
      </c>
      <c r="D43" s="12">
        <v>46267.833333333299</v>
      </c>
      <c r="E43" s="12">
        <v>46268.25</v>
      </c>
      <c r="F43" s="11" t="s">
        <v>94</v>
      </c>
    </row>
    <row r="44" spans="1:6" ht="90">
      <c r="A44" s="10" t="s">
        <v>29</v>
      </c>
      <c r="B44" s="10" t="s">
        <v>5</v>
      </c>
      <c r="C44" s="11" t="s">
        <v>96</v>
      </c>
      <c r="D44" s="12">
        <v>46267.833333333299</v>
      </c>
      <c r="E44" s="12">
        <v>46268.25</v>
      </c>
      <c r="F44" s="11" t="s">
        <v>94</v>
      </c>
    </row>
    <row r="45" spans="1:6" ht="90">
      <c r="A45" s="10" t="s">
        <v>29</v>
      </c>
      <c r="B45" s="10" t="s">
        <v>5</v>
      </c>
      <c r="C45" s="11" t="s">
        <v>97</v>
      </c>
      <c r="D45" s="12">
        <v>46267.833333333299</v>
      </c>
      <c r="E45" s="12">
        <v>46268.25</v>
      </c>
      <c r="F45" s="11" t="s">
        <v>94</v>
      </c>
    </row>
    <row r="46" spans="1:6" ht="75">
      <c r="A46" s="10" t="s">
        <v>29</v>
      </c>
      <c r="B46" s="10" t="s">
        <v>5</v>
      </c>
      <c r="C46" s="11" t="s">
        <v>98</v>
      </c>
      <c r="D46" s="12">
        <v>46267.833333333299</v>
      </c>
      <c r="E46" s="12">
        <v>46268.25</v>
      </c>
      <c r="F46" s="11" t="s">
        <v>94</v>
      </c>
    </row>
    <row r="47" spans="1:6" ht="90">
      <c r="A47" s="10" t="s">
        <v>29</v>
      </c>
      <c r="B47" s="10" t="s">
        <v>5</v>
      </c>
      <c r="C47" s="11" t="s">
        <v>99</v>
      </c>
      <c r="D47" s="12">
        <v>46267.833333333299</v>
      </c>
      <c r="E47" s="12">
        <v>46268.25</v>
      </c>
      <c r="F47" s="11" t="s">
        <v>94</v>
      </c>
    </row>
    <row r="48" spans="1:6" ht="90">
      <c r="A48" s="10" t="s">
        <v>29</v>
      </c>
      <c r="B48" s="10" t="s">
        <v>5</v>
      </c>
      <c r="C48" s="11" t="s">
        <v>100</v>
      </c>
      <c r="D48" s="12">
        <v>46267.833333333299</v>
      </c>
      <c r="E48" s="12">
        <v>46268.25</v>
      </c>
      <c r="F48" s="11" t="s">
        <v>94</v>
      </c>
    </row>
    <row r="49" spans="1:6" ht="90">
      <c r="A49" s="10" t="s">
        <v>29</v>
      </c>
      <c r="B49" s="10" t="s">
        <v>5</v>
      </c>
      <c r="C49" s="11" t="s">
        <v>101</v>
      </c>
      <c r="D49" s="12">
        <v>46267.833333333299</v>
      </c>
      <c r="E49" s="12">
        <v>46268.25</v>
      </c>
      <c r="F49" s="11" t="s">
        <v>94</v>
      </c>
    </row>
    <row r="50" spans="1:6" ht="90">
      <c r="A50" s="10" t="s">
        <v>167</v>
      </c>
      <c r="B50" s="10" t="s">
        <v>6</v>
      </c>
      <c r="C50" s="11" t="s">
        <v>168</v>
      </c>
      <c r="D50" s="12">
        <v>46267.833333333299</v>
      </c>
      <c r="E50" s="12">
        <v>46268.25</v>
      </c>
      <c r="F50" s="11" t="s">
        <v>169</v>
      </c>
    </row>
    <row r="51" spans="1:6" ht="90">
      <c r="A51" s="10" t="s">
        <v>228</v>
      </c>
      <c r="B51" s="10" t="s">
        <v>23</v>
      </c>
      <c r="C51" s="11" t="s">
        <v>229</v>
      </c>
      <c r="D51" s="12">
        <v>46267.833333333299</v>
      </c>
      <c r="E51" s="12">
        <v>46268.25</v>
      </c>
      <c r="F51" s="10" t="s">
        <v>226</v>
      </c>
    </row>
    <row r="52" spans="1:6" ht="90">
      <c r="A52" s="10" t="s">
        <v>228</v>
      </c>
      <c r="B52" s="10" t="s">
        <v>4</v>
      </c>
      <c r="C52" s="11" t="s">
        <v>230</v>
      </c>
      <c r="D52" s="12">
        <v>46267.833333333299</v>
      </c>
      <c r="E52" s="12">
        <v>46268.25</v>
      </c>
      <c r="F52" s="10" t="s">
        <v>226</v>
      </c>
    </row>
    <row r="53" spans="1:6" ht="60">
      <c r="A53" s="10" t="s">
        <v>228</v>
      </c>
      <c r="B53" s="10" t="s">
        <v>5</v>
      </c>
      <c r="C53" s="11" t="s">
        <v>231</v>
      </c>
      <c r="D53" s="12">
        <v>46267.833333333299</v>
      </c>
      <c r="E53" s="12">
        <v>46268.25</v>
      </c>
      <c r="F53" s="10" t="s">
        <v>226</v>
      </c>
    </row>
    <row r="54" spans="1:6" ht="60">
      <c r="A54" s="10" t="s">
        <v>221</v>
      </c>
      <c r="B54" s="10" t="s">
        <v>2</v>
      </c>
      <c r="C54" s="11" t="s">
        <v>222</v>
      </c>
      <c r="D54" s="12">
        <v>46267.833333333299</v>
      </c>
      <c r="E54" s="12">
        <v>46268.25</v>
      </c>
      <c r="F54" s="10" t="s">
        <v>223</v>
      </c>
    </row>
    <row r="55" spans="1:6" ht="60">
      <c r="A55" s="10" t="s">
        <v>221</v>
      </c>
      <c r="B55" s="10" t="s">
        <v>6</v>
      </c>
      <c r="C55" s="11" t="s">
        <v>224</v>
      </c>
      <c r="D55" s="12">
        <v>46267.833333333299</v>
      </c>
      <c r="E55" s="12">
        <v>46268.25</v>
      </c>
      <c r="F55" s="10" t="s">
        <v>223</v>
      </c>
    </row>
    <row r="56" spans="1:6" ht="90">
      <c r="A56" s="10" t="s">
        <v>221</v>
      </c>
      <c r="B56" s="10" t="s">
        <v>6</v>
      </c>
      <c r="C56" s="11" t="s">
        <v>225</v>
      </c>
      <c r="D56" s="12">
        <v>46267.833333333299</v>
      </c>
      <c r="E56" s="12">
        <v>46268.25</v>
      </c>
      <c r="F56" s="10" t="s">
        <v>226</v>
      </c>
    </row>
    <row r="57" spans="1:6" ht="90">
      <c r="A57" s="10" t="s">
        <v>221</v>
      </c>
      <c r="B57" s="10" t="s">
        <v>2</v>
      </c>
      <c r="C57" s="11" t="s">
        <v>227</v>
      </c>
      <c r="D57" s="12">
        <v>46267.833333333299</v>
      </c>
      <c r="E57" s="12">
        <v>46268.25</v>
      </c>
      <c r="F57" s="10" t="s">
        <v>226</v>
      </c>
    </row>
    <row r="58" spans="1:6" ht="90">
      <c r="A58" s="10" t="s">
        <v>221</v>
      </c>
      <c r="B58" s="10" t="s">
        <v>2</v>
      </c>
      <c r="C58" s="11" t="s">
        <v>232</v>
      </c>
      <c r="D58" s="12">
        <v>46267.833333333299</v>
      </c>
      <c r="E58" s="12">
        <v>46268.25</v>
      </c>
      <c r="F58" s="10" t="s">
        <v>233</v>
      </c>
    </row>
    <row r="59" spans="1:6" ht="90">
      <c r="A59" s="10" t="s">
        <v>392</v>
      </c>
      <c r="B59" s="10" t="s">
        <v>4</v>
      </c>
      <c r="C59" s="11" t="s">
        <v>393</v>
      </c>
      <c r="D59" s="12">
        <v>46267.833333333299</v>
      </c>
      <c r="E59" s="12">
        <v>46268.25</v>
      </c>
      <c r="F59" s="11" t="s">
        <v>394</v>
      </c>
    </row>
    <row r="60" spans="1:6" ht="60">
      <c r="A60" s="10" t="s">
        <v>392</v>
      </c>
      <c r="B60" s="10" t="s">
        <v>4</v>
      </c>
      <c r="C60" s="11" t="s">
        <v>395</v>
      </c>
      <c r="D60" s="12">
        <v>46267.833333333299</v>
      </c>
      <c r="E60" s="12">
        <v>46268.25</v>
      </c>
      <c r="F60" s="11" t="s">
        <v>394</v>
      </c>
    </row>
    <row r="61" spans="1:6" ht="60">
      <c r="A61" s="10" t="s">
        <v>392</v>
      </c>
      <c r="B61" s="10" t="s">
        <v>5</v>
      </c>
      <c r="C61" s="11" t="s">
        <v>402</v>
      </c>
      <c r="D61" s="12">
        <v>46267.875</v>
      </c>
      <c r="E61" s="12">
        <v>46268.25</v>
      </c>
      <c r="F61" s="11" t="s">
        <v>403</v>
      </c>
    </row>
    <row r="62" spans="1:6" ht="60">
      <c r="A62" s="10" t="s">
        <v>392</v>
      </c>
      <c r="B62" s="10" t="s">
        <v>5</v>
      </c>
      <c r="C62" s="11" t="s">
        <v>431</v>
      </c>
      <c r="D62" s="12">
        <v>46267.916666666701</v>
      </c>
      <c r="E62" s="12">
        <v>46268.208333333299</v>
      </c>
      <c r="F62" s="11" t="s">
        <v>432</v>
      </c>
    </row>
    <row r="63" spans="1:6" ht="60">
      <c r="A63" s="10" t="s">
        <v>424</v>
      </c>
      <c r="B63" s="10" t="s">
        <v>5</v>
      </c>
      <c r="C63" s="11" t="s">
        <v>425</v>
      </c>
      <c r="D63" s="12">
        <v>46267.916666666701</v>
      </c>
      <c r="E63" s="12">
        <v>46268.229166666701</v>
      </c>
      <c r="F63" s="11" t="s">
        <v>426</v>
      </c>
    </row>
    <row r="64" spans="1:6" ht="60">
      <c r="A64" s="10" t="s">
        <v>380</v>
      </c>
      <c r="B64" s="10" t="s">
        <v>6</v>
      </c>
      <c r="C64" s="11" t="s">
        <v>381</v>
      </c>
      <c r="D64" s="12">
        <v>46267.833333333299</v>
      </c>
      <c r="E64" s="12">
        <v>46268.25</v>
      </c>
      <c r="F64" s="11" t="s">
        <v>382</v>
      </c>
    </row>
    <row r="65" spans="1:6" ht="60">
      <c r="A65" s="10" t="s">
        <v>380</v>
      </c>
      <c r="B65" s="10" t="s">
        <v>2</v>
      </c>
      <c r="C65" s="11" t="s">
        <v>396</v>
      </c>
      <c r="D65" s="12">
        <v>46267.833333333299</v>
      </c>
      <c r="E65" s="12">
        <v>46268.25</v>
      </c>
      <c r="F65" s="11" t="s">
        <v>397</v>
      </c>
    </row>
    <row r="66" spans="1:6" ht="60">
      <c r="A66" s="10" t="s">
        <v>380</v>
      </c>
      <c r="B66" s="10" t="s">
        <v>6</v>
      </c>
      <c r="C66" s="11" t="s">
        <v>398</v>
      </c>
      <c r="D66" s="12">
        <v>46267.833333333299</v>
      </c>
      <c r="E66" s="12">
        <v>46268.25</v>
      </c>
      <c r="F66" s="11" t="s">
        <v>397</v>
      </c>
    </row>
    <row r="67" spans="1:6" ht="60">
      <c r="A67" s="10" t="s">
        <v>383</v>
      </c>
      <c r="B67" s="10" t="s">
        <v>2</v>
      </c>
      <c r="C67" s="11" t="s">
        <v>384</v>
      </c>
      <c r="D67" s="12">
        <v>46267.833333333299</v>
      </c>
      <c r="E67" s="12">
        <v>46268.25</v>
      </c>
      <c r="F67" s="11" t="s">
        <v>385</v>
      </c>
    </row>
    <row r="68" spans="1:6" ht="105">
      <c r="A68" s="10" t="s">
        <v>383</v>
      </c>
      <c r="B68" s="10" t="s">
        <v>2</v>
      </c>
      <c r="C68" s="11" t="s">
        <v>386</v>
      </c>
      <c r="D68" s="12">
        <v>46267.833333333299</v>
      </c>
      <c r="E68" s="12">
        <v>46268.25</v>
      </c>
      <c r="F68" s="11" t="s">
        <v>385</v>
      </c>
    </row>
    <row r="69" spans="1:6" ht="105">
      <c r="A69" s="10" t="s">
        <v>383</v>
      </c>
      <c r="B69" s="10" t="s">
        <v>2</v>
      </c>
      <c r="C69" s="11" t="s">
        <v>387</v>
      </c>
      <c r="D69" s="12">
        <v>46267.833333333299</v>
      </c>
      <c r="E69" s="12">
        <v>46268.25</v>
      </c>
      <c r="F69" s="11" t="s">
        <v>385</v>
      </c>
    </row>
    <row r="70" spans="1:6" ht="105">
      <c r="A70" s="10" t="s">
        <v>383</v>
      </c>
      <c r="B70" s="10" t="s">
        <v>2</v>
      </c>
      <c r="C70" s="11" t="s">
        <v>388</v>
      </c>
      <c r="D70" s="12">
        <v>46267.833333333299</v>
      </c>
      <c r="E70" s="12">
        <v>46268.25</v>
      </c>
      <c r="F70" s="11" t="s">
        <v>385</v>
      </c>
    </row>
    <row r="71" spans="1:6" ht="60">
      <c r="A71" s="10" t="s">
        <v>383</v>
      </c>
      <c r="B71" s="10" t="s">
        <v>2</v>
      </c>
      <c r="C71" s="11" t="s">
        <v>399</v>
      </c>
      <c r="D71" s="12">
        <v>46267.875</v>
      </c>
      <c r="E71" s="12">
        <v>46268.25</v>
      </c>
      <c r="F71" s="11" t="s">
        <v>400</v>
      </c>
    </row>
    <row r="72" spans="1:6" ht="60">
      <c r="A72" s="10" t="s">
        <v>383</v>
      </c>
      <c r="B72" s="10" t="s">
        <v>2</v>
      </c>
      <c r="C72" s="11" t="s">
        <v>401</v>
      </c>
      <c r="D72" s="12">
        <v>46267.875</v>
      </c>
      <c r="E72" s="12">
        <v>46268.25</v>
      </c>
      <c r="F72" s="11" t="s">
        <v>400</v>
      </c>
    </row>
    <row r="73" spans="1:6" ht="60">
      <c r="A73" s="10" t="s">
        <v>383</v>
      </c>
      <c r="B73" s="10" t="s">
        <v>2</v>
      </c>
      <c r="C73" s="11" t="s">
        <v>404</v>
      </c>
      <c r="D73" s="12">
        <v>46267.833333333299</v>
      </c>
      <c r="E73" s="12">
        <v>46268.25</v>
      </c>
      <c r="F73" s="11" t="s">
        <v>405</v>
      </c>
    </row>
    <row r="74" spans="1:6" ht="60">
      <c r="A74" s="10" t="s">
        <v>383</v>
      </c>
      <c r="B74" s="10" t="s">
        <v>2</v>
      </c>
      <c r="C74" s="11" t="s">
        <v>406</v>
      </c>
      <c r="D74" s="12">
        <v>46267.833333333299</v>
      </c>
      <c r="E74" s="12">
        <v>46268.25</v>
      </c>
      <c r="F74" s="11" t="s">
        <v>405</v>
      </c>
    </row>
    <row r="75" spans="1:6" ht="75">
      <c r="A75" s="10" t="s">
        <v>409</v>
      </c>
      <c r="B75" s="10" t="s">
        <v>2</v>
      </c>
      <c r="C75" s="11" t="s">
        <v>410</v>
      </c>
      <c r="D75" s="12">
        <v>46267.833333333299</v>
      </c>
      <c r="E75" s="12">
        <v>46268.25</v>
      </c>
      <c r="F75" s="10" t="s">
        <v>411</v>
      </c>
    </row>
    <row r="76" spans="1:6" ht="75">
      <c r="A76" s="10" t="s">
        <v>409</v>
      </c>
      <c r="B76" s="10" t="s">
        <v>6</v>
      </c>
      <c r="C76" s="11" t="s">
        <v>412</v>
      </c>
      <c r="D76" s="12">
        <v>46267.833333333299</v>
      </c>
      <c r="E76" s="12">
        <v>46268.25</v>
      </c>
      <c r="F76" s="10" t="s">
        <v>411</v>
      </c>
    </row>
    <row r="77" spans="1:6" ht="75">
      <c r="A77" s="10" t="s">
        <v>376</v>
      </c>
      <c r="B77" s="10" t="s">
        <v>4</v>
      </c>
      <c r="C77" s="11" t="s">
        <v>377</v>
      </c>
      <c r="D77" s="12">
        <v>46267.833333333299</v>
      </c>
      <c r="E77" s="12">
        <v>46268.25</v>
      </c>
      <c r="F77" s="11" t="s">
        <v>378</v>
      </c>
    </row>
    <row r="78" spans="1:6" ht="75">
      <c r="A78" s="10" t="s">
        <v>376</v>
      </c>
      <c r="B78" s="10" t="s">
        <v>5</v>
      </c>
      <c r="C78" s="11" t="s">
        <v>379</v>
      </c>
      <c r="D78" s="12">
        <v>46267.833333333299</v>
      </c>
      <c r="E78" s="12">
        <v>46268.25</v>
      </c>
      <c r="F78" s="11" t="s">
        <v>378</v>
      </c>
    </row>
    <row r="79" spans="1:6" ht="75">
      <c r="A79" s="10" t="s">
        <v>376</v>
      </c>
      <c r="B79" s="10" t="s">
        <v>4</v>
      </c>
      <c r="C79" s="11" t="s">
        <v>407</v>
      </c>
      <c r="D79" s="12">
        <v>46267.833333333299</v>
      </c>
      <c r="E79" s="12">
        <v>46268.25</v>
      </c>
      <c r="F79" s="11" t="s">
        <v>408</v>
      </c>
    </row>
    <row r="80" spans="1:6" ht="75">
      <c r="A80" s="10" t="s">
        <v>420</v>
      </c>
      <c r="B80" s="10" t="s">
        <v>2</v>
      </c>
      <c r="C80" s="11" t="s">
        <v>421</v>
      </c>
      <c r="D80" s="12">
        <v>46267.875</v>
      </c>
      <c r="E80" s="12">
        <v>46268.229166666701</v>
      </c>
      <c r="F80" s="11" t="s">
        <v>422</v>
      </c>
    </row>
    <row r="81" spans="1:6" ht="75">
      <c r="A81" s="10" t="s">
        <v>420</v>
      </c>
      <c r="B81" s="10" t="s">
        <v>2</v>
      </c>
      <c r="C81" s="11" t="s">
        <v>423</v>
      </c>
      <c r="D81" s="12">
        <v>46267.875</v>
      </c>
      <c r="E81" s="12">
        <v>46268.229166666701</v>
      </c>
      <c r="F81" s="11" t="s">
        <v>422</v>
      </c>
    </row>
    <row r="82" spans="1:6" ht="75">
      <c r="A82" s="10" t="s">
        <v>420</v>
      </c>
      <c r="B82" s="10" t="s">
        <v>6</v>
      </c>
      <c r="C82" s="11" t="s">
        <v>436</v>
      </c>
      <c r="D82" s="12">
        <v>46267.916666666701</v>
      </c>
      <c r="E82" s="12">
        <v>46268.229166666701</v>
      </c>
      <c r="F82" s="11" t="s">
        <v>437</v>
      </c>
    </row>
    <row r="83" spans="1:6" ht="75">
      <c r="A83" s="10" t="s">
        <v>357</v>
      </c>
      <c r="B83" s="10" t="s">
        <v>23</v>
      </c>
      <c r="C83" s="11" t="s">
        <v>358</v>
      </c>
      <c r="D83" s="12">
        <v>46267.875</v>
      </c>
      <c r="E83" s="12">
        <v>46268.25</v>
      </c>
      <c r="F83" s="11" t="s">
        <v>359</v>
      </c>
    </row>
    <row r="84" spans="1:6" ht="75">
      <c r="A84" s="10" t="s">
        <v>357</v>
      </c>
      <c r="B84" s="10" t="s">
        <v>2</v>
      </c>
      <c r="C84" s="11" t="s">
        <v>445</v>
      </c>
      <c r="D84" s="12">
        <v>46267.916666666701</v>
      </c>
      <c r="E84" s="12">
        <v>46268.229166666701</v>
      </c>
      <c r="F84" s="11" t="s">
        <v>446</v>
      </c>
    </row>
    <row r="85" spans="1:6" ht="75">
      <c r="A85" s="10" t="s">
        <v>357</v>
      </c>
      <c r="B85" s="10" t="s">
        <v>2</v>
      </c>
      <c r="C85" s="11" t="s">
        <v>447</v>
      </c>
      <c r="D85" s="12">
        <v>46267.916666666701</v>
      </c>
      <c r="E85" s="12">
        <v>46268.229166666701</v>
      </c>
      <c r="F85" s="11" t="s">
        <v>446</v>
      </c>
    </row>
    <row r="86" spans="1:6" ht="75">
      <c r="A86" s="10" t="s">
        <v>452</v>
      </c>
      <c r="B86" s="10" t="s">
        <v>5</v>
      </c>
      <c r="C86" s="11" t="s">
        <v>453</v>
      </c>
      <c r="D86" s="12">
        <v>46267.833333333299</v>
      </c>
      <c r="E86" s="12">
        <v>46268.25</v>
      </c>
      <c r="F86" s="11" t="s">
        <v>454</v>
      </c>
    </row>
    <row r="87" spans="1:6" ht="75">
      <c r="A87" s="10" t="s">
        <v>452</v>
      </c>
      <c r="B87" s="10" t="s">
        <v>5</v>
      </c>
      <c r="C87" s="11" t="s">
        <v>455</v>
      </c>
      <c r="D87" s="12">
        <v>46267.833333333299</v>
      </c>
      <c r="E87" s="12">
        <v>46268.25</v>
      </c>
      <c r="F87" s="11" t="s">
        <v>454</v>
      </c>
    </row>
    <row r="88" spans="1:6" ht="90">
      <c r="A88" s="10" t="s">
        <v>452</v>
      </c>
      <c r="B88" s="10" t="s">
        <v>4</v>
      </c>
      <c r="C88" s="11" t="s">
        <v>460</v>
      </c>
      <c r="D88" s="12">
        <v>46267.833333333299</v>
      </c>
      <c r="E88" s="12">
        <v>46268.25</v>
      </c>
      <c r="F88" s="11" t="s">
        <v>461</v>
      </c>
    </row>
    <row r="89" spans="1:6" ht="45">
      <c r="A89" s="10" t="s">
        <v>345</v>
      </c>
      <c r="B89" s="10" t="s">
        <v>5</v>
      </c>
      <c r="C89" s="11" t="s">
        <v>346</v>
      </c>
      <c r="D89" s="12">
        <v>46267.875</v>
      </c>
      <c r="E89" s="12">
        <v>46268.25</v>
      </c>
      <c r="F89" s="11" t="s">
        <v>347</v>
      </c>
    </row>
    <row r="90" spans="1:6" ht="75">
      <c r="A90" s="10" t="s">
        <v>345</v>
      </c>
      <c r="B90" s="10" t="s">
        <v>4</v>
      </c>
      <c r="C90" s="11" t="s">
        <v>348</v>
      </c>
      <c r="D90" s="12">
        <v>46267.875</v>
      </c>
      <c r="E90" s="12">
        <v>46268.25</v>
      </c>
      <c r="F90" s="11" t="s">
        <v>347</v>
      </c>
    </row>
    <row r="91" spans="1:6" ht="75">
      <c r="A91" s="10" t="s">
        <v>345</v>
      </c>
      <c r="B91" s="10" t="s">
        <v>4</v>
      </c>
      <c r="C91" s="11" t="s">
        <v>360</v>
      </c>
      <c r="D91" s="12">
        <v>46267.875</v>
      </c>
      <c r="E91" s="12">
        <v>46268.25</v>
      </c>
      <c r="F91" s="11" t="s">
        <v>361</v>
      </c>
    </row>
    <row r="92" spans="1:6" ht="75">
      <c r="A92" s="10" t="s">
        <v>345</v>
      </c>
      <c r="B92" s="10" t="s">
        <v>23</v>
      </c>
      <c r="C92" s="11" t="s">
        <v>468</v>
      </c>
      <c r="D92" s="12">
        <v>46267.875</v>
      </c>
      <c r="E92" s="12">
        <v>46268.25</v>
      </c>
      <c r="F92" s="11" t="s">
        <v>469</v>
      </c>
    </row>
    <row r="93" spans="1:6" ht="90">
      <c r="A93" s="10" t="s">
        <v>345</v>
      </c>
      <c r="B93" s="10" t="s">
        <v>5</v>
      </c>
      <c r="C93" s="11" t="s">
        <v>485</v>
      </c>
      <c r="D93" s="12">
        <v>46267.875</v>
      </c>
      <c r="E93" s="12">
        <v>46268.25</v>
      </c>
      <c r="F93" s="11" t="s">
        <v>486</v>
      </c>
    </row>
    <row r="94" spans="1:6" ht="90">
      <c r="A94" s="10" t="s">
        <v>371</v>
      </c>
      <c r="B94" s="10" t="s">
        <v>4</v>
      </c>
      <c r="C94" s="11" t="s">
        <v>372</v>
      </c>
      <c r="D94" s="12">
        <v>46267.875</v>
      </c>
      <c r="E94" s="12">
        <v>46268.25</v>
      </c>
      <c r="F94" s="11" t="s">
        <v>373</v>
      </c>
    </row>
    <row r="95" spans="1:6" ht="45">
      <c r="A95" s="10" t="s">
        <v>371</v>
      </c>
      <c r="B95" s="10" t="s">
        <v>4</v>
      </c>
      <c r="C95" s="11" t="s">
        <v>374</v>
      </c>
      <c r="D95" s="12">
        <v>46267.875</v>
      </c>
      <c r="E95" s="12">
        <v>46268.25</v>
      </c>
      <c r="F95" s="11" t="s">
        <v>373</v>
      </c>
    </row>
    <row r="96" spans="1:6" ht="60">
      <c r="A96" s="10" t="s">
        <v>330</v>
      </c>
      <c r="B96" s="10" t="s">
        <v>2</v>
      </c>
      <c r="C96" s="11" t="s">
        <v>331</v>
      </c>
      <c r="D96" s="12">
        <v>46267.875</v>
      </c>
      <c r="E96" s="12">
        <v>46268.25</v>
      </c>
      <c r="F96" s="11" t="s">
        <v>332</v>
      </c>
    </row>
    <row r="97" spans="1:6" ht="60">
      <c r="A97" s="10" t="s">
        <v>330</v>
      </c>
      <c r="B97" s="10" t="s">
        <v>2</v>
      </c>
      <c r="C97" s="11" t="s">
        <v>338</v>
      </c>
      <c r="D97" s="12">
        <v>46267.875</v>
      </c>
      <c r="E97" s="12">
        <v>46268.25</v>
      </c>
      <c r="F97" s="11" t="s">
        <v>339</v>
      </c>
    </row>
    <row r="98" spans="1:6" ht="60">
      <c r="A98" s="10" t="s">
        <v>330</v>
      </c>
      <c r="B98" s="10" t="s">
        <v>2</v>
      </c>
      <c r="C98" s="11" t="s">
        <v>340</v>
      </c>
      <c r="D98" s="12">
        <v>46267.875</v>
      </c>
      <c r="E98" s="12">
        <v>46268.25</v>
      </c>
      <c r="F98" s="11" t="s">
        <v>339</v>
      </c>
    </row>
    <row r="99" spans="1:6" ht="60">
      <c r="A99" s="10" t="s">
        <v>330</v>
      </c>
      <c r="B99" s="10" t="s">
        <v>2</v>
      </c>
      <c r="C99" s="11" t="s">
        <v>349</v>
      </c>
      <c r="D99" s="12">
        <v>46267.875</v>
      </c>
      <c r="E99" s="12">
        <v>46268.25</v>
      </c>
      <c r="F99" s="11" t="s">
        <v>350</v>
      </c>
    </row>
    <row r="100" spans="1:6" ht="60">
      <c r="A100" s="10" t="s">
        <v>330</v>
      </c>
      <c r="B100" s="10" t="s">
        <v>2</v>
      </c>
      <c r="C100" s="11" t="s">
        <v>351</v>
      </c>
      <c r="D100" s="12">
        <v>46267.875</v>
      </c>
      <c r="E100" s="12">
        <v>46268.25</v>
      </c>
      <c r="F100" s="11" t="s">
        <v>350</v>
      </c>
    </row>
    <row r="101" spans="1:6" ht="60">
      <c r="A101" s="10" t="s">
        <v>487</v>
      </c>
      <c r="B101" s="10" t="s">
        <v>23</v>
      </c>
      <c r="C101" s="11" t="s">
        <v>488</v>
      </c>
      <c r="D101" s="12">
        <v>46267.833333333299</v>
      </c>
      <c r="E101" s="12">
        <v>46268.25</v>
      </c>
      <c r="F101" s="11" t="s">
        <v>489</v>
      </c>
    </row>
    <row r="102" spans="1:6" ht="60">
      <c r="A102" s="10" t="s">
        <v>473</v>
      </c>
      <c r="B102" s="10" t="s">
        <v>23</v>
      </c>
      <c r="C102" s="11" t="s">
        <v>474</v>
      </c>
      <c r="D102" s="12">
        <v>46267.833333333299</v>
      </c>
      <c r="E102" s="12">
        <v>46268.25</v>
      </c>
      <c r="F102" s="11" t="s">
        <v>475</v>
      </c>
    </row>
    <row r="103" spans="1:6" ht="60">
      <c r="A103" s="10" t="s">
        <v>102</v>
      </c>
      <c r="B103" s="10" t="s">
        <v>2</v>
      </c>
      <c r="C103" s="11" t="s">
        <v>103</v>
      </c>
      <c r="D103" s="12">
        <v>46267.833333333299</v>
      </c>
      <c r="E103" s="12">
        <v>46268.25</v>
      </c>
      <c r="F103" s="11" t="s">
        <v>104</v>
      </c>
    </row>
    <row r="104" spans="1:6" ht="60">
      <c r="A104" s="10" t="s">
        <v>102</v>
      </c>
      <c r="B104" s="10" t="s">
        <v>4</v>
      </c>
      <c r="C104" s="11" t="s">
        <v>456</v>
      </c>
      <c r="D104" s="12">
        <v>46267.8125</v>
      </c>
      <c r="E104" s="12">
        <v>46268.25</v>
      </c>
      <c r="F104" s="10" t="s">
        <v>457</v>
      </c>
    </row>
    <row r="105" spans="1:6" ht="60">
      <c r="A105" s="10" t="s">
        <v>102</v>
      </c>
      <c r="B105" s="10" t="s">
        <v>5</v>
      </c>
      <c r="C105" s="11" t="s">
        <v>458</v>
      </c>
      <c r="D105" s="12">
        <v>46267.8125</v>
      </c>
      <c r="E105" s="12">
        <v>46268.25</v>
      </c>
      <c r="F105" s="11" t="s">
        <v>459</v>
      </c>
    </row>
    <row r="106" spans="1:6" ht="60">
      <c r="A106" s="10" t="s">
        <v>102</v>
      </c>
      <c r="B106" s="10" t="s">
        <v>5</v>
      </c>
      <c r="C106" s="11" t="s">
        <v>462</v>
      </c>
      <c r="D106" s="12">
        <v>46267.875</v>
      </c>
      <c r="E106" s="12">
        <v>46268.25</v>
      </c>
      <c r="F106" s="11" t="s">
        <v>463</v>
      </c>
    </row>
    <row r="107" spans="1:6" ht="60">
      <c r="A107" s="10" t="s">
        <v>102</v>
      </c>
      <c r="B107" s="10" t="s">
        <v>4</v>
      </c>
      <c r="C107" s="11" t="s">
        <v>464</v>
      </c>
      <c r="D107" s="12">
        <v>46267.833333333299</v>
      </c>
      <c r="E107" s="12">
        <v>46268.25</v>
      </c>
      <c r="F107" s="10" t="s">
        <v>465</v>
      </c>
    </row>
    <row r="108" spans="1:6" ht="60">
      <c r="A108" s="10" t="s">
        <v>102</v>
      </c>
      <c r="B108" s="10" t="s">
        <v>5</v>
      </c>
      <c r="C108" s="11" t="s">
        <v>466</v>
      </c>
      <c r="D108" s="12">
        <v>46267.875</v>
      </c>
      <c r="E108" s="12">
        <v>46268.25</v>
      </c>
      <c r="F108" s="11" t="s">
        <v>467</v>
      </c>
    </row>
    <row r="109" spans="1:6" ht="60">
      <c r="A109" s="10" t="s">
        <v>102</v>
      </c>
      <c r="B109" s="10" t="s">
        <v>6</v>
      </c>
      <c r="C109" s="11" t="s">
        <v>495</v>
      </c>
      <c r="D109" s="12">
        <v>46202.875</v>
      </c>
      <c r="E109" s="12">
        <v>46508.208333333299</v>
      </c>
      <c r="F109" s="11" t="s">
        <v>496</v>
      </c>
    </row>
    <row r="110" spans="1:6" ht="60">
      <c r="A110" s="10" t="s">
        <v>102</v>
      </c>
      <c r="B110" s="10" t="s">
        <v>2</v>
      </c>
      <c r="C110" s="11" t="s">
        <v>497</v>
      </c>
      <c r="D110" s="12">
        <v>46266.333333333299</v>
      </c>
      <c r="E110" s="12">
        <v>46477</v>
      </c>
      <c r="F110" s="11" t="s">
        <v>496</v>
      </c>
    </row>
    <row r="111" spans="1:6" ht="60">
      <c r="A111" s="10" t="s">
        <v>102</v>
      </c>
      <c r="B111" s="10" t="s">
        <v>6</v>
      </c>
      <c r="C111" s="11" t="s">
        <v>507</v>
      </c>
      <c r="D111" s="12">
        <v>46267.875</v>
      </c>
      <c r="E111" s="12">
        <v>46268.25</v>
      </c>
      <c r="F111" s="11" t="s">
        <v>508</v>
      </c>
    </row>
    <row r="112" spans="1:6" ht="75">
      <c r="A112" s="10" t="s">
        <v>341</v>
      </c>
      <c r="B112" s="10" t="s">
        <v>6</v>
      </c>
      <c r="C112" s="11" t="s">
        <v>342</v>
      </c>
      <c r="D112" s="12">
        <v>46267.875</v>
      </c>
      <c r="E112" s="12">
        <v>46268.25</v>
      </c>
      <c r="F112" s="11" t="s">
        <v>343</v>
      </c>
    </row>
    <row r="113" spans="1:6" ht="75">
      <c r="A113" s="10" t="s">
        <v>341</v>
      </c>
      <c r="B113" s="10" t="s">
        <v>6</v>
      </c>
      <c r="C113" s="11" t="s">
        <v>344</v>
      </c>
      <c r="D113" s="12">
        <v>46267.875</v>
      </c>
      <c r="E113" s="12">
        <v>46268.25</v>
      </c>
      <c r="F113" s="11" t="s">
        <v>343</v>
      </c>
    </row>
    <row r="114" spans="1:6" ht="75">
      <c r="A114" s="10" t="s">
        <v>478</v>
      </c>
      <c r="B114" s="10" t="s">
        <v>4</v>
      </c>
      <c r="C114" s="11" t="s">
        <v>479</v>
      </c>
      <c r="D114" s="12">
        <v>46267.916666666701</v>
      </c>
      <c r="E114" s="12">
        <v>46268.25</v>
      </c>
      <c r="F114" s="11" t="s">
        <v>480</v>
      </c>
    </row>
    <row r="115" spans="1:6" ht="75">
      <c r="A115" s="10" t="s">
        <v>54</v>
      </c>
      <c r="B115" s="10" t="s">
        <v>4</v>
      </c>
      <c r="C115" s="11" t="s">
        <v>55</v>
      </c>
      <c r="D115" s="12">
        <v>46267.833333333299</v>
      </c>
      <c r="E115" s="12">
        <v>46268.25</v>
      </c>
      <c r="F115" s="11" t="s">
        <v>56</v>
      </c>
    </row>
    <row r="116" spans="1:6" ht="75">
      <c r="A116" s="10" t="s">
        <v>490</v>
      </c>
      <c r="B116" s="10" t="s">
        <v>2</v>
      </c>
      <c r="C116" s="11" t="s">
        <v>491</v>
      </c>
      <c r="D116" s="12">
        <v>46267.875</v>
      </c>
      <c r="E116" s="12">
        <v>46268.25</v>
      </c>
      <c r="F116" s="11" t="s">
        <v>492</v>
      </c>
    </row>
    <row r="117" spans="1:6" ht="45">
      <c r="A117" s="10" t="s">
        <v>490</v>
      </c>
      <c r="B117" s="10" t="s">
        <v>6</v>
      </c>
      <c r="C117" s="11" t="s">
        <v>493</v>
      </c>
      <c r="D117" s="12">
        <v>46267.875</v>
      </c>
      <c r="E117" s="12">
        <v>46268.25</v>
      </c>
      <c r="F117" s="11" t="s">
        <v>494</v>
      </c>
    </row>
    <row r="118" spans="1:6" ht="45">
      <c r="A118" s="10" t="s">
        <v>121</v>
      </c>
      <c r="B118" s="10" t="s">
        <v>2</v>
      </c>
      <c r="C118" s="11" t="s">
        <v>122</v>
      </c>
      <c r="D118" s="12">
        <v>46267.833333333299</v>
      </c>
      <c r="E118" s="12">
        <v>46268.25</v>
      </c>
      <c r="F118" s="11" t="s">
        <v>120</v>
      </c>
    </row>
    <row r="119" spans="1:6" ht="45">
      <c r="A119" s="10" t="s">
        <v>68</v>
      </c>
      <c r="B119" s="10" t="s">
        <v>4</v>
      </c>
      <c r="C119" s="11" t="s">
        <v>69</v>
      </c>
      <c r="D119" s="12">
        <v>46267.833333333299</v>
      </c>
      <c r="E119" s="12">
        <v>46268.25</v>
      </c>
      <c r="F119" s="11" t="s">
        <v>70</v>
      </c>
    </row>
    <row r="120" spans="1:6" ht="45">
      <c r="A120" s="10" t="s">
        <v>68</v>
      </c>
      <c r="B120" s="10" t="s">
        <v>5</v>
      </c>
      <c r="C120" s="11" t="s">
        <v>76</v>
      </c>
      <c r="D120" s="12">
        <v>46267.833333333299</v>
      </c>
      <c r="E120" s="12">
        <v>46268.25</v>
      </c>
      <c r="F120" s="11" t="s">
        <v>77</v>
      </c>
    </row>
    <row r="121" spans="1:6" ht="45">
      <c r="A121" s="10" t="s">
        <v>516</v>
      </c>
      <c r="B121" s="10" t="s">
        <v>2</v>
      </c>
      <c r="C121" s="11" t="s">
        <v>517</v>
      </c>
      <c r="D121" s="12">
        <v>46217.625</v>
      </c>
      <c r="E121" s="12">
        <v>46387.875</v>
      </c>
      <c r="F121" s="11" t="s">
        <v>518</v>
      </c>
    </row>
    <row r="122" spans="1:6" ht="30">
      <c r="A122" s="10" t="s">
        <v>516</v>
      </c>
      <c r="B122" s="10" t="s">
        <v>4</v>
      </c>
      <c r="C122" s="11" t="s">
        <v>529</v>
      </c>
      <c r="D122" s="12">
        <v>46267.916666666701</v>
      </c>
      <c r="E122" s="12">
        <v>46268.25</v>
      </c>
      <c r="F122" s="11" t="s">
        <v>530</v>
      </c>
    </row>
    <row r="123" spans="1:6" ht="45">
      <c r="A123" s="10" t="s">
        <v>123</v>
      </c>
      <c r="B123" s="10" t="s">
        <v>6</v>
      </c>
      <c r="C123" s="11" t="s">
        <v>124</v>
      </c>
      <c r="D123" s="12">
        <v>46267.833333333299</v>
      </c>
      <c r="E123" s="12">
        <v>46268.25</v>
      </c>
      <c r="F123" s="11" t="s">
        <v>125</v>
      </c>
    </row>
    <row r="124" spans="1:6">
      <c r="A124" s="10" t="s">
        <v>123</v>
      </c>
      <c r="B124" s="10" t="s">
        <v>6</v>
      </c>
      <c r="C124" s="11" t="s">
        <v>126</v>
      </c>
      <c r="D124" s="12">
        <v>46267.833333333299</v>
      </c>
      <c r="E124" s="12">
        <v>46268.25</v>
      </c>
      <c r="F124" s="11" t="s">
        <v>125</v>
      </c>
    </row>
    <row r="125" spans="1:6">
      <c r="A125" s="10" t="s">
        <v>519</v>
      </c>
      <c r="B125" s="10" t="s">
        <v>2</v>
      </c>
      <c r="C125" s="11" t="s">
        <v>520</v>
      </c>
      <c r="D125" s="12">
        <v>46267.875</v>
      </c>
      <c r="E125" s="12">
        <v>46268.25</v>
      </c>
      <c r="F125" s="11" t="s">
        <v>521</v>
      </c>
    </row>
    <row r="126" spans="1:6">
      <c r="A126" s="10" t="s">
        <v>519</v>
      </c>
      <c r="B126" s="10" t="s">
        <v>23</v>
      </c>
      <c r="C126" s="11" t="s">
        <v>522</v>
      </c>
      <c r="D126" s="12">
        <v>46267.916666666701</v>
      </c>
      <c r="E126" s="12">
        <v>46268.25</v>
      </c>
      <c r="F126" s="11" t="s">
        <v>523</v>
      </c>
    </row>
    <row r="127" spans="1:6">
      <c r="A127" s="10" t="s">
        <v>20</v>
      </c>
      <c r="B127" s="10" t="s">
        <v>4</v>
      </c>
      <c r="C127" s="11" t="s">
        <v>21</v>
      </c>
      <c r="D127" s="12">
        <v>46267.833333333299</v>
      </c>
      <c r="E127" s="12">
        <v>46268.25</v>
      </c>
      <c r="F127" s="11" t="s">
        <v>22</v>
      </c>
    </row>
    <row r="128" spans="1:6">
      <c r="A128" s="10" t="s">
        <v>20</v>
      </c>
      <c r="B128" s="10" t="s">
        <v>23</v>
      </c>
      <c r="C128" s="11" t="s">
        <v>24</v>
      </c>
      <c r="D128" s="12">
        <v>46267.833333333299</v>
      </c>
      <c r="E128" s="12">
        <v>46268.25</v>
      </c>
      <c r="F128" s="11" t="s">
        <v>22</v>
      </c>
    </row>
    <row r="129" spans="1:6">
      <c r="A129" s="10" t="s">
        <v>20</v>
      </c>
      <c r="B129" s="10" t="s">
        <v>4</v>
      </c>
      <c r="C129" s="11" t="s">
        <v>25</v>
      </c>
      <c r="D129" s="12">
        <v>46267.833333333299</v>
      </c>
      <c r="E129" s="12">
        <v>46268.25</v>
      </c>
      <c r="F129" s="11" t="s">
        <v>22</v>
      </c>
    </row>
    <row r="130" spans="1:6">
      <c r="A130" s="10" t="s">
        <v>20</v>
      </c>
      <c r="B130" s="10" t="s">
        <v>23</v>
      </c>
      <c r="C130" s="11" t="s">
        <v>48</v>
      </c>
      <c r="D130" s="12">
        <v>46267.833333333299</v>
      </c>
      <c r="E130" s="12">
        <v>46268.25</v>
      </c>
      <c r="F130" s="11" t="s">
        <v>49</v>
      </c>
    </row>
    <row r="131" spans="1:6" ht="30">
      <c r="A131" s="10" t="s">
        <v>251</v>
      </c>
      <c r="B131" s="10" t="s">
        <v>5</v>
      </c>
      <c r="C131" s="11" t="s">
        <v>252</v>
      </c>
      <c r="D131" s="12">
        <v>46267.875</v>
      </c>
      <c r="E131" s="12">
        <v>46268.25</v>
      </c>
      <c r="F131" s="10" t="s">
        <v>247</v>
      </c>
    </row>
    <row r="132" spans="1:6">
      <c r="A132" s="10" t="s">
        <v>251</v>
      </c>
      <c r="B132" s="10" t="s">
        <v>4</v>
      </c>
      <c r="C132" s="11" t="s">
        <v>253</v>
      </c>
      <c r="D132" s="12">
        <v>46267.875</v>
      </c>
      <c r="E132" s="12">
        <v>46268.25</v>
      </c>
      <c r="F132" s="10" t="s">
        <v>247</v>
      </c>
    </row>
    <row r="133" spans="1:6">
      <c r="A133" s="10" t="s">
        <v>71</v>
      </c>
      <c r="B133" s="10" t="s">
        <v>6</v>
      </c>
      <c r="C133" s="11" t="s">
        <v>72</v>
      </c>
      <c r="D133" s="12">
        <v>46267.833333333299</v>
      </c>
      <c r="E133" s="12">
        <v>46268.25</v>
      </c>
      <c r="F133" s="11" t="s">
        <v>73</v>
      </c>
    </row>
    <row r="134" spans="1:6">
      <c r="A134" s="10" t="s">
        <v>71</v>
      </c>
      <c r="B134" s="10" t="s">
        <v>6</v>
      </c>
      <c r="C134" s="11" t="s">
        <v>74</v>
      </c>
      <c r="D134" s="12">
        <v>46267.833333333299</v>
      </c>
      <c r="E134" s="12">
        <v>46268.25</v>
      </c>
      <c r="F134" s="11" t="s">
        <v>75</v>
      </c>
    </row>
    <row r="135" spans="1:6">
      <c r="A135" s="10" t="s">
        <v>533</v>
      </c>
      <c r="B135" s="10" t="s">
        <v>4</v>
      </c>
      <c r="C135" s="11" t="s">
        <v>534</v>
      </c>
      <c r="D135" s="12">
        <v>46267.833333333299</v>
      </c>
      <c r="E135" s="12">
        <v>46268.208333333299</v>
      </c>
      <c r="F135" s="10" t="s">
        <v>535</v>
      </c>
    </row>
    <row r="136" spans="1:6">
      <c r="A136" s="10" t="s">
        <v>533</v>
      </c>
      <c r="B136" s="10" t="s">
        <v>4</v>
      </c>
      <c r="C136" s="11" t="s">
        <v>536</v>
      </c>
      <c r="D136" s="12">
        <v>46267.833333333299</v>
      </c>
      <c r="E136" s="12">
        <v>46268.208333333299</v>
      </c>
      <c r="F136" s="10" t="s">
        <v>535</v>
      </c>
    </row>
    <row r="137" spans="1:6">
      <c r="A137" s="10" t="s">
        <v>533</v>
      </c>
      <c r="B137" s="10" t="s">
        <v>5</v>
      </c>
      <c r="C137" s="11" t="s">
        <v>1297</v>
      </c>
      <c r="D137" s="12">
        <v>46267.833333333299</v>
      </c>
      <c r="E137" s="12">
        <v>46268.208333333299</v>
      </c>
      <c r="F137" s="10" t="s">
        <v>537</v>
      </c>
    </row>
    <row r="138" spans="1:6">
      <c r="A138" s="10" t="s">
        <v>509</v>
      </c>
      <c r="B138" s="10" t="s">
        <v>23</v>
      </c>
      <c r="C138" s="11" t="s">
        <v>510</v>
      </c>
      <c r="D138" s="12">
        <v>46230.833333333299</v>
      </c>
      <c r="E138" s="12">
        <v>46403.25</v>
      </c>
      <c r="F138" s="11" t="s">
        <v>511</v>
      </c>
    </row>
    <row r="139" spans="1:6">
      <c r="A139" s="10" t="s">
        <v>509</v>
      </c>
      <c r="B139" s="10" t="s">
        <v>2</v>
      </c>
      <c r="C139" s="11" t="s">
        <v>514</v>
      </c>
      <c r="D139" s="12">
        <v>46267.875</v>
      </c>
      <c r="E139" s="12">
        <v>46268.25</v>
      </c>
      <c r="F139" s="11" t="s">
        <v>515</v>
      </c>
    </row>
    <row r="140" spans="1:6">
      <c r="A140" s="10" t="s">
        <v>509</v>
      </c>
      <c r="B140" s="10" t="s">
        <v>2</v>
      </c>
      <c r="C140" s="11" t="s">
        <v>527</v>
      </c>
      <c r="D140" s="12">
        <v>46267.875</v>
      </c>
      <c r="E140" s="12">
        <v>46268.25</v>
      </c>
      <c r="F140" s="11" t="s">
        <v>528</v>
      </c>
    </row>
    <row r="141" spans="1:6">
      <c r="A141" s="10" t="s">
        <v>509</v>
      </c>
      <c r="B141" s="10" t="s">
        <v>6</v>
      </c>
      <c r="C141" s="11" t="s">
        <v>531</v>
      </c>
      <c r="D141" s="12">
        <v>46267.875</v>
      </c>
      <c r="E141" s="12">
        <v>46268.25</v>
      </c>
      <c r="F141" s="11" t="s">
        <v>532</v>
      </c>
    </row>
    <row r="142" spans="1:6">
      <c r="A142" s="10" t="s">
        <v>284</v>
      </c>
      <c r="B142" s="10" t="s">
        <v>6</v>
      </c>
      <c r="C142" s="11" t="s">
        <v>285</v>
      </c>
      <c r="D142" s="12">
        <v>46267.875</v>
      </c>
      <c r="E142" s="12">
        <v>46268.25</v>
      </c>
      <c r="F142" s="10" t="s">
        <v>286</v>
      </c>
    </row>
    <row r="143" spans="1:6">
      <c r="A143" s="10" t="s">
        <v>148</v>
      </c>
      <c r="B143" s="10" t="s">
        <v>4</v>
      </c>
      <c r="C143" s="11" t="s">
        <v>149</v>
      </c>
      <c r="D143" s="12">
        <v>46267.833333333299</v>
      </c>
      <c r="E143" s="12">
        <v>46268.25</v>
      </c>
      <c r="F143" s="11" t="s">
        <v>150</v>
      </c>
    </row>
    <row r="144" spans="1:6">
      <c r="A144" s="10" t="s">
        <v>177</v>
      </c>
      <c r="B144" s="10" t="s">
        <v>6</v>
      </c>
      <c r="C144" s="11" t="s">
        <v>178</v>
      </c>
      <c r="D144" s="12">
        <v>46237.833333333299</v>
      </c>
      <c r="E144" s="12">
        <v>46326.25</v>
      </c>
      <c r="F144" s="11" t="s">
        <v>179</v>
      </c>
    </row>
    <row r="145" spans="1:6">
      <c r="A145" s="10" t="s">
        <v>177</v>
      </c>
      <c r="B145" s="10" t="s">
        <v>2</v>
      </c>
      <c r="C145" s="11" t="s">
        <v>180</v>
      </c>
      <c r="D145" s="12">
        <v>46237.833333333299</v>
      </c>
      <c r="E145" s="12">
        <v>46326.25</v>
      </c>
      <c r="F145" s="11" t="s">
        <v>179</v>
      </c>
    </row>
    <row r="146" spans="1:6">
      <c r="A146" s="10" t="s">
        <v>310</v>
      </c>
      <c r="B146" s="10" t="s">
        <v>6</v>
      </c>
      <c r="C146" s="11" t="s">
        <v>311</v>
      </c>
      <c r="D146" s="12">
        <v>46267.833333333299</v>
      </c>
      <c r="E146" s="12">
        <v>46268.25</v>
      </c>
      <c r="F146" s="10" t="s">
        <v>312</v>
      </c>
    </row>
    <row r="147" spans="1:6">
      <c r="A147" s="10" t="s">
        <v>310</v>
      </c>
      <c r="B147" s="10" t="s">
        <v>6</v>
      </c>
      <c r="C147" s="11" t="s">
        <v>313</v>
      </c>
      <c r="D147" s="12">
        <v>46267.833333333299</v>
      </c>
      <c r="E147" s="12">
        <v>46268.25</v>
      </c>
      <c r="F147" s="10" t="s">
        <v>312</v>
      </c>
    </row>
    <row r="148" spans="1:6">
      <c r="A148" s="10" t="s">
        <v>170</v>
      </c>
      <c r="B148" s="10" t="s">
        <v>5</v>
      </c>
      <c r="C148" s="11" t="s">
        <v>171</v>
      </c>
      <c r="D148" s="12">
        <v>46267.833333333299</v>
      </c>
      <c r="E148" s="12">
        <v>46268.25</v>
      </c>
      <c r="F148" s="11" t="s">
        <v>172</v>
      </c>
    </row>
    <row r="149" spans="1:6">
      <c r="A149" s="10" t="s">
        <v>202</v>
      </c>
      <c r="B149" s="10" t="s">
        <v>5</v>
      </c>
      <c r="C149" s="11" t="s">
        <v>203</v>
      </c>
      <c r="D149" s="12">
        <v>46267.833333333299</v>
      </c>
      <c r="E149" s="12">
        <v>46268.25</v>
      </c>
      <c r="F149" s="11" t="s">
        <v>204</v>
      </c>
    </row>
    <row r="150" spans="1:6">
      <c r="A150" s="10" t="s">
        <v>202</v>
      </c>
      <c r="B150" s="10" t="s">
        <v>5</v>
      </c>
      <c r="C150" s="11" t="s">
        <v>205</v>
      </c>
      <c r="D150" s="12">
        <v>46267.833333333299</v>
      </c>
      <c r="E150" s="12">
        <v>46268.25</v>
      </c>
      <c r="F150" s="11" t="s">
        <v>204</v>
      </c>
    </row>
    <row r="151" spans="1:6">
      <c r="A151" s="10" t="s">
        <v>202</v>
      </c>
      <c r="B151" s="10" t="s">
        <v>5</v>
      </c>
      <c r="C151" s="11" t="s">
        <v>206</v>
      </c>
      <c r="D151" s="12">
        <v>46267.833333333299</v>
      </c>
      <c r="E151" s="12">
        <v>46268.25</v>
      </c>
      <c r="F151" s="11" t="s">
        <v>204</v>
      </c>
    </row>
    <row r="152" spans="1:6">
      <c r="A152" s="10" t="s">
        <v>202</v>
      </c>
      <c r="B152" s="10" t="s">
        <v>5</v>
      </c>
      <c r="C152" s="11" t="s">
        <v>207</v>
      </c>
      <c r="D152" s="12">
        <v>46267.833333333299</v>
      </c>
      <c r="E152" s="12">
        <v>46268.25</v>
      </c>
      <c r="F152" s="11" t="s">
        <v>204</v>
      </c>
    </row>
    <row r="153" spans="1:6">
      <c r="A153" s="10" t="s">
        <v>202</v>
      </c>
      <c r="B153" s="10" t="s">
        <v>5</v>
      </c>
      <c r="C153" s="11" t="s">
        <v>208</v>
      </c>
      <c r="D153" s="12">
        <v>46267.833333333299</v>
      </c>
      <c r="E153" s="12">
        <v>46268.25</v>
      </c>
      <c r="F153" s="11" t="s">
        <v>204</v>
      </c>
    </row>
    <row r="154" spans="1:6">
      <c r="A154" s="10" t="s">
        <v>218</v>
      </c>
      <c r="B154" s="10" t="s">
        <v>5</v>
      </c>
      <c r="C154" s="11" t="s">
        <v>219</v>
      </c>
      <c r="D154" s="12">
        <v>46267.833333333299</v>
      </c>
      <c r="E154" s="12">
        <v>46268.25</v>
      </c>
      <c r="F154" s="11" t="s">
        <v>220</v>
      </c>
    </row>
    <row r="155" spans="1:6">
      <c r="A155" s="10" t="s">
        <v>57</v>
      </c>
      <c r="B155" s="10" t="s">
        <v>2</v>
      </c>
      <c r="C155" s="11" t="s">
        <v>58</v>
      </c>
      <c r="D155" s="12">
        <v>46267.916666666701</v>
      </c>
      <c r="E155" s="12">
        <v>46268.208333333299</v>
      </c>
      <c r="F155" s="11" t="s">
        <v>59</v>
      </c>
    </row>
    <row r="156" spans="1:6">
      <c r="A156" s="10" t="s">
        <v>57</v>
      </c>
      <c r="B156" s="10" t="s">
        <v>2</v>
      </c>
      <c r="C156" s="11" t="s">
        <v>63</v>
      </c>
      <c r="D156" s="12">
        <v>46267.875</v>
      </c>
      <c r="E156" s="12">
        <v>46268.208333333299</v>
      </c>
      <c r="F156" s="11" t="s">
        <v>64</v>
      </c>
    </row>
    <row r="157" spans="1:6">
      <c r="A157" s="10" t="s">
        <v>57</v>
      </c>
      <c r="B157" s="10" t="s">
        <v>2</v>
      </c>
      <c r="C157" s="11" t="s">
        <v>119</v>
      </c>
      <c r="D157" s="12">
        <v>46267.833333333299</v>
      </c>
      <c r="E157" s="12">
        <v>46268.25</v>
      </c>
      <c r="F157" s="11" t="s">
        <v>120</v>
      </c>
    </row>
    <row r="158" spans="1:6">
      <c r="A158" s="10" t="s">
        <v>57</v>
      </c>
      <c r="B158" s="10" t="s">
        <v>2</v>
      </c>
      <c r="C158" s="11" t="s">
        <v>151</v>
      </c>
      <c r="D158" s="12">
        <v>46267.833333333299</v>
      </c>
      <c r="E158" s="12">
        <v>46268.25</v>
      </c>
      <c r="F158" s="11" t="s">
        <v>152</v>
      </c>
    </row>
    <row r="159" spans="1:6">
      <c r="A159" s="10" t="s">
        <v>57</v>
      </c>
      <c r="B159" s="10" t="s">
        <v>2</v>
      </c>
      <c r="C159" s="11" t="s">
        <v>153</v>
      </c>
      <c r="D159" s="12">
        <v>46267.833333333299</v>
      </c>
      <c r="E159" s="12">
        <v>46268.25</v>
      </c>
      <c r="F159" s="11" t="s">
        <v>152</v>
      </c>
    </row>
    <row r="160" spans="1:6">
      <c r="A160" s="10" t="s">
        <v>57</v>
      </c>
      <c r="B160" s="10" t="s">
        <v>2</v>
      </c>
      <c r="C160" s="11" t="s">
        <v>181</v>
      </c>
      <c r="D160" s="12">
        <v>46267.875</v>
      </c>
      <c r="E160" s="12">
        <v>46268.25</v>
      </c>
      <c r="F160" s="11" t="s">
        <v>182</v>
      </c>
    </row>
    <row r="161" spans="1:6">
      <c r="A161" s="10" t="s">
        <v>57</v>
      </c>
      <c r="B161" s="10" t="s">
        <v>6</v>
      </c>
      <c r="C161" s="11" t="s">
        <v>183</v>
      </c>
      <c r="D161" s="12">
        <v>46267.833333333299</v>
      </c>
      <c r="E161" s="12">
        <v>46268.208333333299</v>
      </c>
      <c r="F161" s="11" t="s">
        <v>184</v>
      </c>
    </row>
    <row r="162" spans="1:6">
      <c r="A162" s="10" t="s">
        <v>57</v>
      </c>
      <c r="B162" s="10" t="s">
        <v>2</v>
      </c>
      <c r="C162" s="11" t="s">
        <v>185</v>
      </c>
      <c r="D162" s="12">
        <v>46267.916666666701</v>
      </c>
      <c r="E162" s="12">
        <v>46268.25</v>
      </c>
      <c r="F162" s="11" t="s">
        <v>186</v>
      </c>
    </row>
    <row r="163" spans="1:6">
      <c r="A163" s="10" t="s">
        <v>57</v>
      </c>
      <c r="B163" s="10" t="s">
        <v>6</v>
      </c>
      <c r="C163" s="11" t="s">
        <v>1295</v>
      </c>
      <c r="D163" s="12">
        <v>46267.916666666701</v>
      </c>
      <c r="E163" s="12">
        <v>46268.229166666701</v>
      </c>
      <c r="F163" s="11" t="s">
        <v>1296</v>
      </c>
    </row>
    <row r="164" spans="1:6">
      <c r="A164" s="10" t="s">
        <v>26</v>
      </c>
      <c r="B164" s="10" t="s">
        <v>2</v>
      </c>
      <c r="C164" s="11" t="s">
        <v>27</v>
      </c>
      <c r="D164" s="12">
        <v>46267.875</v>
      </c>
      <c r="E164" s="12">
        <v>46268.208333333299</v>
      </c>
      <c r="F164" s="11" t="s">
        <v>28</v>
      </c>
    </row>
    <row r="165" spans="1:6">
      <c r="A165" s="10" t="s">
        <v>26</v>
      </c>
      <c r="B165" s="10" t="s">
        <v>6</v>
      </c>
      <c r="C165" s="11" t="s">
        <v>50</v>
      </c>
      <c r="D165" s="12">
        <v>46267.875</v>
      </c>
      <c r="E165" s="12">
        <v>46268.208333333299</v>
      </c>
      <c r="F165" s="11" t="s">
        <v>51</v>
      </c>
    </row>
    <row r="166" spans="1:6">
      <c r="A166" s="10" t="s">
        <v>145</v>
      </c>
      <c r="B166" s="10" t="s">
        <v>2</v>
      </c>
      <c r="C166" s="11" t="s">
        <v>146</v>
      </c>
      <c r="D166" s="12">
        <v>46267.833333333299</v>
      </c>
      <c r="E166" s="12">
        <v>46268.25</v>
      </c>
      <c r="F166" s="11" t="s">
        <v>143</v>
      </c>
    </row>
    <row r="167" spans="1:6">
      <c r="A167" s="10" t="s">
        <v>145</v>
      </c>
      <c r="B167" s="10" t="s">
        <v>6</v>
      </c>
      <c r="C167" s="11" t="s">
        <v>157</v>
      </c>
      <c r="D167" s="12">
        <v>46267.833333333299</v>
      </c>
      <c r="E167" s="12">
        <v>46268.25</v>
      </c>
      <c r="F167" s="11" t="s">
        <v>155</v>
      </c>
    </row>
    <row r="168" spans="1:6">
      <c r="A168" s="10" t="s">
        <v>145</v>
      </c>
      <c r="B168" s="10" t="s">
        <v>6</v>
      </c>
      <c r="C168" s="11" t="s">
        <v>158</v>
      </c>
      <c r="D168" s="12">
        <v>46267.833333333299</v>
      </c>
      <c r="E168" s="12">
        <v>46268.25</v>
      </c>
      <c r="F168" s="11" t="s">
        <v>155</v>
      </c>
    </row>
    <row r="169" spans="1:6">
      <c r="A169" s="10" t="s">
        <v>137</v>
      </c>
      <c r="B169" s="10" t="s">
        <v>4</v>
      </c>
      <c r="C169" s="11" t="s">
        <v>138</v>
      </c>
      <c r="D169" s="12">
        <v>46267.833333333299</v>
      </c>
      <c r="E169" s="12">
        <v>46268.25</v>
      </c>
      <c r="F169" s="11" t="s">
        <v>139</v>
      </c>
    </row>
    <row r="170" spans="1:6">
      <c r="A170" s="10" t="s">
        <v>137</v>
      </c>
      <c r="B170" s="10" t="s">
        <v>4</v>
      </c>
      <c r="C170" s="11" t="s">
        <v>140</v>
      </c>
      <c r="D170" s="12">
        <v>46267.833333333299</v>
      </c>
      <c r="E170" s="12">
        <v>46268.25</v>
      </c>
      <c r="F170" s="11" t="s">
        <v>139</v>
      </c>
    </row>
    <row r="171" spans="1:6">
      <c r="A171" s="10" t="s">
        <v>137</v>
      </c>
      <c r="B171" s="10" t="s">
        <v>4</v>
      </c>
      <c r="C171" s="11" t="s">
        <v>141</v>
      </c>
      <c r="D171" s="12">
        <v>46267.833333333299</v>
      </c>
      <c r="E171" s="12">
        <v>46268.25</v>
      </c>
      <c r="F171" s="11" t="s">
        <v>139</v>
      </c>
    </row>
    <row r="172" spans="1:6">
      <c r="A172" s="10" t="s">
        <v>389</v>
      </c>
      <c r="B172" s="10" t="s">
        <v>4</v>
      </c>
      <c r="C172" s="11" t="s">
        <v>390</v>
      </c>
      <c r="D172" s="12">
        <v>46267.833333333299</v>
      </c>
      <c r="E172" s="12">
        <v>46268.25</v>
      </c>
      <c r="F172" s="11" t="s">
        <v>391</v>
      </c>
    </row>
    <row r="173" spans="1:6">
      <c r="A173" s="10" t="s">
        <v>415</v>
      </c>
      <c r="B173" s="10" t="s">
        <v>4</v>
      </c>
      <c r="C173" s="11" t="s">
        <v>416</v>
      </c>
      <c r="D173" s="12">
        <v>46267.916666666701</v>
      </c>
      <c r="E173" s="12">
        <v>46268.229166666701</v>
      </c>
      <c r="F173" s="11" t="s">
        <v>414</v>
      </c>
    </row>
    <row r="174" spans="1:6">
      <c r="A174" s="10" t="s">
        <v>415</v>
      </c>
      <c r="B174" s="10" t="s">
        <v>4</v>
      </c>
      <c r="C174" s="11" t="s">
        <v>417</v>
      </c>
      <c r="D174" s="12">
        <v>46267.916666666701</v>
      </c>
      <c r="E174" s="12">
        <v>46268.229166666701</v>
      </c>
      <c r="F174" s="11" t="s">
        <v>414</v>
      </c>
    </row>
    <row r="175" spans="1:6">
      <c r="A175" s="10" t="s">
        <v>415</v>
      </c>
      <c r="B175" s="10" t="s">
        <v>8</v>
      </c>
      <c r="C175" s="11" t="s">
        <v>418</v>
      </c>
      <c r="D175" s="12">
        <v>46267.916666666701</v>
      </c>
      <c r="E175" s="12">
        <v>46268.229166666701</v>
      </c>
      <c r="F175" s="11" t="s">
        <v>419</v>
      </c>
    </row>
    <row r="176" spans="1:6">
      <c r="A176" s="10" t="s">
        <v>415</v>
      </c>
      <c r="B176" s="10" t="s">
        <v>7</v>
      </c>
      <c r="C176" s="11" t="s">
        <v>427</v>
      </c>
      <c r="D176" s="12">
        <v>46267.916666666701</v>
      </c>
      <c r="E176" s="12">
        <v>46268.229166666701</v>
      </c>
      <c r="F176" s="11" t="s">
        <v>428</v>
      </c>
    </row>
    <row r="177" spans="1:6">
      <c r="A177" s="10" t="s">
        <v>415</v>
      </c>
      <c r="B177" s="10" t="s">
        <v>8</v>
      </c>
      <c r="C177" s="11" t="s">
        <v>429</v>
      </c>
      <c r="D177" s="12">
        <v>46267.916666666701</v>
      </c>
      <c r="E177" s="12">
        <v>46268.229166666701</v>
      </c>
      <c r="F177" s="11" t="s">
        <v>430</v>
      </c>
    </row>
    <row r="178" spans="1:6">
      <c r="A178" s="10" t="s">
        <v>415</v>
      </c>
      <c r="B178" s="10" t="s">
        <v>4</v>
      </c>
      <c r="C178" s="11" t="s">
        <v>440</v>
      </c>
      <c r="D178" s="12">
        <v>46267.916666666701</v>
      </c>
      <c r="E178" s="12">
        <v>46268.229166666701</v>
      </c>
      <c r="F178" s="11" t="s">
        <v>441</v>
      </c>
    </row>
    <row r="179" spans="1:6">
      <c r="A179" s="10" t="s">
        <v>415</v>
      </c>
      <c r="B179" s="10" t="s">
        <v>2</v>
      </c>
      <c r="C179" s="11" t="s">
        <v>448</v>
      </c>
      <c r="D179" s="12">
        <v>46267.916666666701</v>
      </c>
      <c r="E179" s="12">
        <v>46268.229166666701</v>
      </c>
      <c r="F179" s="11" t="s">
        <v>449</v>
      </c>
    </row>
    <row r="180" spans="1:6">
      <c r="A180" s="10" t="s">
        <v>433</v>
      </c>
      <c r="B180" s="10" t="s">
        <v>4</v>
      </c>
      <c r="C180" s="11" t="s">
        <v>434</v>
      </c>
      <c r="D180" s="12">
        <v>46267.916666666701</v>
      </c>
      <c r="E180" s="12">
        <v>46268.229166666701</v>
      </c>
      <c r="F180" s="11" t="s">
        <v>435</v>
      </c>
    </row>
    <row r="181" spans="1:6">
      <c r="A181" s="10" t="s">
        <v>333</v>
      </c>
      <c r="B181" s="10" t="s">
        <v>5</v>
      </c>
      <c r="C181" s="11" t="s">
        <v>334</v>
      </c>
      <c r="D181" s="12">
        <v>46267.875</v>
      </c>
      <c r="E181" s="12">
        <v>46268.25</v>
      </c>
      <c r="F181" s="11" t="s">
        <v>335</v>
      </c>
    </row>
    <row r="182" spans="1:6">
      <c r="A182" s="10" t="s">
        <v>333</v>
      </c>
      <c r="B182" s="10" t="s">
        <v>5</v>
      </c>
      <c r="C182" s="11" t="s">
        <v>336</v>
      </c>
      <c r="D182" s="12">
        <v>46267.875</v>
      </c>
      <c r="E182" s="12">
        <v>46268.25</v>
      </c>
      <c r="F182" s="11" t="s">
        <v>337</v>
      </c>
    </row>
    <row r="183" spans="1:6">
      <c r="A183" s="10" t="s">
        <v>333</v>
      </c>
      <c r="B183" s="10" t="s">
        <v>4</v>
      </c>
      <c r="C183" s="11" t="s">
        <v>363</v>
      </c>
      <c r="D183" s="12">
        <v>46267.833333333299</v>
      </c>
      <c r="E183" s="12">
        <v>46268.25</v>
      </c>
      <c r="F183" s="11" t="s">
        <v>364</v>
      </c>
    </row>
    <row r="184" spans="1:6">
      <c r="A184" s="10" t="s">
        <v>333</v>
      </c>
      <c r="B184" s="10" t="s">
        <v>5</v>
      </c>
      <c r="C184" s="11" t="s">
        <v>375</v>
      </c>
      <c r="D184" s="12">
        <v>46267.875</v>
      </c>
      <c r="E184" s="12">
        <v>46268.25</v>
      </c>
      <c r="F184" s="11" t="s">
        <v>373</v>
      </c>
    </row>
    <row r="185" spans="1:6">
      <c r="A185" s="10" t="s">
        <v>365</v>
      </c>
      <c r="B185" s="10" t="s">
        <v>6</v>
      </c>
      <c r="C185" s="11" t="s">
        <v>366</v>
      </c>
      <c r="D185" s="12">
        <v>46267.833333333299</v>
      </c>
      <c r="E185" s="12">
        <v>46268.25</v>
      </c>
      <c r="F185" s="11" t="s">
        <v>364</v>
      </c>
    </row>
    <row r="186" spans="1:6">
      <c r="A186" s="10" t="s">
        <v>327</v>
      </c>
      <c r="B186" s="10" t="s">
        <v>2</v>
      </c>
      <c r="C186" s="11" t="s">
        <v>328</v>
      </c>
      <c r="D186" s="12">
        <v>46237.25</v>
      </c>
      <c r="E186" s="12">
        <v>46692.25</v>
      </c>
      <c r="F186" s="11" t="s">
        <v>329</v>
      </c>
    </row>
    <row r="187" spans="1:6">
      <c r="A187" s="10" t="s">
        <v>327</v>
      </c>
      <c r="B187" s="10" t="s">
        <v>2</v>
      </c>
      <c r="C187" s="11" t="s">
        <v>352</v>
      </c>
      <c r="D187" s="12">
        <v>46267.875</v>
      </c>
      <c r="E187" s="12">
        <v>46268.25</v>
      </c>
      <c r="F187" s="11" t="s">
        <v>353</v>
      </c>
    </row>
    <row r="188" spans="1:6">
      <c r="A188" s="10" t="s">
        <v>327</v>
      </c>
      <c r="B188" s="10" t="s">
        <v>2</v>
      </c>
      <c r="C188" s="11" t="s">
        <v>362</v>
      </c>
      <c r="D188" s="12">
        <v>46267.875</v>
      </c>
      <c r="E188" s="12">
        <v>46268.25</v>
      </c>
      <c r="F188" s="11" t="s">
        <v>361</v>
      </c>
    </row>
    <row r="189" spans="1:6">
      <c r="A189" s="10" t="s">
        <v>327</v>
      </c>
      <c r="B189" s="10" t="s">
        <v>6</v>
      </c>
      <c r="C189" s="11" t="s">
        <v>369</v>
      </c>
      <c r="D189" s="12">
        <v>46267.875</v>
      </c>
      <c r="E189" s="12">
        <v>46268.25</v>
      </c>
      <c r="F189" s="10" t="s">
        <v>370</v>
      </c>
    </row>
    <row r="190" spans="1:6">
      <c r="A190" s="10" t="s">
        <v>327</v>
      </c>
      <c r="B190" s="10" t="s">
        <v>4</v>
      </c>
      <c r="C190" s="11" t="s">
        <v>413</v>
      </c>
      <c r="D190" s="12">
        <v>46267.916666666701</v>
      </c>
      <c r="E190" s="12">
        <v>46268.229166666701</v>
      </c>
      <c r="F190" s="11" t="s">
        <v>414</v>
      </c>
    </row>
    <row r="191" spans="1:6">
      <c r="A191" s="10" t="s">
        <v>354</v>
      </c>
      <c r="B191" s="10" t="s">
        <v>5</v>
      </c>
      <c r="C191" s="11" t="s">
        <v>355</v>
      </c>
      <c r="D191" s="12">
        <v>46267.875</v>
      </c>
      <c r="E191" s="12">
        <v>46268.25</v>
      </c>
      <c r="F191" s="11" t="s">
        <v>356</v>
      </c>
    </row>
    <row r="192" spans="1:6">
      <c r="A192" s="10" t="s">
        <v>354</v>
      </c>
      <c r="B192" s="10" t="s">
        <v>5</v>
      </c>
      <c r="C192" s="11" t="s">
        <v>367</v>
      </c>
      <c r="D192" s="12">
        <v>46267.875</v>
      </c>
      <c r="E192" s="12">
        <v>46268.25</v>
      </c>
      <c r="F192" s="11" t="s">
        <v>368</v>
      </c>
    </row>
    <row r="193" spans="1:6">
      <c r="A193" s="10" t="s">
        <v>354</v>
      </c>
      <c r="B193" s="10" t="s">
        <v>4</v>
      </c>
      <c r="C193" s="11" t="s">
        <v>438</v>
      </c>
      <c r="D193" s="12">
        <v>46267.916666666701</v>
      </c>
      <c r="E193" s="12">
        <v>46268.229166666701</v>
      </c>
      <c r="F193" s="11" t="s">
        <v>439</v>
      </c>
    </row>
    <row r="194" spans="1:6">
      <c r="A194" s="10" t="s">
        <v>78</v>
      </c>
      <c r="B194" s="10" t="s">
        <v>2</v>
      </c>
      <c r="C194" s="11" t="s">
        <v>79</v>
      </c>
      <c r="D194" s="12">
        <v>46267.927083333299</v>
      </c>
      <c r="E194" s="12">
        <v>46268.25</v>
      </c>
      <c r="F194" s="11" t="s">
        <v>80</v>
      </c>
    </row>
    <row r="195" spans="1:6">
      <c r="A195" s="10" t="s">
        <v>78</v>
      </c>
      <c r="B195" s="10" t="s">
        <v>2</v>
      </c>
      <c r="C195" s="11" t="s">
        <v>81</v>
      </c>
      <c r="D195" s="12">
        <v>46267.927083333299</v>
      </c>
      <c r="E195" s="12">
        <v>46268.25</v>
      </c>
      <c r="F195" s="11" t="s">
        <v>80</v>
      </c>
    </row>
    <row r="196" spans="1:6">
      <c r="A196" s="10" t="s">
        <v>78</v>
      </c>
      <c r="B196" s="10" t="s">
        <v>2</v>
      </c>
      <c r="C196" s="11" t="s">
        <v>82</v>
      </c>
      <c r="D196" s="12">
        <v>46267.927083333299</v>
      </c>
      <c r="E196" s="12">
        <v>46268.25</v>
      </c>
      <c r="F196" s="11" t="s">
        <v>80</v>
      </c>
    </row>
    <row r="197" spans="1:6" ht="30">
      <c r="A197" s="10" t="s">
        <v>78</v>
      </c>
      <c r="B197" s="10" t="s">
        <v>6</v>
      </c>
      <c r="C197" s="11" t="s">
        <v>83</v>
      </c>
      <c r="D197" s="12">
        <v>46267.927083333299</v>
      </c>
      <c r="E197" s="12">
        <v>46268.25</v>
      </c>
      <c r="F197" s="11" t="s">
        <v>84</v>
      </c>
    </row>
    <row r="198" spans="1:6" ht="45">
      <c r="A198" s="10" t="s">
        <v>78</v>
      </c>
      <c r="B198" s="10" t="s">
        <v>6</v>
      </c>
      <c r="C198" s="11" t="s">
        <v>85</v>
      </c>
      <c r="D198" s="12">
        <v>46267.927083333299</v>
      </c>
      <c r="E198" s="12">
        <v>46268.25</v>
      </c>
      <c r="F198" s="11" t="s">
        <v>84</v>
      </c>
    </row>
    <row r="199" spans="1:6" ht="60">
      <c r="A199" s="10" t="s">
        <v>78</v>
      </c>
      <c r="B199" s="10" t="s">
        <v>6</v>
      </c>
      <c r="C199" s="11" t="s">
        <v>86</v>
      </c>
      <c r="D199" s="12">
        <v>46267.927083333299</v>
      </c>
      <c r="E199" s="12">
        <v>46268.25</v>
      </c>
      <c r="F199" s="11" t="s">
        <v>87</v>
      </c>
    </row>
    <row r="200" spans="1:6" ht="45">
      <c r="A200" s="10" t="s">
        <v>78</v>
      </c>
      <c r="B200" s="10" t="s">
        <v>2</v>
      </c>
      <c r="C200" s="11" t="s">
        <v>88</v>
      </c>
      <c r="D200" s="12">
        <v>46267.927083333299</v>
      </c>
      <c r="E200" s="12">
        <v>46268.25</v>
      </c>
      <c r="F200" s="11" t="s">
        <v>89</v>
      </c>
    </row>
    <row r="201" spans="1:6" ht="30">
      <c r="A201" s="10" t="s">
        <v>503</v>
      </c>
      <c r="B201" s="10" t="s">
        <v>2</v>
      </c>
      <c r="C201" s="11" t="s">
        <v>504</v>
      </c>
      <c r="D201" s="12">
        <v>46267.875</v>
      </c>
      <c r="E201" s="12">
        <v>46268.25</v>
      </c>
      <c r="F201" s="11" t="s">
        <v>502</v>
      </c>
    </row>
    <row r="202" spans="1:6" ht="30">
      <c r="A202" s="10" t="s">
        <v>90</v>
      </c>
      <c r="B202" s="10" t="s">
        <v>5</v>
      </c>
      <c r="C202" s="11" t="s">
        <v>91</v>
      </c>
      <c r="D202" s="12">
        <v>46267.833333333299</v>
      </c>
      <c r="E202" s="12">
        <v>46268.25</v>
      </c>
      <c r="F202" s="11" t="s">
        <v>92</v>
      </c>
    </row>
    <row r="203" spans="1:6" ht="30">
      <c r="A203" s="10" t="s">
        <v>470</v>
      </c>
      <c r="B203" s="10" t="s">
        <v>6</v>
      </c>
      <c r="C203" s="11" t="s">
        <v>471</v>
      </c>
      <c r="D203" s="12">
        <v>46267.895833333299</v>
      </c>
      <c r="E203" s="12">
        <v>46268.25</v>
      </c>
      <c r="F203" s="11" t="s">
        <v>472</v>
      </c>
    </row>
    <row r="204" spans="1:6" ht="30">
      <c r="A204" s="10" t="s">
        <v>470</v>
      </c>
      <c r="B204" s="10" t="s">
        <v>6</v>
      </c>
      <c r="C204" s="11" t="s">
        <v>476</v>
      </c>
      <c r="D204" s="12">
        <v>46267.875</v>
      </c>
      <c r="E204" s="12">
        <v>46268.208333333299</v>
      </c>
      <c r="F204" s="11" t="s">
        <v>477</v>
      </c>
    </row>
    <row r="205" spans="1:6" ht="30">
      <c r="A205" s="10" t="s">
        <v>470</v>
      </c>
      <c r="B205" s="10" t="s">
        <v>6</v>
      </c>
      <c r="C205" s="11" t="s">
        <v>481</v>
      </c>
      <c r="D205" s="12">
        <v>46267.916666666701</v>
      </c>
      <c r="E205" s="12">
        <v>46268.25</v>
      </c>
      <c r="F205" s="11" t="s">
        <v>480</v>
      </c>
    </row>
    <row r="206" spans="1:6" ht="30">
      <c r="A206" s="10" t="s">
        <v>470</v>
      </c>
      <c r="B206" s="10" t="s">
        <v>6</v>
      </c>
      <c r="C206" s="11" t="s">
        <v>482</v>
      </c>
      <c r="D206" s="12">
        <v>46267.916666666701</v>
      </c>
      <c r="E206" s="12">
        <v>46268.25</v>
      </c>
      <c r="F206" s="11" t="s">
        <v>480</v>
      </c>
    </row>
    <row r="207" spans="1:6" ht="45">
      <c r="A207" s="10" t="s">
        <v>470</v>
      </c>
      <c r="B207" s="10" t="s">
        <v>6</v>
      </c>
      <c r="C207" s="11" t="s">
        <v>483</v>
      </c>
      <c r="D207" s="12">
        <v>46267.916666666701</v>
      </c>
      <c r="E207" s="12">
        <v>46268.25</v>
      </c>
      <c r="F207" s="11" t="s">
        <v>484</v>
      </c>
    </row>
    <row r="208" spans="1:6" ht="45">
      <c r="A208" s="10" t="s">
        <v>240</v>
      </c>
      <c r="B208" s="10" t="s">
        <v>2</v>
      </c>
      <c r="C208" s="11" t="s">
        <v>1274</v>
      </c>
      <c r="D208" s="12">
        <v>46267.833333333299</v>
      </c>
      <c r="E208" s="12">
        <v>46268.25</v>
      </c>
      <c r="F208" s="10" t="s">
        <v>1289</v>
      </c>
    </row>
    <row r="209" spans="1:6" ht="30">
      <c r="A209" s="10" t="s">
        <v>240</v>
      </c>
      <c r="B209" s="10" t="s">
        <v>2</v>
      </c>
      <c r="C209" s="11" t="s">
        <v>1273</v>
      </c>
      <c r="D209" s="12">
        <v>46267.833333333299</v>
      </c>
      <c r="E209" s="12">
        <v>46268.25</v>
      </c>
      <c r="F209" s="10" t="s">
        <v>1289</v>
      </c>
    </row>
    <row r="210" spans="1:6" ht="30">
      <c r="A210" s="10" t="s">
        <v>240</v>
      </c>
      <c r="B210" s="10" t="s">
        <v>2</v>
      </c>
      <c r="C210" s="11" t="s">
        <v>1278</v>
      </c>
      <c r="D210" s="12">
        <v>46267.833333333299</v>
      </c>
      <c r="E210" s="12">
        <v>46268.25</v>
      </c>
      <c r="F210" s="10" t="s">
        <v>1289</v>
      </c>
    </row>
    <row r="211" spans="1:6" ht="45">
      <c r="A211" s="10" t="s">
        <v>240</v>
      </c>
      <c r="B211" s="10" t="s">
        <v>2</v>
      </c>
      <c r="C211" s="11" t="s">
        <v>1277</v>
      </c>
      <c r="D211" s="12">
        <v>46267.833333333299</v>
      </c>
      <c r="E211" s="12">
        <v>46268.25</v>
      </c>
      <c r="F211" s="10" t="s">
        <v>1289</v>
      </c>
    </row>
    <row r="212" spans="1:6" ht="30">
      <c r="A212" s="10" t="s">
        <v>240</v>
      </c>
      <c r="B212" s="10" t="s">
        <v>2</v>
      </c>
      <c r="C212" s="11" t="s">
        <v>1276</v>
      </c>
      <c r="D212" s="12">
        <v>46267.833333333299</v>
      </c>
      <c r="E212" s="12">
        <v>46268.25</v>
      </c>
      <c r="F212" s="10" t="s">
        <v>1289</v>
      </c>
    </row>
    <row r="213" spans="1:6" ht="30">
      <c r="A213" s="10" t="s">
        <v>240</v>
      </c>
      <c r="B213" s="10" t="s">
        <v>2</v>
      </c>
      <c r="C213" s="11" t="s">
        <v>1275</v>
      </c>
      <c r="D213" s="12">
        <v>46267.833333333299</v>
      </c>
      <c r="E213" s="12">
        <v>46268.25</v>
      </c>
      <c r="F213" s="10" t="s">
        <v>1289</v>
      </c>
    </row>
    <row r="214" spans="1:6" ht="60">
      <c r="A214" s="10" t="s">
        <v>240</v>
      </c>
      <c r="B214" s="10" t="s">
        <v>6</v>
      </c>
      <c r="C214" s="11" t="s">
        <v>241</v>
      </c>
      <c r="D214" s="12">
        <v>46267.833333333299</v>
      </c>
      <c r="E214" s="12">
        <v>46268.25</v>
      </c>
      <c r="F214" s="10" t="s">
        <v>242</v>
      </c>
    </row>
    <row r="215" spans="1:6" ht="60">
      <c r="A215" s="10" t="s">
        <v>240</v>
      </c>
      <c r="B215" s="10" t="s">
        <v>6</v>
      </c>
      <c r="C215" s="11" t="s">
        <v>243</v>
      </c>
      <c r="D215" s="12">
        <v>46267.833333333299</v>
      </c>
      <c r="E215" s="12">
        <v>46268.25</v>
      </c>
      <c r="F215" s="10" t="s">
        <v>242</v>
      </c>
    </row>
    <row r="216" spans="1:6" ht="60">
      <c r="A216" s="10" t="s">
        <v>240</v>
      </c>
      <c r="B216" s="10" t="s">
        <v>6</v>
      </c>
      <c r="C216" s="11" t="s">
        <v>244</v>
      </c>
      <c r="D216" s="12">
        <v>46267.833333333299</v>
      </c>
      <c r="E216" s="12">
        <v>46268.25</v>
      </c>
      <c r="F216" s="10" t="s">
        <v>242</v>
      </c>
    </row>
    <row r="217" spans="1:6" ht="60">
      <c r="A217" s="10" t="s">
        <v>240</v>
      </c>
      <c r="B217" s="10" t="s">
        <v>6</v>
      </c>
      <c r="C217" s="11" t="s">
        <v>254</v>
      </c>
      <c r="D217" s="12">
        <v>46267.875</v>
      </c>
      <c r="E217" s="12">
        <v>46268.25</v>
      </c>
      <c r="F217" s="10" t="s">
        <v>247</v>
      </c>
    </row>
    <row r="218" spans="1:6" ht="30">
      <c r="A218" s="10" t="s">
        <v>240</v>
      </c>
      <c r="B218" s="10" t="s">
        <v>2</v>
      </c>
      <c r="C218" s="11" t="s">
        <v>255</v>
      </c>
      <c r="D218" s="12">
        <v>46267.875</v>
      </c>
      <c r="E218" s="12">
        <v>46268.25</v>
      </c>
      <c r="F218" s="10" t="s">
        <v>247</v>
      </c>
    </row>
    <row r="219" spans="1:6">
      <c r="A219" s="10" t="s">
        <v>524</v>
      </c>
      <c r="B219" s="10" t="s">
        <v>4</v>
      </c>
      <c r="C219" s="11" t="s">
        <v>525</v>
      </c>
      <c r="D219" s="12">
        <v>46267.875</v>
      </c>
      <c r="E219" s="12">
        <v>46268.25</v>
      </c>
      <c r="F219" s="11" t="s">
        <v>526</v>
      </c>
    </row>
    <row r="220" spans="1:6" ht="45">
      <c r="A220" s="10" t="s">
        <v>245</v>
      </c>
      <c r="B220" s="10" t="s">
        <v>2</v>
      </c>
      <c r="C220" s="11" t="s">
        <v>250</v>
      </c>
      <c r="D220" s="12">
        <v>46267.833333333299</v>
      </c>
      <c r="E220" s="12">
        <v>46268.25</v>
      </c>
      <c r="F220" s="10" t="s">
        <v>1289</v>
      </c>
    </row>
    <row r="221" spans="1:6" ht="45">
      <c r="A221" s="10" t="s">
        <v>245</v>
      </c>
      <c r="B221" s="10" t="s">
        <v>5</v>
      </c>
      <c r="C221" s="11" t="s">
        <v>246</v>
      </c>
      <c r="D221" s="12">
        <v>46267.875</v>
      </c>
      <c r="E221" s="12">
        <v>46268.25</v>
      </c>
      <c r="F221" s="10" t="s">
        <v>247</v>
      </c>
    </row>
    <row r="222" spans="1:6" ht="45">
      <c r="A222" s="10" t="s">
        <v>245</v>
      </c>
      <c r="B222" s="10" t="s">
        <v>5</v>
      </c>
      <c r="C222" s="11" t="s">
        <v>248</v>
      </c>
      <c r="D222" s="12">
        <v>46267.875</v>
      </c>
      <c r="E222" s="12">
        <v>46268.25</v>
      </c>
      <c r="F222" s="10" t="s">
        <v>247</v>
      </c>
    </row>
    <row r="223" spans="1:6" ht="45">
      <c r="A223" s="10" t="s">
        <v>245</v>
      </c>
      <c r="B223" s="10" t="s">
        <v>6</v>
      </c>
      <c r="C223" s="11" t="s">
        <v>249</v>
      </c>
      <c r="D223" s="12">
        <v>46267.875</v>
      </c>
      <c r="E223" s="12">
        <v>46268.25</v>
      </c>
      <c r="F223" s="10" t="s">
        <v>247</v>
      </c>
    </row>
    <row r="224" spans="1:6" ht="45">
      <c r="A224" s="10" t="s">
        <v>245</v>
      </c>
      <c r="B224" s="10" t="s">
        <v>2</v>
      </c>
      <c r="C224" s="11" t="s">
        <v>250</v>
      </c>
      <c r="D224" s="12">
        <v>46267.875</v>
      </c>
      <c r="E224" s="12">
        <v>46268.25</v>
      </c>
      <c r="F224" s="10" t="s">
        <v>247</v>
      </c>
    </row>
    <row r="225" spans="1:6" ht="45">
      <c r="A225" s="10" t="s">
        <v>245</v>
      </c>
      <c r="B225" s="10" t="s">
        <v>4</v>
      </c>
      <c r="C225" s="11" t="s">
        <v>256</v>
      </c>
      <c r="D225" s="12">
        <v>46267.875</v>
      </c>
      <c r="E225" s="12">
        <v>46268.25</v>
      </c>
      <c r="F225" s="10" t="s">
        <v>247</v>
      </c>
    </row>
    <row r="226" spans="1:6" ht="45">
      <c r="A226" s="10" t="s">
        <v>245</v>
      </c>
      <c r="B226" s="10" t="s">
        <v>4</v>
      </c>
      <c r="C226" s="11" t="s">
        <v>257</v>
      </c>
      <c r="D226" s="12">
        <v>46267.875</v>
      </c>
      <c r="E226" s="12">
        <v>46268.25</v>
      </c>
      <c r="F226" s="10" t="s">
        <v>247</v>
      </c>
    </row>
    <row r="227" spans="1:6" ht="45">
      <c r="A227" s="10" t="s">
        <v>245</v>
      </c>
      <c r="B227" s="10" t="s">
        <v>5</v>
      </c>
      <c r="C227" s="11" t="s">
        <v>282</v>
      </c>
      <c r="D227" s="12">
        <v>46267.916666666701</v>
      </c>
      <c r="E227" s="12">
        <v>46268.25</v>
      </c>
      <c r="F227" s="10" t="s">
        <v>283</v>
      </c>
    </row>
    <row r="228" spans="1:6" ht="45">
      <c r="A228" s="10" t="s">
        <v>234</v>
      </c>
      <c r="B228" s="10" t="s">
        <v>6</v>
      </c>
      <c r="C228" s="11" t="s">
        <v>235</v>
      </c>
      <c r="D228" s="12">
        <v>45804.208333333299</v>
      </c>
      <c r="E228" s="12">
        <v>46418.208333333299</v>
      </c>
      <c r="F228" s="10" t="s">
        <v>236</v>
      </c>
    </row>
    <row r="229" spans="1:6" ht="45">
      <c r="A229" s="10" t="s">
        <v>234</v>
      </c>
      <c r="B229" s="10" t="s">
        <v>2</v>
      </c>
      <c r="C229" s="11" t="s">
        <v>280</v>
      </c>
      <c r="D229" s="12">
        <v>46267.833333333299</v>
      </c>
      <c r="E229" s="12">
        <v>46323.25</v>
      </c>
      <c r="F229" s="10" t="s">
        <v>281</v>
      </c>
    </row>
    <row r="230" spans="1:6" ht="45">
      <c r="A230" s="10" t="s">
        <v>234</v>
      </c>
      <c r="B230" s="10" t="s">
        <v>6</v>
      </c>
      <c r="C230" s="11" t="s">
        <v>300</v>
      </c>
      <c r="D230" s="12">
        <v>46267.875</v>
      </c>
      <c r="E230" s="12">
        <v>46268.208333333299</v>
      </c>
      <c r="F230" s="10" t="s">
        <v>298</v>
      </c>
    </row>
    <row r="231" spans="1:6" ht="30">
      <c r="A231" s="10" t="s">
        <v>234</v>
      </c>
      <c r="B231" s="10" t="s">
        <v>6</v>
      </c>
      <c r="C231" s="11" t="s">
        <v>301</v>
      </c>
      <c r="D231" s="12">
        <v>46267.875</v>
      </c>
      <c r="E231" s="12">
        <v>46268.208333333299</v>
      </c>
      <c r="F231" s="10" t="s">
        <v>298</v>
      </c>
    </row>
    <row r="232" spans="1:6" ht="30">
      <c r="A232" s="10" t="s">
        <v>296</v>
      </c>
      <c r="B232" s="10" t="s">
        <v>5</v>
      </c>
      <c r="C232" s="11" t="s">
        <v>297</v>
      </c>
      <c r="D232" s="12">
        <v>46267.875</v>
      </c>
      <c r="E232" s="12">
        <v>46268.208333333299</v>
      </c>
      <c r="F232" s="10" t="s">
        <v>298</v>
      </c>
    </row>
    <row r="233" spans="1:6" ht="45">
      <c r="A233" s="10" t="s">
        <v>296</v>
      </c>
      <c r="B233" s="10" t="s">
        <v>5</v>
      </c>
      <c r="C233" s="11" t="s">
        <v>299</v>
      </c>
      <c r="D233" s="12">
        <v>46267.875</v>
      </c>
      <c r="E233" s="12">
        <v>46268.208333333299</v>
      </c>
      <c r="F233" s="10" t="s">
        <v>298</v>
      </c>
    </row>
    <row r="234" spans="1:6" ht="45">
      <c r="A234" s="10" t="s">
        <v>105</v>
      </c>
      <c r="B234" s="10" t="s">
        <v>6</v>
      </c>
      <c r="C234" s="11" t="s">
        <v>106</v>
      </c>
      <c r="D234" s="12">
        <v>46267.833333333299</v>
      </c>
      <c r="E234" s="12">
        <v>46268.25</v>
      </c>
      <c r="F234" s="11" t="s">
        <v>107</v>
      </c>
    </row>
    <row r="235" spans="1:6" ht="60">
      <c r="A235" s="10" t="s">
        <v>105</v>
      </c>
      <c r="B235" s="10" t="s">
        <v>6</v>
      </c>
      <c r="C235" s="11" t="s">
        <v>268</v>
      </c>
      <c r="D235" s="12">
        <v>46267.875</v>
      </c>
      <c r="E235" s="12">
        <v>46268.208333333299</v>
      </c>
      <c r="F235" s="10" t="s">
        <v>269</v>
      </c>
    </row>
    <row r="236" spans="1:6" ht="60">
      <c r="A236" s="10" t="s">
        <v>105</v>
      </c>
      <c r="B236" s="10" t="s">
        <v>6</v>
      </c>
      <c r="C236" s="11" t="s">
        <v>270</v>
      </c>
      <c r="D236" s="12">
        <v>46267.875</v>
      </c>
      <c r="E236" s="12">
        <v>46268.208333333299</v>
      </c>
      <c r="F236" s="10" t="s">
        <v>269</v>
      </c>
    </row>
    <row r="237" spans="1:6" ht="45">
      <c r="A237" s="10" t="s">
        <v>105</v>
      </c>
      <c r="B237" s="10" t="s">
        <v>6</v>
      </c>
      <c r="C237" s="11" t="s">
        <v>302</v>
      </c>
      <c r="D237" s="12">
        <v>46267.958333333299</v>
      </c>
      <c r="E237" s="12">
        <v>46268.25</v>
      </c>
      <c r="F237" s="10" t="s">
        <v>303</v>
      </c>
    </row>
    <row r="238" spans="1:6" ht="45">
      <c r="A238" s="10" t="s">
        <v>105</v>
      </c>
      <c r="B238" s="10" t="s">
        <v>6</v>
      </c>
      <c r="C238" s="11" t="s">
        <v>304</v>
      </c>
      <c r="D238" s="12">
        <v>46267.958333333299</v>
      </c>
      <c r="E238" s="12">
        <v>46268.25</v>
      </c>
      <c r="F238" s="10" t="s">
        <v>303</v>
      </c>
    </row>
    <row r="239" spans="1:6" ht="45">
      <c r="A239" s="10" t="s">
        <v>105</v>
      </c>
      <c r="B239" s="10" t="s">
        <v>6</v>
      </c>
      <c r="C239" s="11" t="s">
        <v>305</v>
      </c>
      <c r="D239" s="12">
        <v>46267.958333333299</v>
      </c>
      <c r="E239" s="12">
        <v>46268.25</v>
      </c>
      <c r="F239" s="10" t="s">
        <v>303</v>
      </c>
    </row>
    <row r="240" spans="1:6" ht="60">
      <c r="A240" s="10" t="s">
        <v>105</v>
      </c>
      <c r="B240" s="10" t="s">
        <v>6</v>
      </c>
      <c r="C240" s="11" t="s">
        <v>306</v>
      </c>
      <c r="D240" s="12">
        <v>46267.958333333299</v>
      </c>
      <c r="E240" s="12">
        <v>46268.25</v>
      </c>
      <c r="F240" s="10" t="s">
        <v>303</v>
      </c>
    </row>
    <row r="241" spans="1:6">
      <c r="A241" s="10" t="s">
        <v>105</v>
      </c>
      <c r="B241" s="10" t="s">
        <v>2</v>
      </c>
      <c r="C241" s="11" t="s">
        <v>325</v>
      </c>
      <c r="D241" s="12">
        <v>46267.916666666701</v>
      </c>
      <c r="E241" s="12">
        <v>46268.25</v>
      </c>
      <c r="F241" s="11" t="s">
        <v>326</v>
      </c>
    </row>
    <row r="242" spans="1:6">
      <c r="A242" s="10" t="s">
        <v>105</v>
      </c>
      <c r="B242" s="10" t="s">
        <v>2</v>
      </c>
      <c r="C242" s="11" t="s">
        <v>498</v>
      </c>
      <c r="D242" s="12">
        <v>46267.875</v>
      </c>
      <c r="E242" s="12">
        <v>46268.25</v>
      </c>
      <c r="F242" s="11" t="s">
        <v>499</v>
      </c>
    </row>
    <row r="243" spans="1:6" ht="75">
      <c r="A243" s="10" t="s">
        <v>105</v>
      </c>
      <c r="B243" s="10" t="s">
        <v>6</v>
      </c>
      <c r="C243" s="11" t="s">
        <v>500</v>
      </c>
      <c r="D243" s="12">
        <v>46267.875</v>
      </c>
      <c r="E243" s="12">
        <v>46268.25</v>
      </c>
      <c r="F243" s="11" t="s">
        <v>499</v>
      </c>
    </row>
    <row r="244" spans="1:6" ht="75">
      <c r="A244" s="10" t="s">
        <v>105</v>
      </c>
      <c r="B244" s="10" t="s">
        <v>6</v>
      </c>
      <c r="C244" s="11" t="s">
        <v>501</v>
      </c>
      <c r="D244" s="12">
        <v>46267.875</v>
      </c>
      <c r="E244" s="12">
        <v>46268.25</v>
      </c>
      <c r="F244" s="11" t="s">
        <v>502</v>
      </c>
    </row>
    <row r="245" spans="1:6" ht="75">
      <c r="A245" s="10" t="s">
        <v>105</v>
      </c>
      <c r="B245" s="10" t="s">
        <v>6</v>
      </c>
      <c r="C245" s="11" t="s">
        <v>505</v>
      </c>
      <c r="D245" s="12">
        <v>46267.875</v>
      </c>
      <c r="E245" s="12">
        <v>46268.25</v>
      </c>
      <c r="F245" s="11" t="s">
        <v>502</v>
      </c>
    </row>
    <row r="246" spans="1:6" ht="75">
      <c r="A246" s="10" t="s">
        <v>105</v>
      </c>
      <c r="B246" s="10" t="s">
        <v>6</v>
      </c>
      <c r="C246" s="11" t="s">
        <v>506</v>
      </c>
      <c r="D246" s="12">
        <v>46267.875</v>
      </c>
      <c r="E246" s="12">
        <v>46268.25</v>
      </c>
      <c r="F246" s="11" t="s">
        <v>502</v>
      </c>
    </row>
    <row r="247" spans="1:6" ht="60">
      <c r="A247" s="10" t="s">
        <v>105</v>
      </c>
      <c r="B247" s="10" t="s">
        <v>2</v>
      </c>
      <c r="C247" s="11" t="s">
        <v>512</v>
      </c>
      <c r="D247" s="12">
        <v>46267.875</v>
      </c>
      <c r="E247" s="12">
        <v>46268.25</v>
      </c>
      <c r="F247" s="11" t="s">
        <v>513</v>
      </c>
    </row>
    <row r="248" spans="1:6" ht="60">
      <c r="A248" s="10" t="s">
        <v>271</v>
      </c>
      <c r="B248" s="10" t="s">
        <v>8</v>
      </c>
      <c r="C248" s="11" t="s">
        <v>272</v>
      </c>
      <c r="D248" s="12">
        <v>46267.875</v>
      </c>
      <c r="E248" s="12">
        <v>46268.25</v>
      </c>
      <c r="F248" s="10" t="s">
        <v>273</v>
      </c>
    </row>
    <row r="249" spans="1:6" ht="60">
      <c r="A249" s="10" t="s">
        <v>271</v>
      </c>
      <c r="B249" s="10" t="s">
        <v>7</v>
      </c>
      <c r="C249" s="11" t="s">
        <v>274</v>
      </c>
      <c r="D249" s="12">
        <v>46267.875</v>
      </c>
      <c r="E249" s="12">
        <v>46268.25</v>
      </c>
      <c r="F249" s="10" t="s">
        <v>273</v>
      </c>
    </row>
    <row r="250" spans="1:6" ht="45">
      <c r="A250" s="10" t="s">
        <v>271</v>
      </c>
      <c r="B250" s="10" t="s">
        <v>7</v>
      </c>
      <c r="C250" s="11" t="s">
        <v>287</v>
      </c>
      <c r="D250" s="12">
        <v>46267.916666666701</v>
      </c>
      <c r="E250" s="12">
        <v>46268.25</v>
      </c>
      <c r="F250" s="10" t="s">
        <v>288</v>
      </c>
    </row>
    <row r="251" spans="1:6" ht="75">
      <c r="A251" s="10" t="s">
        <v>271</v>
      </c>
      <c r="B251" s="10" t="s">
        <v>7</v>
      </c>
      <c r="C251" s="11" t="s">
        <v>289</v>
      </c>
      <c r="D251" s="12">
        <v>46267.916666666701</v>
      </c>
      <c r="E251" s="12">
        <v>46268.25</v>
      </c>
      <c r="F251" s="10" t="s">
        <v>288</v>
      </c>
    </row>
    <row r="252" spans="1:6" ht="75">
      <c r="A252" s="10" t="s">
        <v>271</v>
      </c>
      <c r="B252" s="10" t="s">
        <v>7</v>
      </c>
      <c r="C252" s="11" t="s">
        <v>290</v>
      </c>
      <c r="D252" s="12">
        <v>46267.916666666701</v>
      </c>
      <c r="E252" s="12">
        <v>46268.25</v>
      </c>
      <c r="F252" s="10" t="s">
        <v>288</v>
      </c>
    </row>
    <row r="253" spans="1:6" ht="90">
      <c r="A253" s="10" t="s">
        <v>271</v>
      </c>
      <c r="B253" s="10" t="s">
        <v>7</v>
      </c>
      <c r="C253" s="11" t="s">
        <v>291</v>
      </c>
      <c r="D253" s="12">
        <v>46267.916666666701</v>
      </c>
      <c r="E253" s="12">
        <v>46268.25</v>
      </c>
      <c r="F253" s="10" t="s">
        <v>288</v>
      </c>
    </row>
    <row r="254" spans="1:6" ht="90">
      <c r="A254" s="10" t="s">
        <v>271</v>
      </c>
      <c r="B254" s="10" t="s">
        <v>7</v>
      </c>
      <c r="C254" s="11" t="s">
        <v>292</v>
      </c>
      <c r="D254" s="12">
        <v>46267.9375</v>
      </c>
      <c r="E254" s="12">
        <v>46268.25</v>
      </c>
      <c r="F254" s="10" t="s">
        <v>288</v>
      </c>
    </row>
    <row r="255" spans="1:6" ht="75">
      <c r="A255" s="10" t="s">
        <v>271</v>
      </c>
      <c r="B255" s="10" t="s">
        <v>7</v>
      </c>
      <c r="C255" s="11" t="s">
        <v>293</v>
      </c>
      <c r="D255" s="12">
        <v>46267.9375</v>
      </c>
      <c r="E255" s="12">
        <v>46268.25</v>
      </c>
      <c r="F255" s="10" t="s">
        <v>288</v>
      </c>
    </row>
    <row r="256" spans="1:6" ht="60">
      <c r="A256" s="10" t="s">
        <v>271</v>
      </c>
      <c r="B256" s="10" t="s">
        <v>5</v>
      </c>
      <c r="C256" s="11" t="s">
        <v>294</v>
      </c>
      <c r="D256" s="12">
        <v>46267.9375</v>
      </c>
      <c r="E256" s="12">
        <v>46268.25</v>
      </c>
      <c r="F256" s="10" t="s">
        <v>288</v>
      </c>
    </row>
    <row r="257" spans="1:6" ht="90">
      <c r="A257" s="10" t="s">
        <v>271</v>
      </c>
      <c r="B257" s="10" t="s">
        <v>4</v>
      </c>
      <c r="C257" s="11" t="s">
        <v>295</v>
      </c>
      <c r="D257" s="12">
        <v>46267.9375</v>
      </c>
      <c r="E257" s="12">
        <v>46268.25</v>
      </c>
      <c r="F257" s="10" t="s">
        <v>288</v>
      </c>
    </row>
    <row r="258" spans="1:6" ht="120">
      <c r="A258" s="10" t="s">
        <v>271</v>
      </c>
      <c r="B258" s="10" t="s">
        <v>7</v>
      </c>
      <c r="C258" s="11" t="s">
        <v>314</v>
      </c>
      <c r="D258" s="12">
        <v>46267.875</v>
      </c>
      <c r="E258" s="12">
        <v>46268.25</v>
      </c>
      <c r="F258" s="10" t="s">
        <v>315</v>
      </c>
    </row>
    <row r="259" spans="1:6" ht="120">
      <c r="A259" s="10" t="s">
        <v>271</v>
      </c>
      <c r="B259" s="10" t="s">
        <v>7</v>
      </c>
      <c r="C259" s="11" t="s">
        <v>316</v>
      </c>
      <c r="D259" s="12">
        <v>46267.875</v>
      </c>
      <c r="E259" s="12">
        <v>46268.25</v>
      </c>
      <c r="F259" s="10" t="s">
        <v>315</v>
      </c>
    </row>
    <row r="260" spans="1:6" ht="45">
      <c r="A260" s="10" t="s">
        <v>271</v>
      </c>
      <c r="B260" s="10" t="s">
        <v>2</v>
      </c>
      <c r="C260" s="11" t="s">
        <v>319</v>
      </c>
      <c r="D260" s="12">
        <v>46267.875</v>
      </c>
      <c r="E260" s="12">
        <v>46268.25</v>
      </c>
      <c r="F260" s="10" t="s">
        <v>315</v>
      </c>
    </row>
    <row r="261" spans="1:6" ht="75">
      <c r="A261" s="10" t="s">
        <v>271</v>
      </c>
      <c r="B261" s="10" t="s">
        <v>8</v>
      </c>
      <c r="C261" s="11" t="s">
        <v>320</v>
      </c>
      <c r="D261" s="12">
        <v>46267.875</v>
      </c>
      <c r="E261" s="12">
        <v>46268.208333333299</v>
      </c>
      <c r="F261" s="10" t="s">
        <v>321</v>
      </c>
    </row>
    <row r="262" spans="1:6" ht="60">
      <c r="A262" s="10" t="s">
        <v>271</v>
      </c>
      <c r="B262" s="10" t="s">
        <v>8</v>
      </c>
      <c r="C262" s="11" t="s">
        <v>322</v>
      </c>
      <c r="D262" s="12">
        <v>46267.875</v>
      </c>
      <c r="E262" s="12">
        <v>46268.208333333299</v>
      </c>
      <c r="F262" s="10" t="s">
        <v>321</v>
      </c>
    </row>
    <row r="263" spans="1:6" ht="105">
      <c r="A263" s="10" t="s">
        <v>159</v>
      </c>
      <c r="B263" s="10" t="s">
        <v>6</v>
      </c>
      <c r="C263" s="11" t="s">
        <v>160</v>
      </c>
      <c r="D263" s="12">
        <v>46267.833333333299</v>
      </c>
      <c r="E263" s="12">
        <v>46268.25</v>
      </c>
      <c r="F263" s="11" t="s">
        <v>161</v>
      </c>
    </row>
    <row r="264" spans="1:6" ht="105">
      <c r="A264" s="10" t="s">
        <v>159</v>
      </c>
      <c r="B264" s="10" t="s">
        <v>6</v>
      </c>
      <c r="C264" s="11" t="s">
        <v>162</v>
      </c>
      <c r="D264" s="12">
        <v>46267.833333333299</v>
      </c>
      <c r="E264" s="12">
        <v>46268.25</v>
      </c>
      <c r="F264" s="11" t="s">
        <v>161</v>
      </c>
    </row>
    <row r="265" spans="1:6">
      <c r="A265" s="10" t="s">
        <v>159</v>
      </c>
      <c r="B265" s="10" t="s">
        <v>6</v>
      </c>
      <c r="C265" s="11" t="s">
        <v>163</v>
      </c>
      <c r="D265" s="12">
        <v>46267.833333333299</v>
      </c>
      <c r="E265" s="12">
        <v>46268.25</v>
      </c>
      <c r="F265" s="11" t="s">
        <v>161</v>
      </c>
    </row>
    <row r="266" spans="1:6" ht="60">
      <c r="A266" s="10" t="s">
        <v>159</v>
      </c>
      <c r="B266" s="10" t="s">
        <v>6</v>
      </c>
      <c r="C266" s="11" t="s">
        <v>164</v>
      </c>
      <c r="D266" s="12">
        <v>46267.833333333299</v>
      </c>
      <c r="E266" s="12">
        <v>46268.25</v>
      </c>
      <c r="F266" s="11" t="s">
        <v>161</v>
      </c>
    </row>
    <row r="267" spans="1:6" ht="105">
      <c r="A267" s="10" t="s">
        <v>159</v>
      </c>
      <c r="B267" s="10" t="s">
        <v>6</v>
      </c>
      <c r="C267" s="11" t="s">
        <v>165</v>
      </c>
      <c r="D267" s="12">
        <v>46267.833333333299</v>
      </c>
      <c r="E267" s="12">
        <v>46268.25</v>
      </c>
      <c r="F267" s="11" t="s">
        <v>161</v>
      </c>
    </row>
    <row r="268" spans="1:6" ht="90">
      <c r="A268" s="10" t="s">
        <v>159</v>
      </c>
      <c r="B268" s="10" t="s">
        <v>6</v>
      </c>
      <c r="C268" s="11" t="s">
        <v>166</v>
      </c>
      <c r="D268" s="12">
        <v>46267.833333333299</v>
      </c>
      <c r="E268" s="12">
        <v>46268.25</v>
      </c>
      <c r="F268" s="11" t="s">
        <v>161</v>
      </c>
    </row>
    <row r="269" spans="1:6">
      <c r="A269" s="10" t="s">
        <v>237</v>
      </c>
      <c r="B269" s="10" t="s">
        <v>2</v>
      </c>
      <c r="C269" s="11" t="s">
        <v>238</v>
      </c>
      <c r="D269" s="12">
        <v>46267.875</v>
      </c>
      <c r="E269" s="12">
        <v>46268.25</v>
      </c>
      <c r="F269" s="10" t="s">
        <v>239</v>
      </c>
    </row>
    <row r="270" spans="1:6" ht="75">
      <c r="A270" s="10" t="s">
        <v>127</v>
      </c>
      <c r="B270" s="10" t="s">
        <v>4</v>
      </c>
      <c r="C270" s="11" t="s">
        <v>128</v>
      </c>
      <c r="D270" s="12">
        <v>46267.833333333299</v>
      </c>
      <c r="E270" s="12">
        <v>46268.25</v>
      </c>
      <c r="F270" s="11" t="s">
        <v>129</v>
      </c>
    </row>
    <row r="271" spans="1:6" ht="105">
      <c r="A271" s="10" t="s">
        <v>127</v>
      </c>
      <c r="B271" s="10" t="s">
        <v>4</v>
      </c>
      <c r="C271" s="11" t="s">
        <v>130</v>
      </c>
      <c r="D271" s="12">
        <v>46267.833333333299</v>
      </c>
      <c r="E271" s="12">
        <v>46268.25</v>
      </c>
      <c r="F271" s="11" t="s">
        <v>129</v>
      </c>
    </row>
    <row r="272" spans="1:6" ht="60">
      <c r="A272" s="10" t="s">
        <v>127</v>
      </c>
      <c r="B272" s="10" t="s">
        <v>4</v>
      </c>
      <c r="C272" s="11" t="s">
        <v>131</v>
      </c>
      <c r="D272" s="12">
        <v>46267.833333333299</v>
      </c>
      <c r="E272" s="12">
        <v>46268.25</v>
      </c>
      <c r="F272" s="11" t="s">
        <v>129</v>
      </c>
    </row>
    <row r="273" spans="1:6" ht="135">
      <c r="A273" s="10" t="s">
        <v>127</v>
      </c>
      <c r="B273" s="10" t="s">
        <v>4</v>
      </c>
      <c r="C273" s="11" t="s">
        <v>132</v>
      </c>
      <c r="D273" s="12">
        <v>46267.833333333299</v>
      </c>
      <c r="E273" s="12">
        <v>46268.25</v>
      </c>
      <c r="F273" s="11" t="s">
        <v>129</v>
      </c>
    </row>
    <row r="274" spans="1:6" ht="105">
      <c r="A274" s="10" t="s">
        <v>127</v>
      </c>
      <c r="B274" s="10" t="s">
        <v>5</v>
      </c>
      <c r="C274" s="11" t="s">
        <v>133</v>
      </c>
      <c r="D274" s="12">
        <v>46267.916666666701</v>
      </c>
      <c r="E274" s="12">
        <v>46268.25</v>
      </c>
      <c r="F274" s="11" t="s">
        <v>129</v>
      </c>
    </row>
    <row r="275" spans="1:6" ht="165">
      <c r="A275" s="10" t="s">
        <v>127</v>
      </c>
      <c r="B275" s="10" t="s">
        <v>5</v>
      </c>
      <c r="C275" s="11" t="s">
        <v>134</v>
      </c>
      <c r="D275" s="12">
        <v>46267.916666666701</v>
      </c>
      <c r="E275" s="12">
        <v>46268.25</v>
      </c>
      <c r="F275" s="11" t="s">
        <v>129</v>
      </c>
    </row>
    <row r="276" spans="1:6" ht="165">
      <c r="A276" s="10" t="s">
        <v>127</v>
      </c>
      <c r="B276" s="10" t="s">
        <v>5</v>
      </c>
      <c r="C276" s="11" t="s">
        <v>135</v>
      </c>
      <c r="D276" s="12">
        <v>46267.916666666701</v>
      </c>
      <c r="E276" s="12">
        <v>46268.25</v>
      </c>
      <c r="F276" s="11" t="s">
        <v>129</v>
      </c>
    </row>
    <row r="277" spans="1:6" ht="165">
      <c r="A277" s="10" t="s">
        <v>127</v>
      </c>
      <c r="B277" s="10" t="s">
        <v>5</v>
      </c>
      <c r="C277" s="11" t="s">
        <v>136</v>
      </c>
      <c r="D277" s="12">
        <v>46267.916666666701</v>
      </c>
      <c r="E277" s="12">
        <v>46268.25</v>
      </c>
      <c r="F277" s="11" t="s">
        <v>129</v>
      </c>
    </row>
    <row r="278" spans="1:6" ht="90">
      <c r="A278" s="10" t="s">
        <v>127</v>
      </c>
      <c r="B278" s="10" t="s">
        <v>6</v>
      </c>
      <c r="C278" s="11" t="s">
        <v>154</v>
      </c>
      <c r="D278" s="12">
        <v>46267.833333333299</v>
      </c>
      <c r="E278" s="12">
        <v>46268.25</v>
      </c>
      <c r="F278" s="11" t="s">
        <v>155</v>
      </c>
    </row>
    <row r="279" spans="1:6" ht="45">
      <c r="A279" s="10" t="s">
        <v>127</v>
      </c>
      <c r="B279" s="10" t="s">
        <v>6</v>
      </c>
      <c r="C279" s="11" t="s">
        <v>156</v>
      </c>
      <c r="D279" s="12">
        <v>46267.833333333299</v>
      </c>
      <c r="E279" s="12">
        <v>46268.25</v>
      </c>
      <c r="F279" s="11" t="s">
        <v>155</v>
      </c>
    </row>
    <row r="280" spans="1:6" ht="45">
      <c r="A280" s="10" t="s">
        <v>127</v>
      </c>
      <c r="B280" s="10" t="s">
        <v>5</v>
      </c>
      <c r="C280" s="11" t="s">
        <v>173</v>
      </c>
      <c r="D280" s="12">
        <v>46267.833333333299</v>
      </c>
      <c r="E280" s="12">
        <v>46268.25</v>
      </c>
      <c r="F280" s="11" t="s">
        <v>174</v>
      </c>
    </row>
    <row r="281" spans="1:6" ht="75">
      <c r="A281" s="10" t="s">
        <v>127</v>
      </c>
      <c r="B281" s="10" t="s">
        <v>5</v>
      </c>
      <c r="C281" s="11" t="s">
        <v>175</v>
      </c>
      <c r="D281" s="12">
        <v>46267.833333333299</v>
      </c>
      <c r="E281" s="12">
        <v>46268.25</v>
      </c>
      <c r="F281" s="11" t="s">
        <v>174</v>
      </c>
    </row>
    <row r="282" spans="1:6" ht="75">
      <c r="A282" s="10" t="s">
        <v>127</v>
      </c>
      <c r="B282" s="10" t="s">
        <v>5</v>
      </c>
      <c r="C282" s="11" t="s">
        <v>176</v>
      </c>
      <c r="D282" s="12">
        <v>46267.833333333299</v>
      </c>
      <c r="E282" s="12">
        <v>46268.25</v>
      </c>
      <c r="F282" s="11" t="s">
        <v>174</v>
      </c>
    </row>
    <row r="283" spans="1:6" ht="105">
      <c r="A283" s="10" t="s">
        <v>127</v>
      </c>
      <c r="B283" s="10" t="s">
        <v>4</v>
      </c>
      <c r="C283" s="11" t="s">
        <v>130</v>
      </c>
      <c r="D283" s="12">
        <v>46267.875</v>
      </c>
      <c r="E283" s="12">
        <v>46268.25</v>
      </c>
      <c r="F283" s="11" t="s">
        <v>187</v>
      </c>
    </row>
    <row r="284" spans="1:6" ht="105">
      <c r="A284" s="10" t="s">
        <v>127</v>
      </c>
      <c r="B284" s="10" t="s">
        <v>4</v>
      </c>
      <c r="C284" s="11" t="s">
        <v>131</v>
      </c>
      <c r="D284" s="12">
        <v>46267.875</v>
      </c>
      <c r="E284" s="12">
        <v>46268.25</v>
      </c>
      <c r="F284" s="11" t="s">
        <v>187</v>
      </c>
    </row>
    <row r="285" spans="1:6" ht="90">
      <c r="A285" s="10" t="s">
        <v>127</v>
      </c>
      <c r="B285" s="10" t="s">
        <v>4</v>
      </c>
      <c r="C285" s="11" t="s">
        <v>132</v>
      </c>
      <c r="D285" s="12">
        <v>46267.875</v>
      </c>
      <c r="E285" s="12">
        <v>46268.25</v>
      </c>
      <c r="F285" s="11" t="s">
        <v>187</v>
      </c>
    </row>
    <row r="286" spans="1:6" ht="90">
      <c r="A286" s="10" t="s">
        <v>127</v>
      </c>
      <c r="B286" s="10" t="s">
        <v>4</v>
      </c>
      <c r="C286" s="11" t="s">
        <v>128</v>
      </c>
      <c r="D286" s="12">
        <v>46267.875</v>
      </c>
      <c r="E286" s="12">
        <v>46268.25</v>
      </c>
      <c r="F286" s="11" t="s">
        <v>187</v>
      </c>
    </row>
    <row r="287" spans="1:6" ht="75">
      <c r="A287" s="10" t="s">
        <v>127</v>
      </c>
      <c r="B287" s="10" t="s">
        <v>4</v>
      </c>
      <c r="C287" s="11" t="s">
        <v>193</v>
      </c>
      <c r="D287" s="12">
        <v>46267.875</v>
      </c>
      <c r="E287" s="12">
        <v>46268.208333333299</v>
      </c>
      <c r="F287" s="11" t="s">
        <v>194</v>
      </c>
    </row>
    <row r="288" spans="1:6" ht="75">
      <c r="A288" s="10" t="s">
        <v>127</v>
      </c>
      <c r="B288" s="10" t="s">
        <v>6</v>
      </c>
      <c r="C288" s="11" t="s">
        <v>323</v>
      </c>
      <c r="D288" s="12">
        <v>46267.833333333299</v>
      </c>
      <c r="E288" s="12">
        <v>46268.208333333299</v>
      </c>
      <c r="F288" s="10" t="s">
        <v>324</v>
      </c>
    </row>
    <row r="289" spans="1:6" ht="75">
      <c r="A289" s="10" t="s">
        <v>188</v>
      </c>
      <c r="B289" s="10" t="s">
        <v>8</v>
      </c>
      <c r="C289" s="11" t="s">
        <v>189</v>
      </c>
      <c r="D289" s="12">
        <v>46267.833333333299</v>
      </c>
      <c r="E289" s="12">
        <v>46268.208333333299</v>
      </c>
      <c r="F289" s="11" t="s">
        <v>190</v>
      </c>
    </row>
    <row r="290" spans="1:6" ht="75">
      <c r="A290" s="10" t="s">
        <v>188</v>
      </c>
      <c r="B290" s="10" t="s">
        <v>8</v>
      </c>
      <c r="C290" s="11" t="s">
        <v>191</v>
      </c>
      <c r="D290" s="12">
        <v>46267.833333333299</v>
      </c>
      <c r="E290" s="12">
        <v>46268.208333333299</v>
      </c>
      <c r="F290" s="11" t="s">
        <v>190</v>
      </c>
    </row>
    <row r="291" spans="1:6" ht="75">
      <c r="A291" s="10" t="s">
        <v>188</v>
      </c>
      <c r="B291" s="10" t="s">
        <v>8</v>
      </c>
      <c r="C291" s="11" t="s">
        <v>192</v>
      </c>
      <c r="D291" s="12">
        <v>46267.833333333299</v>
      </c>
      <c r="E291" s="12">
        <v>46268.208333333299</v>
      </c>
      <c r="F291" s="11" t="s">
        <v>190</v>
      </c>
    </row>
    <row r="292" spans="1:6" ht="75">
      <c r="A292" s="10" t="s">
        <v>258</v>
      </c>
      <c r="B292" s="10" t="s">
        <v>5</v>
      </c>
      <c r="C292" s="11" t="s">
        <v>259</v>
      </c>
      <c r="D292" s="12">
        <v>46267.875</v>
      </c>
      <c r="E292" s="12">
        <v>46268.25</v>
      </c>
      <c r="F292" s="10" t="s">
        <v>260</v>
      </c>
    </row>
    <row r="293" spans="1:6" ht="90">
      <c r="A293" s="10" t="s">
        <v>258</v>
      </c>
      <c r="B293" s="10" t="s">
        <v>5</v>
      </c>
      <c r="C293" s="11" t="s">
        <v>261</v>
      </c>
      <c r="D293" s="12">
        <v>46267.875</v>
      </c>
      <c r="E293" s="12">
        <v>46268.25</v>
      </c>
      <c r="F293" s="10" t="s">
        <v>260</v>
      </c>
    </row>
    <row r="294" spans="1:6" ht="60">
      <c r="A294" s="10" t="s">
        <v>258</v>
      </c>
      <c r="B294" s="10" t="s">
        <v>4</v>
      </c>
      <c r="C294" s="11" t="s">
        <v>275</v>
      </c>
      <c r="D294" s="12">
        <v>46267.875</v>
      </c>
      <c r="E294" s="12">
        <v>46268.208333333299</v>
      </c>
      <c r="F294" s="10" t="s">
        <v>276</v>
      </c>
    </row>
    <row r="295" spans="1:6" ht="90">
      <c r="A295" s="10" t="s">
        <v>258</v>
      </c>
      <c r="B295" s="10" t="s">
        <v>4</v>
      </c>
      <c r="C295" s="11" t="s">
        <v>277</v>
      </c>
      <c r="D295" s="12">
        <v>46267.875</v>
      </c>
      <c r="E295" s="12">
        <v>46268.208333333299</v>
      </c>
      <c r="F295" s="10" t="s">
        <v>276</v>
      </c>
    </row>
    <row r="296" spans="1:6" ht="60">
      <c r="A296" s="10" t="s">
        <v>258</v>
      </c>
      <c r="B296" s="10" t="s">
        <v>4</v>
      </c>
      <c r="C296" s="11" t="s">
        <v>278</v>
      </c>
      <c r="D296" s="12">
        <v>46267.875</v>
      </c>
      <c r="E296" s="12">
        <v>46268.208333333299</v>
      </c>
      <c r="F296" s="10" t="s">
        <v>276</v>
      </c>
    </row>
    <row r="297" spans="1:6" ht="75">
      <c r="A297" s="10" t="s">
        <v>258</v>
      </c>
      <c r="B297" s="10" t="s">
        <v>4</v>
      </c>
      <c r="C297" s="11" t="s">
        <v>279</v>
      </c>
      <c r="D297" s="12">
        <v>46267.875</v>
      </c>
      <c r="E297" s="12">
        <v>46268.208333333299</v>
      </c>
      <c r="F297" s="10" t="s">
        <v>276</v>
      </c>
    </row>
    <row r="298" spans="1:6" ht="45">
      <c r="A298" s="10" t="s">
        <v>258</v>
      </c>
      <c r="B298" s="10" t="s">
        <v>5</v>
      </c>
      <c r="C298" s="11" t="s">
        <v>307</v>
      </c>
      <c r="D298" s="12">
        <v>46267.875</v>
      </c>
      <c r="E298" s="12">
        <v>46268.25</v>
      </c>
      <c r="F298" s="10" t="s">
        <v>308</v>
      </c>
    </row>
    <row r="299" spans="1:6" ht="60">
      <c r="A299" s="10" t="s">
        <v>258</v>
      </c>
      <c r="B299" s="10" t="s">
        <v>5</v>
      </c>
      <c r="C299" s="11" t="s">
        <v>309</v>
      </c>
      <c r="D299" s="12">
        <v>46267.875</v>
      </c>
      <c r="E299" s="12">
        <v>46268.25</v>
      </c>
      <c r="F299" s="10" t="s">
        <v>308</v>
      </c>
    </row>
    <row r="300" spans="1:6" ht="75">
      <c r="A300" s="10" t="s">
        <v>317</v>
      </c>
      <c r="B300" s="10" t="s">
        <v>6</v>
      </c>
      <c r="C300" s="11" t="s">
        <v>318</v>
      </c>
      <c r="D300" s="12">
        <v>46267.875</v>
      </c>
      <c r="E300" s="12">
        <v>46268.25</v>
      </c>
      <c r="F300" s="10" t="s">
        <v>315</v>
      </c>
    </row>
    <row r="301" spans="1:6" ht="75">
      <c r="A301" s="10" t="s">
        <v>262</v>
      </c>
      <c r="B301" s="10" t="s">
        <v>4</v>
      </c>
      <c r="C301" s="11" t="s">
        <v>263</v>
      </c>
      <c r="D301" s="12">
        <v>46267.833333333299</v>
      </c>
      <c r="E301" s="12">
        <v>46268.25</v>
      </c>
      <c r="F301" s="10" t="s">
        <v>264</v>
      </c>
    </row>
    <row r="302" spans="1:6">
      <c r="A302" s="10" t="s">
        <v>262</v>
      </c>
      <c r="B302" s="10" t="s">
        <v>4</v>
      </c>
      <c r="C302" s="11" t="s">
        <v>265</v>
      </c>
      <c r="D302" s="12">
        <v>46267.833333333299</v>
      </c>
      <c r="E302" s="12">
        <v>46268.25</v>
      </c>
      <c r="F302" s="10" t="s">
        <v>264</v>
      </c>
    </row>
    <row r="303" spans="1:6">
      <c r="A303" s="10" t="s">
        <v>262</v>
      </c>
      <c r="B303" s="10" t="s">
        <v>5</v>
      </c>
      <c r="C303" s="11" t="s">
        <v>266</v>
      </c>
      <c r="D303" s="12">
        <v>46267.833333333299</v>
      </c>
      <c r="E303" s="12">
        <v>46268.25</v>
      </c>
      <c r="F303" s="10" t="s">
        <v>264</v>
      </c>
    </row>
    <row r="304" spans="1:6">
      <c r="A304" s="10" t="s">
        <v>262</v>
      </c>
      <c r="B304" s="10" t="s">
        <v>5</v>
      </c>
      <c r="C304" s="11" t="s">
        <v>267</v>
      </c>
      <c r="D304" s="12">
        <v>46267.833333333299</v>
      </c>
      <c r="E304" s="12">
        <v>46268.25</v>
      </c>
      <c r="F304" s="10" t="s">
        <v>264</v>
      </c>
    </row>
  </sheetData>
  <autoFilter ref="A2:F35" xr:uid="{628606CA-9C79-4222-A53B-2C673F1BF1CB}">
    <sortState xmlns:xlrd2="http://schemas.microsoft.com/office/spreadsheetml/2017/richdata2" ref="A3:F304">
      <sortCondition ref="A2:A35"/>
    </sortState>
  </autoFilter>
  <mergeCells count="1">
    <mergeCell ref="A1:F1"/>
  </mergeCells>
  <conditionalFormatting sqref="A3:F304">
    <cfRule type="expression" dxfId="5"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0AA26-1BA6-47F8-B64F-0F6ECDC9D8B1}">
  <sheetPr>
    <tabColor theme="6"/>
  </sheetPr>
  <dimension ref="A1:K295"/>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1.7265625" style="4" customWidth="1"/>
    <col min="4" max="4" width="16.453125" style="4" customWidth="1"/>
    <col min="5" max="5" width="17.453125" style="9" customWidth="1"/>
    <col min="6" max="6" width="47" style="9" customWidth="1"/>
    <col min="7" max="11" width="0" hidden="1" customWidth="1"/>
    <col min="12" max="16384" width="8.7265625" hidden="1"/>
  </cols>
  <sheetData>
    <row r="1" spans="1:6" ht="33">
      <c r="A1" s="28" t="str">
        <f>"Daily closure report: "&amp;'Front page'!A6</f>
        <v>Daily closure report: Thursday, 3 September</v>
      </c>
      <c r="B1" s="28"/>
      <c r="C1" s="28"/>
      <c r="D1" s="28"/>
      <c r="E1" s="28"/>
      <c r="F1" s="28"/>
    </row>
    <row r="2" spans="1:6" s="3" customFormat="1" ht="27.6">
      <c r="A2" s="8" t="s">
        <v>9</v>
      </c>
      <c r="B2" s="8" t="s">
        <v>1</v>
      </c>
      <c r="C2" s="8" t="s">
        <v>0</v>
      </c>
      <c r="D2" s="7" t="s">
        <v>11</v>
      </c>
      <c r="E2" s="7" t="s">
        <v>12</v>
      </c>
      <c r="F2" s="8" t="s">
        <v>10</v>
      </c>
    </row>
    <row r="3" spans="1:6" ht="60">
      <c r="A3" s="10" t="s">
        <v>42</v>
      </c>
      <c r="B3" s="10" t="s">
        <v>6</v>
      </c>
      <c r="C3" s="11" t="s">
        <v>43</v>
      </c>
      <c r="D3" s="12">
        <v>46268.833333333299</v>
      </c>
      <c r="E3" s="12">
        <v>46269.208333333299</v>
      </c>
      <c r="F3" s="11" t="s">
        <v>44</v>
      </c>
    </row>
    <row r="4" spans="1:6" ht="60">
      <c r="A4" s="10" t="s">
        <v>42</v>
      </c>
      <c r="B4" s="10" t="s">
        <v>23</v>
      </c>
      <c r="C4" s="11" t="s">
        <v>52</v>
      </c>
      <c r="D4" s="12">
        <v>45847.208333333299</v>
      </c>
      <c r="E4" s="12">
        <v>46507.999305555597</v>
      </c>
      <c r="F4" s="11" t="s">
        <v>53</v>
      </c>
    </row>
    <row r="5" spans="1:6" ht="60">
      <c r="A5" s="10" t="s">
        <v>42</v>
      </c>
      <c r="B5" s="10" t="s">
        <v>23</v>
      </c>
      <c r="C5" s="11" t="s">
        <v>543</v>
      </c>
      <c r="D5" s="12">
        <v>46268.541666666701</v>
      </c>
      <c r="E5" s="12">
        <v>46268.833333333299</v>
      </c>
      <c r="F5" s="11" t="s">
        <v>544</v>
      </c>
    </row>
    <row r="6" spans="1:6" ht="60">
      <c r="A6" s="10" t="s">
        <v>42</v>
      </c>
      <c r="B6" s="10" t="s">
        <v>6</v>
      </c>
      <c r="C6" s="11" t="s">
        <v>108</v>
      </c>
      <c r="D6" s="12">
        <v>46268.833333333299</v>
      </c>
      <c r="E6" s="12">
        <v>46269.25</v>
      </c>
      <c r="F6" s="11" t="s">
        <v>109</v>
      </c>
    </row>
    <row r="7" spans="1:6" ht="45">
      <c r="A7" s="10" t="s">
        <v>42</v>
      </c>
      <c r="B7" s="10" t="s">
        <v>6</v>
      </c>
      <c r="C7" s="11" t="s">
        <v>110</v>
      </c>
      <c r="D7" s="12">
        <v>46268.833333333299</v>
      </c>
      <c r="E7" s="12">
        <v>46269.25</v>
      </c>
      <c r="F7" s="11" t="s">
        <v>109</v>
      </c>
    </row>
    <row r="8" spans="1:6" ht="60">
      <c r="A8" s="10" t="s">
        <v>42</v>
      </c>
      <c r="B8" s="10" t="s">
        <v>6</v>
      </c>
      <c r="C8" s="11" t="s">
        <v>111</v>
      </c>
      <c r="D8" s="12">
        <v>46268.833333333299</v>
      </c>
      <c r="E8" s="12">
        <v>46269.25</v>
      </c>
      <c r="F8" s="11" t="s">
        <v>109</v>
      </c>
    </row>
    <row r="9" spans="1:6" ht="60">
      <c r="A9" s="10" t="s">
        <v>42</v>
      </c>
      <c r="B9" s="10" t="s">
        <v>6</v>
      </c>
      <c r="C9" s="11" t="s">
        <v>112</v>
      </c>
      <c r="D9" s="12">
        <v>46268.833333333299</v>
      </c>
      <c r="E9" s="12">
        <v>46269.25</v>
      </c>
      <c r="F9" s="11" t="s">
        <v>109</v>
      </c>
    </row>
    <row r="10" spans="1:6" ht="45">
      <c r="A10" s="10" t="s">
        <v>42</v>
      </c>
      <c r="B10" s="10" t="s">
        <v>6</v>
      </c>
      <c r="C10" s="11" t="s">
        <v>113</v>
      </c>
      <c r="D10" s="12">
        <v>46268.833333333299</v>
      </c>
      <c r="E10" s="12">
        <v>46269.25</v>
      </c>
      <c r="F10" s="11" t="s">
        <v>109</v>
      </c>
    </row>
    <row r="11" spans="1:6" ht="45">
      <c r="A11" s="10" t="s">
        <v>42</v>
      </c>
      <c r="B11" s="10" t="s">
        <v>6</v>
      </c>
      <c r="C11" s="11" t="s">
        <v>114</v>
      </c>
      <c r="D11" s="12">
        <v>46268.833333333299</v>
      </c>
      <c r="E11" s="12">
        <v>46269.25</v>
      </c>
      <c r="F11" s="11" t="s">
        <v>109</v>
      </c>
    </row>
    <row r="12" spans="1:6" ht="45">
      <c r="A12" s="10" t="s">
        <v>42</v>
      </c>
      <c r="B12" s="10" t="s">
        <v>6</v>
      </c>
      <c r="C12" s="11" t="s">
        <v>115</v>
      </c>
      <c r="D12" s="12">
        <v>46268.833333333299</v>
      </c>
      <c r="E12" s="12">
        <v>46269.25</v>
      </c>
      <c r="F12" s="11" t="s">
        <v>116</v>
      </c>
    </row>
    <row r="13" spans="1:6" ht="45">
      <c r="A13" s="10" t="s">
        <v>42</v>
      </c>
      <c r="B13" s="10" t="s">
        <v>6</v>
      </c>
      <c r="C13" s="11" t="s">
        <v>117</v>
      </c>
      <c r="D13" s="12">
        <v>46268.833333333299</v>
      </c>
      <c r="E13" s="12">
        <v>46269.25</v>
      </c>
      <c r="F13" s="11" t="s">
        <v>116</v>
      </c>
    </row>
    <row r="14" spans="1:6" ht="45">
      <c r="A14" s="10" t="s">
        <v>42</v>
      </c>
      <c r="B14" s="10" t="s">
        <v>6</v>
      </c>
      <c r="C14" s="11" t="s">
        <v>118</v>
      </c>
      <c r="D14" s="12">
        <v>46268.833333333299</v>
      </c>
      <c r="E14" s="12">
        <v>46269.25</v>
      </c>
      <c r="F14" s="11" t="s">
        <v>116</v>
      </c>
    </row>
    <row r="15" spans="1:6" ht="45">
      <c r="A15" s="10" t="s">
        <v>42</v>
      </c>
      <c r="B15" s="10" t="s">
        <v>2</v>
      </c>
      <c r="C15" s="11" t="s">
        <v>564</v>
      </c>
      <c r="D15" s="12">
        <v>46268.875</v>
      </c>
      <c r="E15" s="12">
        <v>46269.25</v>
      </c>
      <c r="F15" s="11" t="s">
        <v>565</v>
      </c>
    </row>
    <row r="16" spans="1:6" ht="60">
      <c r="A16" s="10" t="s">
        <v>60</v>
      </c>
      <c r="B16" s="10" t="s">
        <v>2</v>
      </c>
      <c r="C16" s="11" t="s">
        <v>61</v>
      </c>
      <c r="D16" s="12">
        <v>46268.875</v>
      </c>
      <c r="E16" s="12">
        <v>46269.208333333299</v>
      </c>
      <c r="F16" s="11" t="s">
        <v>62</v>
      </c>
    </row>
    <row r="17" spans="1:6" ht="45">
      <c r="A17" s="10" t="s">
        <v>60</v>
      </c>
      <c r="B17" s="10" t="s">
        <v>2</v>
      </c>
      <c r="C17" s="11" t="s">
        <v>576</v>
      </c>
      <c r="D17" s="12">
        <v>46268.833333333299</v>
      </c>
      <c r="E17" s="12">
        <v>46269.25</v>
      </c>
      <c r="F17" s="11" t="s">
        <v>577</v>
      </c>
    </row>
    <row r="18" spans="1:6" ht="45">
      <c r="A18" s="10" t="s">
        <v>60</v>
      </c>
      <c r="B18" s="10" t="s">
        <v>2</v>
      </c>
      <c r="C18" s="11" t="s">
        <v>578</v>
      </c>
      <c r="D18" s="12">
        <v>46268.833333333299</v>
      </c>
      <c r="E18" s="12">
        <v>46269.25</v>
      </c>
      <c r="F18" s="11" t="s">
        <v>577</v>
      </c>
    </row>
    <row r="19" spans="1:6" ht="45">
      <c r="A19" s="10" t="s">
        <v>60</v>
      </c>
      <c r="B19" s="10" t="s">
        <v>2</v>
      </c>
      <c r="C19" s="11" t="s">
        <v>579</v>
      </c>
      <c r="D19" s="12">
        <v>46268.833333333299</v>
      </c>
      <c r="E19" s="12">
        <v>46269.25</v>
      </c>
      <c r="F19" s="11" t="s">
        <v>577</v>
      </c>
    </row>
    <row r="20" spans="1:6" ht="60">
      <c r="A20" s="10" t="s">
        <v>60</v>
      </c>
      <c r="B20" s="10" t="s">
        <v>6</v>
      </c>
      <c r="C20" s="11" t="s">
        <v>195</v>
      </c>
      <c r="D20" s="12">
        <v>46268.833333333299</v>
      </c>
      <c r="E20" s="12">
        <v>46269.25</v>
      </c>
      <c r="F20" s="11" t="s">
        <v>196</v>
      </c>
    </row>
    <row r="21" spans="1:6" ht="75">
      <c r="A21" s="10" t="s">
        <v>60</v>
      </c>
      <c r="B21" s="10" t="s">
        <v>6</v>
      </c>
      <c r="C21" s="11" t="s">
        <v>197</v>
      </c>
      <c r="D21" s="12">
        <v>46268.833333333299</v>
      </c>
      <c r="E21" s="12">
        <v>46269.25</v>
      </c>
      <c r="F21" s="11" t="s">
        <v>196</v>
      </c>
    </row>
    <row r="22" spans="1:6" ht="45">
      <c r="A22" s="10" t="s">
        <v>60</v>
      </c>
      <c r="B22" s="10" t="s">
        <v>6</v>
      </c>
      <c r="C22" s="11" t="s">
        <v>198</v>
      </c>
      <c r="D22" s="12">
        <v>46268.833333333299</v>
      </c>
      <c r="E22" s="12">
        <v>46269.25</v>
      </c>
      <c r="F22" s="11" t="s">
        <v>196</v>
      </c>
    </row>
    <row r="23" spans="1:6" ht="60">
      <c r="A23" s="10" t="s">
        <v>60</v>
      </c>
      <c r="B23" s="10" t="s">
        <v>6</v>
      </c>
      <c r="C23" s="11" t="s">
        <v>199</v>
      </c>
      <c r="D23" s="12">
        <v>46268.833333333299</v>
      </c>
      <c r="E23" s="12">
        <v>46269.25</v>
      </c>
      <c r="F23" s="11" t="s">
        <v>196</v>
      </c>
    </row>
    <row r="24" spans="1:6" ht="60">
      <c r="A24" s="10" t="s">
        <v>60</v>
      </c>
      <c r="B24" s="10" t="s">
        <v>6</v>
      </c>
      <c r="C24" s="11" t="s">
        <v>200</v>
      </c>
      <c r="D24" s="12">
        <v>46268.833333333299</v>
      </c>
      <c r="E24" s="12">
        <v>46269.25</v>
      </c>
      <c r="F24" s="11" t="s">
        <v>196</v>
      </c>
    </row>
    <row r="25" spans="1:6" ht="60">
      <c r="A25" s="10" t="s">
        <v>60</v>
      </c>
      <c r="B25" s="10" t="s">
        <v>6</v>
      </c>
      <c r="C25" s="11" t="s">
        <v>201</v>
      </c>
      <c r="D25" s="12">
        <v>46268.833333333299</v>
      </c>
      <c r="E25" s="12">
        <v>46269.25</v>
      </c>
      <c r="F25" s="11" t="s">
        <v>196</v>
      </c>
    </row>
    <row r="26" spans="1:6" ht="60">
      <c r="A26" s="10" t="s">
        <v>60</v>
      </c>
      <c r="B26" s="10" t="s">
        <v>6</v>
      </c>
      <c r="C26" s="11" t="s">
        <v>583</v>
      </c>
      <c r="D26" s="12">
        <v>46268.833333333299</v>
      </c>
      <c r="E26" s="12">
        <v>46269.25</v>
      </c>
      <c r="F26" s="11" t="s">
        <v>210</v>
      </c>
    </row>
    <row r="27" spans="1:6" ht="60">
      <c r="A27" s="10" t="s">
        <v>60</v>
      </c>
      <c r="B27" s="10" t="s">
        <v>6</v>
      </c>
      <c r="C27" s="11" t="s">
        <v>584</v>
      </c>
      <c r="D27" s="12">
        <v>46268.833333333299</v>
      </c>
      <c r="E27" s="12">
        <v>46269.25</v>
      </c>
      <c r="F27" s="11" t="s">
        <v>210</v>
      </c>
    </row>
    <row r="28" spans="1:6" ht="75">
      <c r="A28" s="10" t="s">
        <v>60</v>
      </c>
      <c r="B28" s="10" t="s">
        <v>6</v>
      </c>
      <c r="C28" s="11" t="s">
        <v>585</v>
      </c>
      <c r="D28" s="12">
        <v>46268.833333333299</v>
      </c>
      <c r="E28" s="12">
        <v>46269.25</v>
      </c>
      <c r="F28" s="11" t="s">
        <v>210</v>
      </c>
    </row>
    <row r="29" spans="1:6" ht="45">
      <c r="A29" s="10" t="s">
        <v>60</v>
      </c>
      <c r="B29" s="10" t="s">
        <v>2</v>
      </c>
      <c r="C29" s="11" t="s">
        <v>586</v>
      </c>
      <c r="D29" s="12">
        <v>46268.833333333299</v>
      </c>
      <c r="E29" s="12">
        <v>46269.25</v>
      </c>
      <c r="F29" s="11" t="s">
        <v>587</v>
      </c>
    </row>
    <row r="30" spans="1:6" ht="45">
      <c r="A30" s="10" t="s">
        <v>60</v>
      </c>
      <c r="B30" s="10" t="s">
        <v>2</v>
      </c>
      <c r="C30" s="11" t="s">
        <v>588</v>
      </c>
      <c r="D30" s="12">
        <v>46268.833333333299</v>
      </c>
      <c r="E30" s="12">
        <v>46269.25</v>
      </c>
      <c r="F30" s="11" t="s">
        <v>587</v>
      </c>
    </row>
    <row r="31" spans="1:6" ht="75">
      <c r="A31" s="10" t="s">
        <v>60</v>
      </c>
      <c r="B31" s="10" t="s">
        <v>2</v>
      </c>
      <c r="C31" s="11" t="s">
        <v>589</v>
      </c>
      <c r="D31" s="12">
        <v>46268.833333333299</v>
      </c>
      <c r="E31" s="12">
        <v>46269.25</v>
      </c>
      <c r="F31" s="11" t="s">
        <v>587</v>
      </c>
    </row>
    <row r="32" spans="1:6" ht="75">
      <c r="A32" s="10" t="s">
        <v>442</v>
      </c>
      <c r="B32" s="10" t="s">
        <v>6</v>
      </c>
      <c r="C32" s="11" t="s">
        <v>443</v>
      </c>
      <c r="D32" s="12">
        <v>46268.833333333299</v>
      </c>
      <c r="E32" s="12">
        <v>46269.166666666701</v>
      </c>
      <c r="F32" s="11" t="s">
        <v>444</v>
      </c>
    </row>
    <row r="33" spans="1:6" ht="75">
      <c r="A33" s="10" t="s">
        <v>32</v>
      </c>
      <c r="B33" s="10" t="s">
        <v>2</v>
      </c>
      <c r="C33" s="11" t="s">
        <v>33</v>
      </c>
      <c r="D33" s="12">
        <v>46268.895833333299</v>
      </c>
      <c r="E33" s="12">
        <v>46269.1875</v>
      </c>
      <c r="F33" s="11" t="s">
        <v>34</v>
      </c>
    </row>
    <row r="34" spans="1:6" ht="75">
      <c r="A34" s="10" t="s">
        <v>32</v>
      </c>
      <c r="B34" s="10" t="s">
        <v>6</v>
      </c>
      <c r="C34" s="11" t="s">
        <v>35</v>
      </c>
      <c r="D34" s="12">
        <v>46268.895833333299</v>
      </c>
      <c r="E34" s="12">
        <v>46269.1875</v>
      </c>
      <c r="F34" s="11" t="s">
        <v>34</v>
      </c>
    </row>
    <row r="35" spans="1:6" ht="75">
      <c r="A35" s="10" t="s">
        <v>32</v>
      </c>
      <c r="B35" s="10" t="s">
        <v>2</v>
      </c>
      <c r="C35" s="11" t="s">
        <v>539</v>
      </c>
      <c r="D35" s="12">
        <v>46268.833333333299</v>
      </c>
      <c r="E35" s="12">
        <v>46269.25</v>
      </c>
      <c r="F35" s="11" t="s">
        <v>540</v>
      </c>
    </row>
    <row r="36" spans="1:6" ht="75">
      <c r="A36" s="10" t="s">
        <v>17</v>
      </c>
      <c r="B36" s="10" t="s">
        <v>6</v>
      </c>
      <c r="C36" s="11" t="s">
        <v>18</v>
      </c>
      <c r="D36" s="12">
        <v>46268.875</v>
      </c>
      <c r="E36" s="12">
        <v>46269.208333333299</v>
      </c>
      <c r="F36" s="11" t="s">
        <v>19</v>
      </c>
    </row>
    <row r="37" spans="1:6" ht="90">
      <c r="A37" s="10" t="s">
        <v>17</v>
      </c>
      <c r="B37" s="10" t="s">
        <v>6</v>
      </c>
      <c r="C37" s="11" t="s">
        <v>541</v>
      </c>
      <c r="D37" s="12">
        <v>46268.875</v>
      </c>
      <c r="E37" s="12">
        <v>46269.208333333299</v>
      </c>
      <c r="F37" s="11" t="s">
        <v>542</v>
      </c>
    </row>
    <row r="38" spans="1:6" ht="90">
      <c r="A38" s="10" t="s">
        <v>29</v>
      </c>
      <c r="B38" s="10" t="s">
        <v>5</v>
      </c>
      <c r="C38" s="11" t="s">
        <v>30</v>
      </c>
      <c r="D38" s="12">
        <v>46268.916666666701</v>
      </c>
      <c r="E38" s="12">
        <v>46269.25</v>
      </c>
      <c r="F38" s="11" t="s">
        <v>31</v>
      </c>
    </row>
    <row r="39" spans="1:6" ht="90">
      <c r="A39" s="10" t="s">
        <v>29</v>
      </c>
      <c r="B39" s="10" t="s">
        <v>4</v>
      </c>
      <c r="C39" s="11" t="s">
        <v>37</v>
      </c>
      <c r="D39" s="12">
        <v>46268.833333333299</v>
      </c>
      <c r="E39" s="12">
        <v>46269.25</v>
      </c>
      <c r="F39" s="11" t="s">
        <v>38</v>
      </c>
    </row>
    <row r="40" spans="1:6" ht="90">
      <c r="A40" s="10" t="s">
        <v>29</v>
      </c>
      <c r="B40" s="10" t="s">
        <v>5</v>
      </c>
      <c r="C40" s="11" t="s">
        <v>39</v>
      </c>
      <c r="D40" s="12">
        <v>46268.833333333299</v>
      </c>
      <c r="E40" s="12">
        <v>46269.25</v>
      </c>
      <c r="F40" s="11" t="s">
        <v>40</v>
      </c>
    </row>
    <row r="41" spans="1:6" ht="75">
      <c r="A41" s="10" t="s">
        <v>29</v>
      </c>
      <c r="B41" s="10" t="s">
        <v>5</v>
      </c>
      <c r="C41" s="11" t="s">
        <v>41</v>
      </c>
      <c r="D41" s="12">
        <v>46268.833333333299</v>
      </c>
      <c r="E41" s="12">
        <v>46269.25</v>
      </c>
      <c r="F41" s="11" t="s">
        <v>40</v>
      </c>
    </row>
    <row r="42" spans="1:6" ht="90">
      <c r="A42" s="10" t="s">
        <v>29</v>
      </c>
      <c r="B42" s="10" t="s">
        <v>4</v>
      </c>
      <c r="C42" s="11" t="s">
        <v>550</v>
      </c>
      <c r="D42" s="12">
        <v>46268.833333333299</v>
      </c>
      <c r="E42" s="12">
        <v>46269.25</v>
      </c>
      <c r="F42" s="11" t="s">
        <v>551</v>
      </c>
    </row>
    <row r="43" spans="1:6" ht="90">
      <c r="A43" s="10" t="s">
        <v>29</v>
      </c>
      <c r="B43" s="10" t="s">
        <v>5</v>
      </c>
      <c r="C43" s="11" t="s">
        <v>93</v>
      </c>
      <c r="D43" s="12">
        <v>46266.541666666701</v>
      </c>
      <c r="E43" s="12">
        <v>46270.25</v>
      </c>
      <c r="F43" s="11" t="s">
        <v>94</v>
      </c>
    </row>
    <row r="44" spans="1:6" ht="90">
      <c r="A44" s="10" t="s">
        <v>29</v>
      </c>
      <c r="B44" s="10" t="s">
        <v>5</v>
      </c>
      <c r="C44" s="11" t="s">
        <v>95</v>
      </c>
      <c r="D44" s="12">
        <v>46268.833333333299</v>
      </c>
      <c r="E44" s="12">
        <v>46269.25</v>
      </c>
      <c r="F44" s="11" t="s">
        <v>94</v>
      </c>
    </row>
    <row r="45" spans="1:6" ht="90">
      <c r="A45" s="10" t="s">
        <v>29</v>
      </c>
      <c r="B45" s="10" t="s">
        <v>5</v>
      </c>
      <c r="C45" s="11" t="s">
        <v>96</v>
      </c>
      <c r="D45" s="12">
        <v>46268.833333333299</v>
      </c>
      <c r="E45" s="12">
        <v>46269.25</v>
      </c>
      <c r="F45" s="11" t="s">
        <v>94</v>
      </c>
    </row>
    <row r="46" spans="1:6" ht="90">
      <c r="A46" s="10" t="s">
        <v>29</v>
      </c>
      <c r="B46" s="10" t="s">
        <v>5</v>
      </c>
      <c r="C46" s="11" t="s">
        <v>97</v>
      </c>
      <c r="D46" s="12">
        <v>46268.833333333299</v>
      </c>
      <c r="E46" s="12">
        <v>46269.25</v>
      </c>
      <c r="F46" s="11" t="s">
        <v>94</v>
      </c>
    </row>
    <row r="47" spans="1:6" ht="90">
      <c r="A47" s="10" t="s">
        <v>29</v>
      </c>
      <c r="B47" s="10" t="s">
        <v>5</v>
      </c>
      <c r="C47" s="11" t="s">
        <v>98</v>
      </c>
      <c r="D47" s="12">
        <v>46268.833333333299</v>
      </c>
      <c r="E47" s="12">
        <v>46269.25</v>
      </c>
      <c r="F47" s="11" t="s">
        <v>94</v>
      </c>
    </row>
    <row r="48" spans="1:6" ht="90">
      <c r="A48" s="10" t="s">
        <v>29</v>
      </c>
      <c r="B48" s="10" t="s">
        <v>5</v>
      </c>
      <c r="C48" s="11" t="s">
        <v>99</v>
      </c>
      <c r="D48" s="12">
        <v>46268.833333333299</v>
      </c>
      <c r="E48" s="12">
        <v>46269.25</v>
      </c>
      <c r="F48" s="11" t="s">
        <v>94</v>
      </c>
    </row>
    <row r="49" spans="1:6" ht="90">
      <c r="A49" s="10" t="s">
        <v>29</v>
      </c>
      <c r="B49" s="10" t="s">
        <v>5</v>
      </c>
      <c r="C49" s="11" t="s">
        <v>100</v>
      </c>
      <c r="D49" s="12">
        <v>46268.833333333299</v>
      </c>
      <c r="E49" s="12">
        <v>46269.25</v>
      </c>
      <c r="F49" s="11" t="s">
        <v>94</v>
      </c>
    </row>
    <row r="50" spans="1:6" ht="75">
      <c r="A50" s="10" t="s">
        <v>29</v>
      </c>
      <c r="B50" s="10" t="s">
        <v>5</v>
      </c>
      <c r="C50" s="11" t="s">
        <v>101</v>
      </c>
      <c r="D50" s="12">
        <v>46268.833333333299</v>
      </c>
      <c r="E50" s="12">
        <v>46269.25</v>
      </c>
      <c r="F50" s="11" t="s">
        <v>94</v>
      </c>
    </row>
    <row r="51" spans="1:6" ht="60">
      <c r="A51" s="10" t="s">
        <v>228</v>
      </c>
      <c r="B51" s="10" t="s">
        <v>23</v>
      </c>
      <c r="C51" s="11" t="s">
        <v>229</v>
      </c>
      <c r="D51" s="12">
        <v>46268.833333333299</v>
      </c>
      <c r="E51" s="12">
        <v>46269.25</v>
      </c>
      <c r="F51" s="11" t="s">
        <v>226</v>
      </c>
    </row>
    <row r="52" spans="1:6" ht="90">
      <c r="A52" s="10" t="s">
        <v>228</v>
      </c>
      <c r="B52" s="10" t="s">
        <v>4</v>
      </c>
      <c r="C52" s="11" t="s">
        <v>230</v>
      </c>
      <c r="D52" s="12">
        <v>46268.833333333299</v>
      </c>
      <c r="E52" s="12">
        <v>46269.25</v>
      </c>
      <c r="F52" s="11" t="s">
        <v>226</v>
      </c>
    </row>
    <row r="53" spans="1:6" ht="90">
      <c r="A53" s="10" t="s">
        <v>228</v>
      </c>
      <c r="B53" s="10" t="s">
        <v>5</v>
      </c>
      <c r="C53" s="11" t="s">
        <v>231</v>
      </c>
      <c r="D53" s="12">
        <v>46268.833333333299</v>
      </c>
      <c r="E53" s="12">
        <v>46269.25</v>
      </c>
      <c r="F53" s="11" t="s">
        <v>226</v>
      </c>
    </row>
    <row r="54" spans="1:6" ht="90">
      <c r="A54" s="10" t="s">
        <v>566</v>
      </c>
      <c r="B54" s="10" t="s">
        <v>4</v>
      </c>
      <c r="C54" s="11" t="s">
        <v>567</v>
      </c>
      <c r="D54" s="12">
        <v>46268.833333333299</v>
      </c>
      <c r="E54" s="12">
        <v>46269.25</v>
      </c>
      <c r="F54" s="11" t="s">
        <v>568</v>
      </c>
    </row>
    <row r="55" spans="1:6" ht="90">
      <c r="A55" s="10" t="s">
        <v>221</v>
      </c>
      <c r="B55" s="10" t="s">
        <v>2</v>
      </c>
      <c r="C55" s="11" t="s">
        <v>222</v>
      </c>
      <c r="D55" s="12">
        <v>46268.833333333299</v>
      </c>
      <c r="E55" s="12">
        <v>46269.25</v>
      </c>
      <c r="F55" s="11" t="s">
        <v>223</v>
      </c>
    </row>
    <row r="56" spans="1:6" ht="90">
      <c r="A56" s="10" t="s">
        <v>221</v>
      </c>
      <c r="B56" s="10" t="s">
        <v>6</v>
      </c>
      <c r="C56" s="11" t="s">
        <v>224</v>
      </c>
      <c r="D56" s="12">
        <v>46268.833333333299</v>
      </c>
      <c r="E56" s="12">
        <v>46269.25</v>
      </c>
      <c r="F56" s="11" t="s">
        <v>223</v>
      </c>
    </row>
    <row r="57" spans="1:6" ht="90">
      <c r="A57" s="10" t="s">
        <v>221</v>
      </c>
      <c r="B57" s="10" t="s">
        <v>6</v>
      </c>
      <c r="C57" s="11" t="s">
        <v>225</v>
      </c>
      <c r="D57" s="12">
        <v>46268.833333333299</v>
      </c>
      <c r="E57" s="12">
        <v>46269.25</v>
      </c>
      <c r="F57" s="11" t="s">
        <v>226</v>
      </c>
    </row>
    <row r="58" spans="1:6" ht="60">
      <c r="A58" s="10" t="s">
        <v>221</v>
      </c>
      <c r="B58" s="10" t="s">
        <v>2</v>
      </c>
      <c r="C58" s="11" t="s">
        <v>227</v>
      </c>
      <c r="D58" s="12">
        <v>46268.833333333299</v>
      </c>
      <c r="E58" s="12">
        <v>46269.25</v>
      </c>
      <c r="F58" s="11" t="s">
        <v>226</v>
      </c>
    </row>
    <row r="59" spans="1:6" ht="60">
      <c r="A59" s="10" t="s">
        <v>221</v>
      </c>
      <c r="B59" s="10" t="s">
        <v>2</v>
      </c>
      <c r="C59" s="11" t="s">
        <v>232</v>
      </c>
      <c r="D59" s="12">
        <v>46268.833333333299</v>
      </c>
      <c r="E59" s="12">
        <v>46269.25</v>
      </c>
      <c r="F59" s="11" t="s">
        <v>233</v>
      </c>
    </row>
    <row r="60" spans="1:6" ht="60">
      <c r="A60" s="10" t="s">
        <v>392</v>
      </c>
      <c r="B60" s="10" t="s">
        <v>5</v>
      </c>
      <c r="C60" s="11" t="s">
        <v>402</v>
      </c>
      <c r="D60" s="12">
        <v>46268.875</v>
      </c>
      <c r="E60" s="12">
        <v>46269.25</v>
      </c>
      <c r="F60" s="11" t="s">
        <v>403</v>
      </c>
    </row>
    <row r="61" spans="1:6" ht="90">
      <c r="A61" s="10" t="s">
        <v>424</v>
      </c>
      <c r="B61" s="10" t="s">
        <v>5</v>
      </c>
      <c r="C61" s="11" t="s">
        <v>425</v>
      </c>
      <c r="D61" s="12">
        <v>46268.916666666701</v>
      </c>
      <c r="E61" s="12">
        <v>46269.229166666701</v>
      </c>
      <c r="F61" s="11" t="s">
        <v>426</v>
      </c>
    </row>
    <row r="62" spans="1:6" ht="90">
      <c r="A62" s="10" t="s">
        <v>644</v>
      </c>
      <c r="B62" s="10" t="s">
        <v>4</v>
      </c>
      <c r="C62" s="11" t="s">
        <v>645</v>
      </c>
      <c r="D62" s="12">
        <v>46268.833333333299</v>
      </c>
      <c r="E62" s="12">
        <v>46269.25</v>
      </c>
      <c r="F62" s="11" t="s">
        <v>646</v>
      </c>
    </row>
    <row r="63" spans="1:6" ht="60">
      <c r="A63" s="10" t="s">
        <v>644</v>
      </c>
      <c r="B63" s="10" t="s">
        <v>5</v>
      </c>
      <c r="C63" s="11" t="s">
        <v>647</v>
      </c>
      <c r="D63" s="12">
        <v>46268.833333333299</v>
      </c>
      <c r="E63" s="12">
        <v>46269.25</v>
      </c>
      <c r="F63" s="11" t="s">
        <v>646</v>
      </c>
    </row>
    <row r="64" spans="1:6" ht="75">
      <c r="A64" s="10" t="s">
        <v>644</v>
      </c>
      <c r="B64" s="10" t="s">
        <v>23</v>
      </c>
      <c r="C64" s="11" t="s">
        <v>648</v>
      </c>
      <c r="D64" s="12">
        <v>46268.833333333299</v>
      </c>
      <c r="E64" s="12">
        <v>46269.25</v>
      </c>
      <c r="F64" s="11" t="s">
        <v>646</v>
      </c>
    </row>
    <row r="65" spans="1:6" ht="60">
      <c r="A65" s="10" t="s">
        <v>380</v>
      </c>
      <c r="B65" s="10" t="s">
        <v>6</v>
      </c>
      <c r="C65" s="11" t="s">
        <v>638</v>
      </c>
      <c r="D65" s="12">
        <v>46268.833333333299</v>
      </c>
      <c r="E65" s="12">
        <v>46269.208333333299</v>
      </c>
      <c r="F65" s="11" t="s">
        <v>639</v>
      </c>
    </row>
    <row r="66" spans="1:6" ht="60">
      <c r="A66" s="10" t="s">
        <v>380</v>
      </c>
      <c r="B66" s="10" t="s">
        <v>6</v>
      </c>
      <c r="C66" s="11" t="s">
        <v>640</v>
      </c>
      <c r="D66" s="12">
        <v>46268.833333333299</v>
      </c>
      <c r="E66" s="12">
        <v>46269.208333333299</v>
      </c>
      <c r="F66" s="11" t="s">
        <v>639</v>
      </c>
    </row>
    <row r="67" spans="1:6" ht="60">
      <c r="A67" s="10" t="s">
        <v>380</v>
      </c>
      <c r="B67" s="10" t="s">
        <v>6</v>
      </c>
      <c r="C67" s="11" t="s">
        <v>641</v>
      </c>
      <c r="D67" s="12">
        <v>46268.833333333299</v>
      </c>
      <c r="E67" s="12">
        <v>46269.208333333299</v>
      </c>
      <c r="F67" s="11" t="s">
        <v>639</v>
      </c>
    </row>
    <row r="68" spans="1:6" ht="60">
      <c r="A68" s="10" t="s">
        <v>380</v>
      </c>
      <c r="B68" s="10" t="s">
        <v>6</v>
      </c>
      <c r="C68" s="11" t="s">
        <v>642</v>
      </c>
      <c r="D68" s="12">
        <v>46268.833333333299</v>
      </c>
      <c r="E68" s="12">
        <v>46269.208333333299</v>
      </c>
      <c r="F68" s="11" t="s">
        <v>639</v>
      </c>
    </row>
    <row r="69" spans="1:6" ht="60">
      <c r="A69" s="10" t="s">
        <v>380</v>
      </c>
      <c r="B69" s="10" t="s">
        <v>2</v>
      </c>
      <c r="C69" s="11" t="s">
        <v>396</v>
      </c>
      <c r="D69" s="12">
        <v>46268.833333333299</v>
      </c>
      <c r="E69" s="12">
        <v>46269.25</v>
      </c>
      <c r="F69" s="11" t="s">
        <v>397</v>
      </c>
    </row>
    <row r="70" spans="1:6" ht="60">
      <c r="A70" s="10" t="s">
        <v>380</v>
      </c>
      <c r="B70" s="10" t="s">
        <v>6</v>
      </c>
      <c r="C70" s="11" t="s">
        <v>398</v>
      </c>
      <c r="D70" s="12">
        <v>46268.833333333299</v>
      </c>
      <c r="E70" s="12">
        <v>46269.25</v>
      </c>
      <c r="F70" s="11" t="s">
        <v>397</v>
      </c>
    </row>
    <row r="71" spans="1:6" ht="60">
      <c r="A71" s="10" t="s">
        <v>383</v>
      </c>
      <c r="B71" s="10" t="s">
        <v>2</v>
      </c>
      <c r="C71" s="11" t="s">
        <v>643</v>
      </c>
      <c r="D71" s="12">
        <v>46268.875</v>
      </c>
      <c r="E71" s="12">
        <v>46269.25</v>
      </c>
      <c r="F71" s="11" t="s">
        <v>400</v>
      </c>
    </row>
    <row r="72" spans="1:6" ht="60">
      <c r="A72" s="10" t="s">
        <v>383</v>
      </c>
      <c r="B72" s="10" t="s">
        <v>2</v>
      </c>
      <c r="C72" s="11" t="s">
        <v>404</v>
      </c>
      <c r="D72" s="12">
        <v>46268.833333333299</v>
      </c>
      <c r="E72" s="12">
        <v>46269.25</v>
      </c>
      <c r="F72" s="11" t="s">
        <v>405</v>
      </c>
    </row>
    <row r="73" spans="1:6" ht="60">
      <c r="A73" s="10" t="s">
        <v>383</v>
      </c>
      <c r="B73" s="10" t="s">
        <v>2</v>
      </c>
      <c r="C73" s="11" t="s">
        <v>406</v>
      </c>
      <c r="D73" s="12">
        <v>46268.833333333299</v>
      </c>
      <c r="E73" s="12">
        <v>46269.25</v>
      </c>
      <c r="F73" s="11" t="s">
        <v>405</v>
      </c>
    </row>
    <row r="74" spans="1:6" ht="105">
      <c r="A74" s="10" t="s">
        <v>409</v>
      </c>
      <c r="B74" s="10" t="s">
        <v>2</v>
      </c>
      <c r="C74" s="11" t="s">
        <v>410</v>
      </c>
      <c r="D74" s="12">
        <v>46268.833333333299</v>
      </c>
      <c r="E74" s="12">
        <v>46269.25</v>
      </c>
      <c r="F74" s="11" t="s">
        <v>411</v>
      </c>
    </row>
    <row r="75" spans="1:6" ht="105">
      <c r="A75" s="10" t="s">
        <v>409</v>
      </c>
      <c r="B75" s="10" t="s">
        <v>6</v>
      </c>
      <c r="C75" s="11" t="s">
        <v>412</v>
      </c>
      <c r="D75" s="12">
        <v>46268.833333333299</v>
      </c>
      <c r="E75" s="12">
        <v>46269.25</v>
      </c>
      <c r="F75" s="11" t="s">
        <v>411</v>
      </c>
    </row>
    <row r="76" spans="1:6" ht="105">
      <c r="A76" s="10" t="s">
        <v>376</v>
      </c>
      <c r="B76" s="10" t="s">
        <v>5</v>
      </c>
      <c r="C76" s="11" t="s">
        <v>629</v>
      </c>
      <c r="D76" s="12">
        <v>46268.875</v>
      </c>
      <c r="E76" s="12">
        <v>46269.25</v>
      </c>
      <c r="F76" s="11" t="s">
        <v>630</v>
      </c>
    </row>
    <row r="77" spans="1:6" ht="75">
      <c r="A77" s="10" t="s">
        <v>376</v>
      </c>
      <c r="B77" s="10" t="s">
        <v>4</v>
      </c>
      <c r="C77" s="11" t="s">
        <v>377</v>
      </c>
      <c r="D77" s="12">
        <v>46268.833333333299</v>
      </c>
      <c r="E77" s="12">
        <v>46269.25</v>
      </c>
      <c r="F77" s="11" t="s">
        <v>378</v>
      </c>
    </row>
    <row r="78" spans="1:6" ht="60">
      <c r="A78" s="10" t="s">
        <v>376</v>
      </c>
      <c r="B78" s="10" t="s">
        <v>5</v>
      </c>
      <c r="C78" s="11" t="s">
        <v>379</v>
      </c>
      <c r="D78" s="12">
        <v>46268.833333333299</v>
      </c>
      <c r="E78" s="12">
        <v>46269.25</v>
      </c>
      <c r="F78" s="11" t="s">
        <v>378</v>
      </c>
    </row>
    <row r="79" spans="1:6" ht="60">
      <c r="A79" s="10" t="s">
        <v>420</v>
      </c>
      <c r="B79" s="10" t="s">
        <v>2</v>
      </c>
      <c r="C79" s="11" t="s">
        <v>421</v>
      </c>
      <c r="D79" s="12">
        <v>46268.875</v>
      </c>
      <c r="E79" s="12">
        <v>46269.229166666701</v>
      </c>
      <c r="F79" s="11" t="s">
        <v>422</v>
      </c>
    </row>
    <row r="80" spans="1:6" ht="60">
      <c r="A80" s="10" t="s">
        <v>420</v>
      </c>
      <c r="B80" s="10" t="s">
        <v>2</v>
      </c>
      <c r="C80" s="11" t="s">
        <v>423</v>
      </c>
      <c r="D80" s="12">
        <v>46268.875</v>
      </c>
      <c r="E80" s="12">
        <v>46269.229166666701</v>
      </c>
      <c r="F80" s="11" t="s">
        <v>422</v>
      </c>
    </row>
    <row r="81" spans="1:6" ht="60">
      <c r="A81" s="10" t="s">
        <v>420</v>
      </c>
      <c r="B81" s="10" t="s">
        <v>6</v>
      </c>
      <c r="C81" s="11" t="s">
        <v>436</v>
      </c>
      <c r="D81" s="12">
        <v>46268.916666666701</v>
      </c>
      <c r="E81" s="12">
        <v>46269.229166666701</v>
      </c>
      <c r="F81" s="11" t="s">
        <v>437</v>
      </c>
    </row>
    <row r="82" spans="1:6" ht="75">
      <c r="A82" s="10" t="s">
        <v>357</v>
      </c>
      <c r="B82" s="10" t="s">
        <v>2</v>
      </c>
      <c r="C82" s="11" t="s">
        <v>623</v>
      </c>
      <c r="D82" s="12">
        <v>46268.875</v>
      </c>
      <c r="E82" s="12">
        <v>46269.25</v>
      </c>
      <c r="F82" s="11" t="s">
        <v>624</v>
      </c>
    </row>
    <row r="83" spans="1:6" ht="75">
      <c r="A83" s="10" t="s">
        <v>357</v>
      </c>
      <c r="B83" s="10" t="s">
        <v>23</v>
      </c>
      <c r="C83" s="11" t="s">
        <v>358</v>
      </c>
      <c r="D83" s="12">
        <v>46268.875</v>
      </c>
      <c r="E83" s="12">
        <v>46269.25</v>
      </c>
      <c r="F83" s="11" t="s">
        <v>359</v>
      </c>
    </row>
    <row r="84" spans="1:6" ht="75">
      <c r="A84" s="10" t="s">
        <v>357</v>
      </c>
      <c r="B84" s="10" t="s">
        <v>2</v>
      </c>
      <c r="C84" s="11" t="s">
        <v>445</v>
      </c>
      <c r="D84" s="12">
        <v>46268.916666666701</v>
      </c>
      <c r="E84" s="12">
        <v>46269.229166666701</v>
      </c>
      <c r="F84" s="11" t="s">
        <v>446</v>
      </c>
    </row>
    <row r="85" spans="1:6" ht="75">
      <c r="A85" s="10" t="s">
        <v>357</v>
      </c>
      <c r="B85" s="10" t="s">
        <v>2</v>
      </c>
      <c r="C85" s="11" t="s">
        <v>447</v>
      </c>
      <c r="D85" s="12">
        <v>46268.916666666701</v>
      </c>
      <c r="E85" s="12">
        <v>46269.229166666701</v>
      </c>
      <c r="F85" s="11" t="s">
        <v>446</v>
      </c>
    </row>
    <row r="86" spans="1:6" ht="75">
      <c r="A86" s="10" t="s">
        <v>452</v>
      </c>
      <c r="B86" s="10" t="s">
        <v>5</v>
      </c>
      <c r="C86" s="11" t="s">
        <v>453</v>
      </c>
      <c r="D86" s="12">
        <v>46268.833333333299</v>
      </c>
      <c r="E86" s="12">
        <v>46269.25</v>
      </c>
      <c r="F86" s="11" t="s">
        <v>454</v>
      </c>
    </row>
    <row r="87" spans="1:6" ht="75">
      <c r="A87" s="10" t="s">
        <v>452</v>
      </c>
      <c r="B87" s="10" t="s">
        <v>5</v>
      </c>
      <c r="C87" s="11" t="s">
        <v>455</v>
      </c>
      <c r="D87" s="12">
        <v>46268.833333333299</v>
      </c>
      <c r="E87" s="12">
        <v>46269.25</v>
      </c>
      <c r="F87" s="11" t="s">
        <v>454</v>
      </c>
    </row>
    <row r="88" spans="1:6" ht="75">
      <c r="A88" s="10" t="s">
        <v>452</v>
      </c>
      <c r="B88" s="10" t="s">
        <v>4</v>
      </c>
      <c r="C88" s="11" t="s">
        <v>460</v>
      </c>
      <c r="D88" s="12">
        <v>46268.833333333299</v>
      </c>
      <c r="E88" s="12">
        <v>46269.25</v>
      </c>
      <c r="F88" s="11" t="s">
        <v>461</v>
      </c>
    </row>
    <row r="89" spans="1:6" ht="75">
      <c r="A89" s="10" t="s">
        <v>345</v>
      </c>
      <c r="B89" s="10" t="s">
        <v>5</v>
      </c>
      <c r="C89" s="11" t="s">
        <v>346</v>
      </c>
      <c r="D89" s="12">
        <v>46268.875</v>
      </c>
      <c r="E89" s="12">
        <v>46269.25</v>
      </c>
      <c r="F89" s="11" t="s">
        <v>347</v>
      </c>
    </row>
    <row r="90" spans="1:6" ht="75">
      <c r="A90" s="10" t="s">
        <v>345</v>
      </c>
      <c r="B90" s="10" t="s">
        <v>4</v>
      </c>
      <c r="C90" s="11" t="s">
        <v>348</v>
      </c>
      <c r="D90" s="12">
        <v>46268.875</v>
      </c>
      <c r="E90" s="12">
        <v>46269.25</v>
      </c>
      <c r="F90" s="11" t="s">
        <v>347</v>
      </c>
    </row>
    <row r="91" spans="1:6" ht="75">
      <c r="A91" s="10" t="s">
        <v>345</v>
      </c>
      <c r="B91" s="10" t="s">
        <v>4</v>
      </c>
      <c r="C91" s="11" t="s">
        <v>360</v>
      </c>
      <c r="D91" s="12">
        <v>46268.875</v>
      </c>
      <c r="E91" s="12">
        <v>46269.25</v>
      </c>
      <c r="F91" s="11" t="s">
        <v>361</v>
      </c>
    </row>
    <row r="92" spans="1:6" ht="90">
      <c r="A92" s="10" t="s">
        <v>345</v>
      </c>
      <c r="B92" s="10" t="s">
        <v>23</v>
      </c>
      <c r="C92" s="11" t="s">
        <v>468</v>
      </c>
      <c r="D92" s="12">
        <v>46268.875</v>
      </c>
      <c r="E92" s="12">
        <v>46269.25</v>
      </c>
      <c r="F92" s="11" t="s">
        <v>469</v>
      </c>
    </row>
    <row r="93" spans="1:6" ht="45">
      <c r="A93" s="10" t="s">
        <v>345</v>
      </c>
      <c r="B93" s="10" t="s">
        <v>5</v>
      </c>
      <c r="C93" s="11" t="s">
        <v>485</v>
      </c>
      <c r="D93" s="12">
        <v>46268.875</v>
      </c>
      <c r="E93" s="12">
        <v>46269.25</v>
      </c>
      <c r="F93" s="11" t="s">
        <v>486</v>
      </c>
    </row>
    <row r="94" spans="1:6" ht="75">
      <c r="A94" s="10" t="s">
        <v>371</v>
      </c>
      <c r="B94" s="10" t="s">
        <v>4</v>
      </c>
      <c r="C94" s="11" t="s">
        <v>372</v>
      </c>
      <c r="D94" s="12">
        <v>46268.875</v>
      </c>
      <c r="E94" s="12">
        <v>46269.25</v>
      </c>
      <c r="F94" s="11" t="s">
        <v>373</v>
      </c>
    </row>
    <row r="95" spans="1:6" ht="75">
      <c r="A95" s="10" t="s">
        <v>371</v>
      </c>
      <c r="B95" s="10" t="s">
        <v>4</v>
      </c>
      <c r="C95" s="11" t="s">
        <v>374</v>
      </c>
      <c r="D95" s="12">
        <v>46268.875</v>
      </c>
      <c r="E95" s="12">
        <v>46269.25</v>
      </c>
      <c r="F95" s="11" t="s">
        <v>373</v>
      </c>
    </row>
    <row r="96" spans="1:6" ht="75">
      <c r="A96" s="10" t="s">
        <v>330</v>
      </c>
      <c r="B96" s="10" t="s">
        <v>2</v>
      </c>
      <c r="C96" s="11" t="s">
        <v>331</v>
      </c>
      <c r="D96" s="12">
        <v>46268.875</v>
      </c>
      <c r="E96" s="12">
        <v>46269.25</v>
      </c>
      <c r="F96" s="11" t="s">
        <v>332</v>
      </c>
    </row>
    <row r="97" spans="1:6" ht="90">
      <c r="A97" s="10" t="s">
        <v>330</v>
      </c>
      <c r="B97" s="10" t="s">
        <v>6</v>
      </c>
      <c r="C97" s="11" t="s">
        <v>626</v>
      </c>
      <c r="D97" s="12">
        <v>46268.875</v>
      </c>
      <c r="E97" s="12">
        <v>46269.25</v>
      </c>
      <c r="F97" s="11" t="s">
        <v>627</v>
      </c>
    </row>
    <row r="98" spans="1:6" ht="90">
      <c r="A98" s="10" t="s">
        <v>330</v>
      </c>
      <c r="B98" s="10" t="s">
        <v>6</v>
      </c>
      <c r="C98" s="11" t="s">
        <v>628</v>
      </c>
      <c r="D98" s="12">
        <v>46268.875</v>
      </c>
      <c r="E98" s="12">
        <v>46269.25</v>
      </c>
      <c r="F98" s="11" t="s">
        <v>627</v>
      </c>
    </row>
    <row r="99" spans="1:6" ht="90">
      <c r="A99" s="10" t="s">
        <v>330</v>
      </c>
      <c r="B99" s="10" t="s">
        <v>2</v>
      </c>
      <c r="C99" s="11" t="s">
        <v>631</v>
      </c>
      <c r="D99" s="12">
        <v>46268.875</v>
      </c>
      <c r="E99" s="12">
        <v>46269.25</v>
      </c>
      <c r="F99" s="11" t="s">
        <v>632</v>
      </c>
    </row>
    <row r="100" spans="1:6" ht="60">
      <c r="A100" s="10" t="s">
        <v>330</v>
      </c>
      <c r="B100" s="10" t="s">
        <v>2</v>
      </c>
      <c r="C100" s="11" t="s">
        <v>633</v>
      </c>
      <c r="D100" s="12">
        <v>46268.875</v>
      </c>
      <c r="E100" s="12">
        <v>46269.25</v>
      </c>
      <c r="F100" s="11" t="s">
        <v>634</v>
      </c>
    </row>
    <row r="101" spans="1:6" ht="60">
      <c r="A101" s="10" t="s">
        <v>330</v>
      </c>
      <c r="B101" s="10" t="s">
        <v>6</v>
      </c>
      <c r="C101" s="11" t="s">
        <v>635</v>
      </c>
      <c r="D101" s="12">
        <v>46268.875</v>
      </c>
      <c r="E101" s="12">
        <v>46269.25</v>
      </c>
      <c r="F101" s="11" t="s">
        <v>634</v>
      </c>
    </row>
    <row r="102" spans="1:6" ht="60">
      <c r="A102" s="10" t="s">
        <v>487</v>
      </c>
      <c r="B102" s="10" t="s">
        <v>23</v>
      </c>
      <c r="C102" s="11" t="s">
        <v>488</v>
      </c>
      <c r="D102" s="12">
        <v>46268.833333333299</v>
      </c>
      <c r="E102" s="12">
        <v>46269.25</v>
      </c>
      <c r="F102" s="11" t="s">
        <v>489</v>
      </c>
    </row>
    <row r="103" spans="1:6" ht="60">
      <c r="A103" s="10" t="s">
        <v>473</v>
      </c>
      <c r="B103" s="10" t="s">
        <v>23</v>
      </c>
      <c r="C103" s="11" t="s">
        <v>474</v>
      </c>
      <c r="D103" s="12">
        <v>46268.833333333299</v>
      </c>
      <c r="E103" s="12">
        <v>46269.25</v>
      </c>
      <c r="F103" s="11" t="s">
        <v>475</v>
      </c>
    </row>
    <row r="104" spans="1:6" ht="75">
      <c r="A104" s="10" t="s">
        <v>102</v>
      </c>
      <c r="B104" s="10" t="s">
        <v>4</v>
      </c>
      <c r="C104" s="11" t="s">
        <v>456</v>
      </c>
      <c r="D104" s="12">
        <v>46268.8125</v>
      </c>
      <c r="E104" s="12">
        <v>46269.25</v>
      </c>
      <c r="F104" s="11" t="s">
        <v>457</v>
      </c>
    </row>
    <row r="105" spans="1:6" ht="75">
      <c r="A105" s="10" t="s">
        <v>102</v>
      </c>
      <c r="B105" s="10" t="s">
        <v>5</v>
      </c>
      <c r="C105" s="11" t="s">
        <v>458</v>
      </c>
      <c r="D105" s="12">
        <v>46268.8125</v>
      </c>
      <c r="E105" s="12">
        <v>46269.25</v>
      </c>
      <c r="F105" s="11" t="s">
        <v>459</v>
      </c>
    </row>
    <row r="106" spans="1:6" ht="75">
      <c r="A106" s="10" t="s">
        <v>102</v>
      </c>
      <c r="B106" s="10" t="s">
        <v>5</v>
      </c>
      <c r="C106" s="11" t="s">
        <v>462</v>
      </c>
      <c r="D106" s="12">
        <v>46268.875</v>
      </c>
      <c r="E106" s="12">
        <v>46269.25</v>
      </c>
      <c r="F106" s="11" t="s">
        <v>463</v>
      </c>
    </row>
    <row r="107" spans="1:6" ht="60">
      <c r="A107" s="10" t="s">
        <v>102</v>
      </c>
      <c r="B107" s="10" t="s">
        <v>4</v>
      </c>
      <c r="C107" s="11" t="s">
        <v>464</v>
      </c>
      <c r="D107" s="12">
        <v>46268.833333333299</v>
      </c>
      <c r="E107" s="12">
        <v>46269.25</v>
      </c>
      <c r="F107" s="11" t="s">
        <v>465</v>
      </c>
    </row>
    <row r="108" spans="1:6" ht="60">
      <c r="A108" s="10" t="s">
        <v>102</v>
      </c>
      <c r="B108" s="10" t="s">
        <v>5</v>
      </c>
      <c r="C108" s="11" t="s">
        <v>652</v>
      </c>
      <c r="D108" s="12">
        <v>46268.833333333299</v>
      </c>
      <c r="E108" s="12">
        <v>46269.25</v>
      </c>
      <c r="F108" s="11" t="s">
        <v>653</v>
      </c>
    </row>
    <row r="109" spans="1:6" ht="60">
      <c r="A109" s="10" t="s">
        <v>102</v>
      </c>
      <c r="B109" s="10" t="s">
        <v>5</v>
      </c>
      <c r="C109" s="11" t="s">
        <v>466</v>
      </c>
      <c r="D109" s="12">
        <v>46268.875</v>
      </c>
      <c r="E109" s="12">
        <v>46269.25</v>
      </c>
      <c r="F109" s="11" t="s">
        <v>467</v>
      </c>
    </row>
    <row r="110" spans="1:6" ht="60">
      <c r="A110" s="10" t="s">
        <v>102</v>
      </c>
      <c r="B110" s="10" t="s">
        <v>6</v>
      </c>
      <c r="C110" s="11" t="s">
        <v>495</v>
      </c>
      <c r="D110" s="12">
        <v>46202.875</v>
      </c>
      <c r="E110" s="12">
        <v>46508.208333333299</v>
      </c>
      <c r="F110" s="11" t="s">
        <v>496</v>
      </c>
    </row>
    <row r="111" spans="1:6" ht="60">
      <c r="A111" s="10" t="s">
        <v>102</v>
      </c>
      <c r="B111" s="10" t="s">
        <v>2</v>
      </c>
      <c r="C111" s="11" t="s">
        <v>497</v>
      </c>
      <c r="D111" s="12">
        <v>46266.333333333299</v>
      </c>
      <c r="E111" s="12">
        <v>46477</v>
      </c>
      <c r="F111" s="11" t="s">
        <v>496</v>
      </c>
    </row>
    <row r="112" spans="1:6" ht="60">
      <c r="A112" s="10" t="s">
        <v>663</v>
      </c>
      <c r="B112" s="10" t="s">
        <v>5</v>
      </c>
      <c r="C112" s="11" t="s">
        <v>664</v>
      </c>
      <c r="D112" s="12">
        <v>46268.875</v>
      </c>
      <c r="E112" s="12">
        <v>46269.25</v>
      </c>
      <c r="F112" s="11" t="s">
        <v>665</v>
      </c>
    </row>
    <row r="113" spans="1:6" ht="60">
      <c r="A113" s="10" t="s">
        <v>649</v>
      </c>
      <c r="B113" s="10" t="s">
        <v>2</v>
      </c>
      <c r="C113" s="11" t="s">
        <v>650</v>
      </c>
      <c r="D113" s="12">
        <v>46268.916666666701</v>
      </c>
      <c r="E113" s="12">
        <v>46269.229166666701</v>
      </c>
      <c r="F113" s="11" t="s">
        <v>651</v>
      </c>
    </row>
    <row r="114" spans="1:6" ht="60">
      <c r="A114" s="10" t="s">
        <v>54</v>
      </c>
      <c r="B114" s="10" t="s">
        <v>4</v>
      </c>
      <c r="C114" s="11" t="s">
        <v>55</v>
      </c>
      <c r="D114" s="12">
        <v>46268.833333333299</v>
      </c>
      <c r="E114" s="12">
        <v>46269.25</v>
      </c>
      <c r="F114" s="11" t="s">
        <v>56</v>
      </c>
    </row>
    <row r="115" spans="1:6" ht="75">
      <c r="A115" s="10" t="s">
        <v>490</v>
      </c>
      <c r="B115" s="10" t="s">
        <v>2</v>
      </c>
      <c r="C115" s="11" t="s">
        <v>491</v>
      </c>
      <c r="D115" s="12">
        <v>46268.875</v>
      </c>
      <c r="E115" s="12">
        <v>46269.25</v>
      </c>
      <c r="F115" s="11" t="s">
        <v>492</v>
      </c>
    </row>
    <row r="116" spans="1:6" ht="75">
      <c r="A116" s="10" t="s">
        <v>490</v>
      </c>
      <c r="B116" s="10" t="s">
        <v>6</v>
      </c>
      <c r="C116" s="11" t="s">
        <v>493</v>
      </c>
      <c r="D116" s="12">
        <v>46268.875</v>
      </c>
      <c r="E116" s="12">
        <v>46269.25</v>
      </c>
      <c r="F116" s="11" t="s">
        <v>494</v>
      </c>
    </row>
    <row r="117" spans="1:6" ht="75">
      <c r="A117" s="10" t="s">
        <v>121</v>
      </c>
      <c r="B117" s="10" t="s">
        <v>2</v>
      </c>
      <c r="C117" s="11" t="s">
        <v>122</v>
      </c>
      <c r="D117" s="12">
        <v>46268.833333333299</v>
      </c>
      <c r="E117" s="12">
        <v>46269.25</v>
      </c>
      <c r="F117" s="11" t="s">
        <v>120</v>
      </c>
    </row>
    <row r="118" spans="1:6" ht="75">
      <c r="A118" s="10" t="s">
        <v>68</v>
      </c>
      <c r="B118" s="10" t="s">
        <v>4</v>
      </c>
      <c r="C118" s="11" t="s">
        <v>552</v>
      </c>
      <c r="D118" s="12">
        <v>46268.833333333299</v>
      </c>
      <c r="E118" s="12">
        <v>46269.25</v>
      </c>
      <c r="F118" s="11" t="s">
        <v>77</v>
      </c>
    </row>
    <row r="119" spans="1:6" ht="75">
      <c r="A119" s="10" t="s">
        <v>516</v>
      </c>
      <c r="B119" s="10" t="s">
        <v>2</v>
      </c>
      <c r="C119" s="11" t="s">
        <v>517</v>
      </c>
      <c r="D119" s="12">
        <v>46217.625</v>
      </c>
      <c r="E119" s="12">
        <v>46387.875</v>
      </c>
      <c r="F119" s="11" t="s">
        <v>518</v>
      </c>
    </row>
    <row r="120" spans="1:6" ht="45">
      <c r="A120" s="10" t="s">
        <v>519</v>
      </c>
      <c r="B120" s="10" t="s">
        <v>2</v>
      </c>
      <c r="C120" s="11" t="s">
        <v>520</v>
      </c>
      <c r="D120" s="12">
        <v>46268.875</v>
      </c>
      <c r="E120" s="12">
        <v>46269.25</v>
      </c>
      <c r="F120" s="11" t="s">
        <v>521</v>
      </c>
    </row>
    <row r="121" spans="1:6" ht="45">
      <c r="A121" s="10" t="s">
        <v>20</v>
      </c>
      <c r="B121" s="10" t="s">
        <v>4</v>
      </c>
      <c r="C121" s="11" t="s">
        <v>21</v>
      </c>
      <c r="D121" s="12">
        <v>46268.833333333299</v>
      </c>
      <c r="E121" s="12">
        <v>46269.25</v>
      </c>
      <c r="F121" s="11" t="s">
        <v>22</v>
      </c>
    </row>
    <row r="122" spans="1:6" ht="45">
      <c r="A122" s="10" t="s">
        <v>20</v>
      </c>
      <c r="B122" s="10" t="s">
        <v>23</v>
      </c>
      <c r="C122" s="11" t="s">
        <v>24</v>
      </c>
      <c r="D122" s="12">
        <v>46268.833333333299</v>
      </c>
      <c r="E122" s="12">
        <v>46269.25</v>
      </c>
      <c r="F122" s="11" t="s">
        <v>22</v>
      </c>
    </row>
    <row r="123" spans="1:6" ht="45">
      <c r="A123" s="10" t="s">
        <v>20</v>
      </c>
      <c r="B123" s="10" t="s">
        <v>4</v>
      </c>
      <c r="C123" s="11" t="s">
        <v>25</v>
      </c>
      <c r="D123" s="12">
        <v>46268.833333333299</v>
      </c>
      <c r="E123" s="12">
        <v>46269.25</v>
      </c>
      <c r="F123" s="11" t="s">
        <v>22</v>
      </c>
    </row>
    <row r="124" spans="1:6" ht="45">
      <c r="A124" s="10" t="s">
        <v>20</v>
      </c>
      <c r="B124" s="10" t="s">
        <v>23</v>
      </c>
      <c r="C124" s="11" t="s">
        <v>48</v>
      </c>
      <c r="D124" s="12">
        <v>46268.833333333299</v>
      </c>
      <c r="E124" s="12">
        <v>46269.25</v>
      </c>
      <c r="F124" s="11" t="s">
        <v>49</v>
      </c>
    </row>
    <row r="125" spans="1:6" ht="45">
      <c r="A125" s="10" t="s">
        <v>71</v>
      </c>
      <c r="B125" s="10" t="s">
        <v>6</v>
      </c>
      <c r="C125" s="11" t="s">
        <v>549</v>
      </c>
      <c r="D125" s="12">
        <v>46268.833333333299</v>
      </c>
      <c r="E125" s="12">
        <v>46269.25</v>
      </c>
      <c r="F125" s="11" t="s">
        <v>73</v>
      </c>
    </row>
    <row r="126" spans="1:6" ht="45">
      <c r="A126" s="10" t="s">
        <v>71</v>
      </c>
      <c r="B126" s="10" t="s">
        <v>23</v>
      </c>
      <c r="C126" s="11" t="s">
        <v>557</v>
      </c>
      <c r="D126" s="12">
        <v>46268.833333333299</v>
      </c>
      <c r="E126" s="12">
        <v>46269.25</v>
      </c>
      <c r="F126" s="11" t="s">
        <v>558</v>
      </c>
    </row>
    <row r="127" spans="1:6" ht="45">
      <c r="A127" s="10" t="s">
        <v>533</v>
      </c>
      <c r="B127" s="10" t="s">
        <v>5</v>
      </c>
      <c r="C127" s="11" t="s">
        <v>661</v>
      </c>
      <c r="D127" s="12">
        <v>46268.875</v>
      </c>
      <c r="E127" s="12">
        <v>46269.25</v>
      </c>
      <c r="F127" s="11" t="s">
        <v>662</v>
      </c>
    </row>
    <row r="128" spans="1:6" ht="45">
      <c r="A128" s="10" t="s">
        <v>533</v>
      </c>
      <c r="B128" s="10" t="s">
        <v>4</v>
      </c>
      <c r="C128" s="11" t="s">
        <v>534</v>
      </c>
      <c r="D128" s="12">
        <v>46268.833333333299</v>
      </c>
      <c r="E128" s="12">
        <v>46269.208333333299</v>
      </c>
      <c r="F128" s="11" t="s">
        <v>535</v>
      </c>
    </row>
    <row r="129" spans="1:6" ht="45">
      <c r="A129" s="10" t="s">
        <v>533</v>
      </c>
      <c r="B129" s="10" t="s">
        <v>4</v>
      </c>
      <c r="C129" s="11" t="s">
        <v>536</v>
      </c>
      <c r="D129" s="12">
        <v>46268.833333333299</v>
      </c>
      <c r="E129" s="12">
        <v>46269.208333333299</v>
      </c>
      <c r="F129" s="11" t="s">
        <v>535</v>
      </c>
    </row>
    <row r="130" spans="1:6" ht="45">
      <c r="A130" s="10" t="s">
        <v>509</v>
      </c>
      <c r="B130" s="10" t="s">
        <v>23</v>
      </c>
      <c r="C130" s="11" t="s">
        <v>510</v>
      </c>
      <c r="D130" s="12">
        <v>46230.833333333299</v>
      </c>
      <c r="E130" s="12">
        <v>46403.25</v>
      </c>
      <c r="F130" s="11" t="s">
        <v>511</v>
      </c>
    </row>
    <row r="131" spans="1:6" ht="45">
      <c r="A131" s="10" t="s">
        <v>509</v>
      </c>
      <c r="B131" s="10" t="s">
        <v>2</v>
      </c>
      <c r="C131" s="11" t="s">
        <v>514</v>
      </c>
      <c r="D131" s="12">
        <v>46268.875</v>
      </c>
      <c r="E131" s="12">
        <v>46269.25</v>
      </c>
      <c r="F131" s="11" t="s">
        <v>515</v>
      </c>
    </row>
    <row r="132" spans="1:6" ht="45">
      <c r="A132" s="10" t="s">
        <v>561</v>
      </c>
      <c r="B132" s="10" t="s">
        <v>4</v>
      </c>
      <c r="C132" s="11" t="s">
        <v>562</v>
      </c>
      <c r="D132" s="12">
        <v>46268.875</v>
      </c>
      <c r="E132" s="12">
        <v>46269.208333333299</v>
      </c>
      <c r="F132" s="11" t="s">
        <v>563</v>
      </c>
    </row>
    <row r="133" spans="1:6" ht="45">
      <c r="A133" s="10" t="s">
        <v>284</v>
      </c>
      <c r="B133" s="10" t="s">
        <v>6</v>
      </c>
      <c r="C133" s="11" t="s">
        <v>606</v>
      </c>
      <c r="D133" s="12">
        <v>46268.875</v>
      </c>
      <c r="E133" s="12">
        <v>46269.208333333299</v>
      </c>
      <c r="F133" s="11" t="s">
        <v>607</v>
      </c>
    </row>
    <row r="134" spans="1:6" ht="60">
      <c r="A134" s="10" t="s">
        <v>284</v>
      </c>
      <c r="B134" s="10" t="s">
        <v>6</v>
      </c>
      <c r="C134" s="11" t="s">
        <v>608</v>
      </c>
      <c r="D134" s="12">
        <v>46268.875</v>
      </c>
      <c r="E134" s="12">
        <v>46269.208333333299</v>
      </c>
      <c r="F134" s="11" t="s">
        <v>607</v>
      </c>
    </row>
    <row r="135" spans="1:6" ht="45">
      <c r="A135" s="10" t="s">
        <v>284</v>
      </c>
      <c r="B135" s="10" t="s">
        <v>6</v>
      </c>
      <c r="C135" s="11" t="s">
        <v>609</v>
      </c>
      <c r="D135" s="12">
        <v>46268.875</v>
      </c>
      <c r="E135" s="12">
        <v>46269.208333333299</v>
      </c>
      <c r="F135" s="11" t="s">
        <v>607</v>
      </c>
    </row>
    <row r="136" spans="1:6" ht="45">
      <c r="A136" s="10" t="s">
        <v>148</v>
      </c>
      <c r="B136" s="10" t="s">
        <v>4</v>
      </c>
      <c r="C136" s="11" t="s">
        <v>149</v>
      </c>
      <c r="D136" s="12">
        <v>46268.833333333299</v>
      </c>
      <c r="E136" s="12">
        <v>46269.25</v>
      </c>
      <c r="F136" s="11" t="s">
        <v>150</v>
      </c>
    </row>
    <row r="137" spans="1:6" ht="45">
      <c r="A137" s="10" t="s">
        <v>177</v>
      </c>
      <c r="B137" s="10" t="s">
        <v>6</v>
      </c>
      <c r="C137" s="11" t="s">
        <v>178</v>
      </c>
      <c r="D137" s="12">
        <v>46237.833333333299</v>
      </c>
      <c r="E137" s="12">
        <v>46326.25</v>
      </c>
      <c r="F137" s="11" t="s">
        <v>179</v>
      </c>
    </row>
    <row r="138" spans="1:6" ht="45">
      <c r="A138" s="10" t="s">
        <v>177</v>
      </c>
      <c r="B138" s="10" t="s">
        <v>2</v>
      </c>
      <c r="C138" s="11" t="s">
        <v>180</v>
      </c>
      <c r="D138" s="12">
        <v>46237.833333333299</v>
      </c>
      <c r="E138" s="12">
        <v>46326.25</v>
      </c>
      <c r="F138" s="11" t="s">
        <v>179</v>
      </c>
    </row>
    <row r="139" spans="1:6" ht="45">
      <c r="A139" s="10" t="s">
        <v>170</v>
      </c>
      <c r="B139" s="10" t="s">
        <v>5</v>
      </c>
      <c r="C139" s="11" t="s">
        <v>171</v>
      </c>
      <c r="D139" s="12">
        <v>46268.833333333299</v>
      </c>
      <c r="E139" s="12">
        <v>46269.25</v>
      </c>
      <c r="F139" s="11" t="s">
        <v>172</v>
      </c>
    </row>
    <row r="140" spans="1:6" ht="45">
      <c r="A140" s="10" t="s">
        <v>170</v>
      </c>
      <c r="B140" s="10" t="s">
        <v>5</v>
      </c>
      <c r="C140" s="11" t="s">
        <v>580</v>
      </c>
      <c r="D140" s="12">
        <v>46268.833333333299</v>
      </c>
      <c r="E140" s="12">
        <v>46269.208333333299</v>
      </c>
      <c r="F140" s="11" t="s">
        <v>581</v>
      </c>
    </row>
    <row r="141" spans="1:6" ht="45">
      <c r="A141" s="10" t="s">
        <v>170</v>
      </c>
      <c r="B141" s="10" t="s">
        <v>5</v>
      </c>
      <c r="C141" s="11" t="s">
        <v>582</v>
      </c>
      <c r="D141" s="12">
        <v>46268.833333333299</v>
      </c>
      <c r="E141" s="12">
        <v>46269.208333333299</v>
      </c>
      <c r="F141" s="11" t="s">
        <v>581</v>
      </c>
    </row>
    <row r="142" spans="1:6" ht="45">
      <c r="A142" s="10" t="s">
        <v>202</v>
      </c>
      <c r="B142" s="10" t="s">
        <v>5</v>
      </c>
      <c r="C142" s="11" t="s">
        <v>203</v>
      </c>
      <c r="D142" s="12">
        <v>46268.833333333299</v>
      </c>
      <c r="E142" s="12">
        <v>46269.25</v>
      </c>
      <c r="F142" s="11" t="s">
        <v>204</v>
      </c>
    </row>
    <row r="143" spans="1:6" ht="45">
      <c r="A143" s="10" t="s">
        <v>202</v>
      </c>
      <c r="B143" s="10" t="s">
        <v>5</v>
      </c>
      <c r="C143" s="11" t="s">
        <v>205</v>
      </c>
      <c r="D143" s="12">
        <v>46268.833333333299</v>
      </c>
      <c r="E143" s="12">
        <v>46269.25</v>
      </c>
      <c r="F143" s="11" t="s">
        <v>204</v>
      </c>
    </row>
    <row r="144" spans="1:6" ht="45">
      <c r="A144" s="10" t="s">
        <v>202</v>
      </c>
      <c r="B144" s="10" t="s">
        <v>5</v>
      </c>
      <c r="C144" s="11" t="s">
        <v>206</v>
      </c>
      <c r="D144" s="12">
        <v>46268.833333333299</v>
      </c>
      <c r="E144" s="12">
        <v>46269.25</v>
      </c>
      <c r="F144" s="11" t="s">
        <v>204</v>
      </c>
    </row>
    <row r="145" spans="1:6" ht="45">
      <c r="A145" s="10" t="s">
        <v>202</v>
      </c>
      <c r="B145" s="10" t="s">
        <v>5</v>
      </c>
      <c r="C145" s="11" t="s">
        <v>207</v>
      </c>
      <c r="D145" s="12">
        <v>46268.833333333299</v>
      </c>
      <c r="E145" s="12">
        <v>46269.25</v>
      </c>
      <c r="F145" s="11" t="s">
        <v>204</v>
      </c>
    </row>
    <row r="146" spans="1:6" ht="45">
      <c r="A146" s="10" t="s">
        <v>202</v>
      </c>
      <c r="B146" s="10" t="s">
        <v>5</v>
      </c>
      <c r="C146" s="11" t="s">
        <v>208</v>
      </c>
      <c r="D146" s="12">
        <v>46268.833333333299</v>
      </c>
      <c r="E146" s="12">
        <v>46269.25</v>
      </c>
      <c r="F146" s="11" t="s">
        <v>204</v>
      </c>
    </row>
    <row r="147" spans="1:6" ht="45">
      <c r="A147" s="10" t="s">
        <v>610</v>
      </c>
      <c r="B147" s="10" t="s">
        <v>4</v>
      </c>
      <c r="C147" s="11" t="s">
        <v>611</v>
      </c>
      <c r="D147" s="12">
        <v>46268.833333333299</v>
      </c>
      <c r="E147" s="12">
        <v>46269.25</v>
      </c>
      <c r="F147" s="11" t="s">
        <v>312</v>
      </c>
    </row>
    <row r="148" spans="1:6" ht="45">
      <c r="A148" s="10" t="s">
        <v>218</v>
      </c>
      <c r="B148" s="10" t="s">
        <v>5</v>
      </c>
      <c r="C148" s="11" t="s">
        <v>219</v>
      </c>
      <c r="D148" s="12">
        <v>46268.833333333299</v>
      </c>
      <c r="E148" s="12">
        <v>46269.25</v>
      </c>
      <c r="F148" s="11" t="s">
        <v>220</v>
      </c>
    </row>
    <row r="149" spans="1:6" ht="45">
      <c r="A149" s="10" t="s">
        <v>57</v>
      </c>
      <c r="B149" s="10" t="s">
        <v>2</v>
      </c>
      <c r="C149" s="11" t="s">
        <v>58</v>
      </c>
      <c r="D149" s="12">
        <v>46268.916666666701</v>
      </c>
      <c r="E149" s="12">
        <v>46269.208333333299</v>
      </c>
      <c r="F149" s="11" t="s">
        <v>59</v>
      </c>
    </row>
    <row r="150" spans="1:6" ht="45">
      <c r="A150" s="10" t="s">
        <v>57</v>
      </c>
      <c r="B150" s="10" t="s">
        <v>2</v>
      </c>
      <c r="C150" s="11" t="s">
        <v>63</v>
      </c>
      <c r="D150" s="12">
        <v>46268.875</v>
      </c>
      <c r="E150" s="12">
        <v>46269.208333333299</v>
      </c>
      <c r="F150" s="11" t="s">
        <v>64</v>
      </c>
    </row>
    <row r="151" spans="1:6" ht="45">
      <c r="A151" s="10" t="s">
        <v>57</v>
      </c>
      <c r="B151" s="10" t="s">
        <v>6</v>
      </c>
      <c r="C151" s="11" t="s">
        <v>553</v>
      </c>
      <c r="D151" s="12">
        <v>46268.833333333299</v>
      </c>
      <c r="E151" s="12">
        <v>46269.25</v>
      </c>
      <c r="F151" s="11" t="s">
        <v>554</v>
      </c>
    </row>
    <row r="152" spans="1:6" ht="45">
      <c r="A152" s="10" t="s">
        <v>57</v>
      </c>
      <c r="B152" s="10" t="s">
        <v>6</v>
      </c>
      <c r="C152" s="11" t="s">
        <v>555</v>
      </c>
      <c r="D152" s="12">
        <v>46268.833333333299</v>
      </c>
      <c r="E152" s="12">
        <v>46269.25</v>
      </c>
      <c r="F152" s="11" t="s">
        <v>554</v>
      </c>
    </row>
    <row r="153" spans="1:6" ht="45">
      <c r="A153" s="10" t="s">
        <v>57</v>
      </c>
      <c r="B153" s="10" t="s">
        <v>6</v>
      </c>
      <c r="C153" s="11" t="s">
        <v>556</v>
      </c>
      <c r="D153" s="12">
        <v>46268.833333333299</v>
      </c>
      <c r="E153" s="12">
        <v>46269.25</v>
      </c>
      <c r="F153" s="11" t="s">
        <v>554</v>
      </c>
    </row>
    <row r="154" spans="1:6" ht="45">
      <c r="A154" s="10" t="s">
        <v>57</v>
      </c>
      <c r="B154" s="10" t="s">
        <v>2</v>
      </c>
      <c r="C154" s="11" t="s">
        <v>559</v>
      </c>
      <c r="D154" s="12">
        <v>46268.833333333299</v>
      </c>
      <c r="E154" s="12">
        <v>46269.25</v>
      </c>
      <c r="F154" s="11" t="s">
        <v>560</v>
      </c>
    </row>
    <row r="155" spans="1:6" ht="45">
      <c r="A155" s="10" t="s">
        <v>57</v>
      </c>
      <c r="B155" s="10" t="s">
        <v>2</v>
      </c>
      <c r="C155" s="11" t="s">
        <v>119</v>
      </c>
      <c r="D155" s="12">
        <v>46268.833333333299</v>
      </c>
      <c r="E155" s="12">
        <v>46269.25</v>
      </c>
      <c r="F155" s="11" t="s">
        <v>120</v>
      </c>
    </row>
    <row r="156" spans="1:6" ht="45">
      <c r="A156" s="10" t="s">
        <v>57</v>
      </c>
      <c r="B156" s="10" t="s">
        <v>2</v>
      </c>
      <c r="C156" s="11" t="s">
        <v>569</v>
      </c>
      <c r="D156" s="12">
        <v>46268.833333333299</v>
      </c>
      <c r="E156" s="12">
        <v>46269.25</v>
      </c>
      <c r="F156" s="11" t="s">
        <v>570</v>
      </c>
    </row>
    <row r="157" spans="1:6" ht="45">
      <c r="A157" s="10" t="s">
        <v>57</v>
      </c>
      <c r="B157" s="10" t="s">
        <v>2</v>
      </c>
      <c r="C157" s="11" t="s">
        <v>571</v>
      </c>
      <c r="D157" s="12">
        <v>46268.833333333299</v>
      </c>
      <c r="E157" s="12">
        <v>46269.25</v>
      </c>
      <c r="F157" s="11" t="s">
        <v>570</v>
      </c>
    </row>
    <row r="158" spans="1:6" ht="45">
      <c r="A158" s="10" t="s">
        <v>57</v>
      </c>
      <c r="B158" s="10" t="s">
        <v>2</v>
      </c>
      <c r="C158" s="11" t="s">
        <v>572</v>
      </c>
      <c r="D158" s="12">
        <v>46268.833333333299</v>
      </c>
      <c r="E158" s="12">
        <v>46269.25</v>
      </c>
      <c r="F158" s="11" t="s">
        <v>570</v>
      </c>
    </row>
    <row r="159" spans="1:6" ht="45">
      <c r="A159" s="10" t="s">
        <v>57</v>
      </c>
      <c r="B159" s="10" t="s">
        <v>2</v>
      </c>
      <c r="C159" s="11" t="s">
        <v>573</v>
      </c>
      <c r="D159" s="12">
        <v>46268.833333333299</v>
      </c>
      <c r="E159" s="12">
        <v>46269.25</v>
      </c>
      <c r="F159" s="11" t="s">
        <v>570</v>
      </c>
    </row>
    <row r="160" spans="1:6" ht="45">
      <c r="A160" s="10" t="s">
        <v>26</v>
      </c>
      <c r="B160" s="10" t="s">
        <v>2</v>
      </c>
      <c r="C160" s="11" t="s">
        <v>538</v>
      </c>
      <c r="D160" s="12">
        <v>46268.833333333299</v>
      </c>
      <c r="E160" s="12">
        <v>46269.25</v>
      </c>
      <c r="F160" s="11" t="s">
        <v>36</v>
      </c>
    </row>
    <row r="161" spans="1:6" ht="45">
      <c r="A161" s="10" t="s">
        <v>26</v>
      </c>
      <c r="B161" s="10" t="s">
        <v>6</v>
      </c>
      <c r="C161" s="11" t="s">
        <v>50</v>
      </c>
      <c r="D161" s="12">
        <v>46268.875</v>
      </c>
      <c r="E161" s="12">
        <v>46269.208333333299</v>
      </c>
      <c r="F161" s="11" t="s">
        <v>51</v>
      </c>
    </row>
    <row r="162" spans="1:6" ht="45">
      <c r="A162" s="10" t="s">
        <v>26</v>
      </c>
      <c r="B162" s="10" t="s">
        <v>2</v>
      </c>
      <c r="C162" s="11" t="s">
        <v>545</v>
      </c>
      <c r="D162" s="12">
        <v>46268.875</v>
      </c>
      <c r="E162" s="12">
        <v>46269.208333333299</v>
      </c>
      <c r="F162" s="11" t="s">
        <v>546</v>
      </c>
    </row>
    <row r="163" spans="1:6" ht="45">
      <c r="A163" s="10" t="s">
        <v>26</v>
      </c>
      <c r="B163" s="10" t="s">
        <v>6</v>
      </c>
      <c r="C163" s="11" t="s">
        <v>547</v>
      </c>
      <c r="D163" s="12">
        <v>46268.875</v>
      </c>
      <c r="E163" s="12">
        <v>46269.208333333299</v>
      </c>
      <c r="F163" s="11" t="s">
        <v>546</v>
      </c>
    </row>
    <row r="164" spans="1:6" ht="45">
      <c r="A164" s="10" t="s">
        <v>26</v>
      </c>
      <c r="B164" s="10" t="s">
        <v>6</v>
      </c>
      <c r="C164" s="11" t="s">
        <v>548</v>
      </c>
      <c r="D164" s="12">
        <v>46268.875</v>
      </c>
      <c r="E164" s="12">
        <v>46269.208333333299</v>
      </c>
      <c r="F164" s="11" t="s">
        <v>546</v>
      </c>
    </row>
    <row r="165" spans="1:6" ht="30">
      <c r="A165" s="10" t="s">
        <v>145</v>
      </c>
      <c r="B165" s="10" t="s">
        <v>6</v>
      </c>
      <c r="C165" s="11" t="s">
        <v>157</v>
      </c>
      <c r="D165" s="12">
        <v>46268.833333333299</v>
      </c>
      <c r="E165" s="12">
        <v>46269.25</v>
      </c>
      <c r="F165" s="11" t="s">
        <v>155</v>
      </c>
    </row>
    <row r="166" spans="1:6" ht="45">
      <c r="A166" s="10" t="s">
        <v>145</v>
      </c>
      <c r="B166" s="10" t="s">
        <v>6</v>
      </c>
      <c r="C166" s="11" t="s">
        <v>158</v>
      </c>
      <c r="D166" s="12">
        <v>46268.833333333299</v>
      </c>
      <c r="E166" s="12">
        <v>46269.25</v>
      </c>
      <c r="F166" s="11" t="s">
        <v>155</v>
      </c>
    </row>
    <row r="167" spans="1:6" ht="30">
      <c r="A167" s="10" t="s">
        <v>137</v>
      </c>
      <c r="B167" s="10" t="s">
        <v>4</v>
      </c>
      <c r="C167" s="11" t="s">
        <v>138</v>
      </c>
      <c r="D167" s="12">
        <v>46268.833333333299</v>
      </c>
      <c r="E167" s="12">
        <v>46269.25</v>
      </c>
      <c r="F167" s="11" t="s">
        <v>139</v>
      </c>
    </row>
    <row r="168" spans="1:6" ht="30">
      <c r="A168" s="10" t="s">
        <v>137</v>
      </c>
      <c r="B168" s="10" t="s">
        <v>4</v>
      </c>
      <c r="C168" s="11" t="s">
        <v>140</v>
      </c>
      <c r="D168" s="12">
        <v>46268.833333333299</v>
      </c>
      <c r="E168" s="12">
        <v>46269.25</v>
      </c>
      <c r="F168" s="11" t="s">
        <v>139</v>
      </c>
    </row>
    <row r="169" spans="1:6" ht="30">
      <c r="A169" s="10" t="s">
        <v>137</v>
      </c>
      <c r="B169" s="10" t="s">
        <v>4</v>
      </c>
      <c r="C169" s="11" t="s">
        <v>141</v>
      </c>
      <c r="D169" s="12">
        <v>46268.833333333299</v>
      </c>
      <c r="E169" s="12">
        <v>46269.25</v>
      </c>
      <c r="F169" s="11" t="s">
        <v>139</v>
      </c>
    </row>
    <row r="170" spans="1:6" ht="30">
      <c r="A170" s="10" t="s">
        <v>389</v>
      </c>
      <c r="B170" s="10" t="s">
        <v>4</v>
      </c>
      <c r="C170" s="11" t="s">
        <v>390</v>
      </c>
      <c r="D170" s="12">
        <v>46268.833333333299</v>
      </c>
      <c r="E170" s="12">
        <v>46269.25</v>
      </c>
      <c r="F170" s="11" t="s">
        <v>391</v>
      </c>
    </row>
    <row r="171" spans="1:6" ht="30">
      <c r="A171" s="10" t="s">
        <v>415</v>
      </c>
      <c r="B171" s="10" t="s">
        <v>7</v>
      </c>
      <c r="C171" s="11" t="s">
        <v>427</v>
      </c>
      <c r="D171" s="12">
        <v>46268.916666666701</v>
      </c>
      <c r="E171" s="12">
        <v>46269.229166666701</v>
      </c>
      <c r="F171" s="11" t="s">
        <v>428</v>
      </c>
    </row>
    <row r="172" spans="1:6" ht="30">
      <c r="A172" s="10" t="s">
        <v>415</v>
      </c>
      <c r="B172" s="10" t="s">
        <v>8</v>
      </c>
      <c r="C172" s="11" t="s">
        <v>429</v>
      </c>
      <c r="D172" s="12">
        <v>46268.916666666701</v>
      </c>
      <c r="E172" s="12">
        <v>46269.229166666701</v>
      </c>
      <c r="F172" s="11" t="s">
        <v>430</v>
      </c>
    </row>
    <row r="173" spans="1:6" ht="30">
      <c r="A173" s="10" t="s">
        <v>415</v>
      </c>
      <c r="B173" s="10" t="s">
        <v>4</v>
      </c>
      <c r="C173" s="11" t="s">
        <v>440</v>
      </c>
      <c r="D173" s="12">
        <v>46268.916666666701</v>
      </c>
      <c r="E173" s="12">
        <v>46269.229166666701</v>
      </c>
      <c r="F173" s="11" t="s">
        <v>441</v>
      </c>
    </row>
    <row r="174" spans="1:6" ht="30">
      <c r="A174" s="10" t="s">
        <v>415</v>
      </c>
      <c r="B174" s="10" t="s">
        <v>2</v>
      </c>
      <c r="C174" s="11" t="s">
        <v>448</v>
      </c>
      <c r="D174" s="12">
        <v>46268.916666666701</v>
      </c>
      <c r="E174" s="12">
        <v>46269.229166666701</v>
      </c>
      <c r="F174" s="11" t="s">
        <v>449</v>
      </c>
    </row>
    <row r="175" spans="1:6" ht="45">
      <c r="A175" s="10" t="s">
        <v>433</v>
      </c>
      <c r="B175" s="10" t="s">
        <v>4</v>
      </c>
      <c r="C175" s="11" t="s">
        <v>434</v>
      </c>
      <c r="D175" s="12">
        <v>46268.916666666701</v>
      </c>
      <c r="E175" s="12">
        <v>46269.229166666701</v>
      </c>
      <c r="F175" s="11" t="s">
        <v>435</v>
      </c>
    </row>
    <row r="176" spans="1:6" ht="45">
      <c r="A176" s="10" t="s">
        <v>333</v>
      </c>
      <c r="B176" s="10" t="s">
        <v>5</v>
      </c>
      <c r="C176" s="11" t="s">
        <v>625</v>
      </c>
      <c r="D176" s="12">
        <v>46268.875</v>
      </c>
      <c r="E176" s="12">
        <v>46269.25</v>
      </c>
      <c r="F176" s="11" t="s">
        <v>335</v>
      </c>
    </row>
    <row r="177" spans="1:6" ht="45">
      <c r="A177" s="10" t="s">
        <v>333</v>
      </c>
      <c r="B177" s="10" t="s">
        <v>4</v>
      </c>
      <c r="C177" s="11" t="s">
        <v>363</v>
      </c>
      <c r="D177" s="12">
        <v>46268.833333333299</v>
      </c>
      <c r="E177" s="12">
        <v>46269.25</v>
      </c>
      <c r="F177" s="11" t="s">
        <v>364</v>
      </c>
    </row>
    <row r="178" spans="1:6" ht="45">
      <c r="A178" s="10" t="s">
        <v>333</v>
      </c>
      <c r="B178" s="10" t="s">
        <v>5</v>
      </c>
      <c r="C178" s="11" t="s">
        <v>375</v>
      </c>
      <c r="D178" s="12">
        <v>46268.875</v>
      </c>
      <c r="E178" s="12">
        <v>46269.25</v>
      </c>
      <c r="F178" s="11" t="s">
        <v>373</v>
      </c>
    </row>
    <row r="179" spans="1:6" ht="45">
      <c r="A179" s="10" t="s">
        <v>365</v>
      </c>
      <c r="B179" s="10" t="s">
        <v>6</v>
      </c>
      <c r="C179" s="11" t="s">
        <v>366</v>
      </c>
      <c r="D179" s="12">
        <v>46268.833333333299</v>
      </c>
      <c r="E179" s="12">
        <v>46269.25</v>
      </c>
      <c r="F179" s="11" t="s">
        <v>364</v>
      </c>
    </row>
    <row r="180" spans="1:6" ht="45">
      <c r="A180" s="10" t="s">
        <v>327</v>
      </c>
      <c r="B180" s="10" t="s">
        <v>2</v>
      </c>
      <c r="C180" s="11" t="s">
        <v>328</v>
      </c>
      <c r="D180" s="12">
        <v>46237.25</v>
      </c>
      <c r="E180" s="12">
        <v>46692.25</v>
      </c>
      <c r="F180" s="11" t="s">
        <v>329</v>
      </c>
    </row>
    <row r="181" spans="1:6" ht="45">
      <c r="A181" s="10" t="s">
        <v>327</v>
      </c>
      <c r="B181" s="10" t="s">
        <v>2</v>
      </c>
      <c r="C181" s="11" t="s">
        <v>362</v>
      </c>
      <c r="D181" s="12">
        <v>46268.875</v>
      </c>
      <c r="E181" s="12">
        <v>46269.25</v>
      </c>
      <c r="F181" s="11" t="s">
        <v>361</v>
      </c>
    </row>
    <row r="182" spans="1:6" ht="45">
      <c r="A182" s="10" t="s">
        <v>327</v>
      </c>
      <c r="B182" s="10" t="s">
        <v>6</v>
      </c>
      <c r="C182" s="11" t="s">
        <v>636</v>
      </c>
      <c r="D182" s="12">
        <v>46268.875</v>
      </c>
      <c r="E182" s="12">
        <v>46269.25</v>
      </c>
      <c r="F182" s="11" t="s">
        <v>637</v>
      </c>
    </row>
    <row r="183" spans="1:6" ht="45">
      <c r="A183" s="10" t="s">
        <v>354</v>
      </c>
      <c r="B183" s="10" t="s">
        <v>4</v>
      </c>
      <c r="C183" s="11" t="s">
        <v>438</v>
      </c>
      <c r="D183" s="12">
        <v>46268.916666666701</v>
      </c>
      <c r="E183" s="12">
        <v>46269.229166666701</v>
      </c>
      <c r="F183" s="11" t="s">
        <v>439</v>
      </c>
    </row>
    <row r="184" spans="1:6" ht="60">
      <c r="A184" s="10" t="s">
        <v>354</v>
      </c>
      <c r="B184" s="10" t="s">
        <v>6</v>
      </c>
      <c r="C184" s="11" t="s">
        <v>655</v>
      </c>
      <c r="D184" s="12">
        <v>46268.9375</v>
      </c>
      <c r="E184" s="12">
        <v>46269.25</v>
      </c>
      <c r="F184" s="11" t="s">
        <v>654</v>
      </c>
    </row>
    <row r="185" spans="1:6" ht="60">
      <c r="A185" s="10" t="s">
        <v>354</v>
      </c>
      <c r="B185" s="10" t="s">
        <v>6</v>
      </c>
      <c r="C185" s="11" t="s">
        <v>656</v>
      </c>
      <c r="D185" s="12">
        <v>46268.9375</v>
      </c>
      <c r="E185" s="12">
        <v>46269.25</v>
      </c>
      <c r="F185" s="11" t="s">
        <v>654</v>
      </c>
    </row>
    <row r="186" spans="1:6" ht="60">
      <c r="A186" s="10" t="s">
        <v>78</v>
      </c>
      <c r="B186" s="10" t="s">
        <v>2</v>
      </c>
      <c r="C186" s="11" t="s">
        <v>79</v>
      </c>
      <c r="D186" s="12">
        <v>46268.927083333299</v>
      </c>
      <c r="E186" s="12">
        <v>46269.25</v>
      </c>
      <c r="F186" s="11" t="s">
        <v>80</v>
      </c>
    </row>
    <row r="187" spans="1:6" ht="45">
      <c r="A187" s="10" t="s">
        <v>78</v>
      </c>
      <c r="B187" s="10" t="s">
        <v>2</v>
      </c>
      <c r="C187" s="11" t="s">
        <v>81</v>
      </c>
      <c r="D187" s="12">
        <v>46268.927083333299</v>
      </c>
      <c r="E187" s="12">
        <v>46269.25</v>
      </c>
      <c r="F187" s="11" t="s">
        <v>80</v>
      </c>
    </row>
    <row r="188" spans="1:6" ht="45">
      <c r="A188" s="10" t="s">
        <v>78</v>
      </c>
      <c r="B188" s="10" t="s">
        <v>2</v>
      </c>
      <c r="C188" s="11" t="s">
        <v>82</v>
      </c>
      <c r="D188" s="12">
        <v>46268.927083333299</v>
      </c>
      <c r="E188" s="12">
        <v>46269.25</v>
      </c>
      <c r="F188" s="11" t="s">
        <v>80</v>
      </c>
    </row>
    <row r="189" spans="1:6" ht="45">
      <c r="A189" s="10" t="s">
        <v>78</v>
      </c>
      <c r="B189" s="10" t="s">
        <v>6</v>
      </c>
      <c r="C189" s="11" t="s">
        <v>83</v>
      </c>
      <c r="D189" s="12">
        <v>46268.927083333299</v>
      </c>
      <c r="E189" s="12">
        <v>46269.25</v>
      </c>
      <c r="F189" s="11" t="s">
        <v>84</v>
      </c>
    </row>
    <row r="190" spans="1:6" ht="45">
      <c r="A190" s="10" t="s">
        <v>78</v>
      </c>
      <c r="B190" s="10" t="s">
        <v>6</v>
      </c>
      <c r="C190" s="11" t="s">
        <v>85</v>
      </c>
      <c r="D190" s="12">
        <v>46268.927083333299</v>
      </c>
      <c r="E190" s="12">
        <v>46269.25</v>
      </c>
      <c r="F190" s="11" t="s">
        <v>84</v>
      </c>
    </row>
    <row r="191" spans="1:6" ht="45">
      <c r="A191" s="10" t="s">
        <v>78</v>
      </c>
      <c r="B191" s="10" t="s">
        <v>2</v>
      </c>
      <c r="C191" s="11" t="s">
        <v>88</v>
      </c>
      <c r="D191" s="12">
        <v>46268.927083333299</v>
      </c>
      <c r="E191" s="12">
        <v>46269.25</v>
      </c>
      <c r="F191" s="11" t="s">
        <v>89</v>
      </c>
    </row>
    <row r="192" spans="1:6" ht="45">
      <c r="A192" s="10" t="s">
        <v>503</v>
      </c>
      <c r="B192" s="10" t="s">
        <v>2</v>
      </c>
      <c r="C192" s="11" t="s">
        <v>504</v>
      </c>
      <c r="D192" s="12">
        <v>46268.875</v>
      </c>
      <c r="E192" s="12">
        <v>46269.25</v>
      </c>
      <c r="F192" s="11" t="s">
        <v>502</v>
      </c>
    </row>
    <row r="193" spans="1:6" ht="45">
      <c r="A193" s="10" t="s">
        <v>503</v>
      </c>
      <c r="B193" s="10" t="s">
        <v>2</v>
      </c>
      <c r="C193" s="11" t="s">
        <v>659</v>
      </c>
      <c r="D193" s="12">
        <v>46268.875</v>
      </c>
      <c r="E193" s="12">
        <v>46269.25</v>
      </c>
      <c r="F193" s="11" t="s">
        <v>660</v>
      </c>
    </row>
    <row r="194" spans="1:6" ht="45">
      <c r="A194" s="10" t="s">
        <v>90</v>
      </c>
      <c r="B194" s="10" t="s">
        <v>5</v>
      </c>
      <c r="C194" s="11" t="s">
        <v>91</v>
      </c>
      <c r="D194" s="12">
        <v>46268.833333333299</v>
      </c>
      <c r="E194" s="12">
        <v>46269.25</v>
      </c>
      <c r="F194" s="11" t="s">
        <v>92</v>
      </c>
    </row>
    <row r="195" spans="1:6" ht="45">
      <c r="A195" s="10" t="s">
        <v>470</v>
      </c>
      <c r="B195" s="10" t="s">
        <v>6</v>
      </c>
      <c r="C195" s="11" t="s">
        <v>471</v>
      </c>
      <c r="D195" s="12">
        <v>46268.9375</v>
      </c>
      <c r="E195" s="12">
        <v>46269.25</v>
      </c>
      <c r="F195" s="11" t="s">
        <v>654</v>
      </c>
    </row>
    <row r="196" spans="1:6" ht="30">
      <c r="A196" s="10" t="s">
        <v>470</v>
      </c>
      <c r="B196" s="10" t="s">
        <v>6</v>
      </c>
      <c r="C196" s="11" t="s">
        <v>1298</v>
      </c>
      <c r="D196" s="12">
        <v>46268.875</v>
      </c>
      <c r="E196" s="12">
        <v>46269.25</v>
      </c>
      <c r="F196" s="11" t="s">
        <v>1299</v>
      </c>
    </row>
    <row r="197" spans="1:6" ht="60">
      <c r="A197" s="10" t="s">
        <v>240</v>
      </c>
      <c r="B197" s="10" t="s">
        <v>2</v>
      </c>
      <c r="C197" s="11" t="s">
        <v>1274</v>
      </c>
      <c r="D197" s="12">
        <v>46268.833333333299</v>
      </c>
      <c r="E197" s="12">
        <v>46269.25</v>
      </c>
      <c r="F197" s="11" t="s">
        <v>1289</v>
      </c>
    </row>
    <row r="198" spans="1:6" ht="60">
      <c r="A198" s="10" t="s">
        <v>240</v>
      </c>
      <c r="B198" s="10" t="s">
        <v>2</v>
      </c>
      <c r="C198" s="11" t="s">
        <v>1273</v>
      </c>
      <c r="D198" s="12">
        <v>46268.833333333299</v>
      </c>
      <c r="E198" s="12">
        <v>46269.25</v>
      </c>
      <c r="F198" s="11" t="s">
        <v>1289</v>
      </c>
    </row>
    <row r="199" spans="1:6" ht="45">
      <c r="A199" s="10" t="s">
        <v>240</v>
      </c>
      <c r="B199" s="10" t="s">
        <v>2</v>
      </c>
      <c r="C199" s="11" t="s">
        <v>1278</v>
      </c>
      <c r="D199" s="12">
        <v>46268.833333333299</v>
      </c>
      <c r="E199" s="12">
        <v>46269.25</v>
      </c>
      <c r="F199" s="11" t="s">
        <v>1289</v>
      </c>
    </row>
    <row r="200" spans="1:6" ht="60">
      <c r="A200" s="10" t="s">
        <v>240</v>
      </c>
      <c r="B200" s="10" t="s">
        <v>2</v>
      </c>
      <c r="C200" s="11" t="s">
        <v>1277</v>
      </c>
      <c r="D200" s="12">
        <v>46268.833333333299</v>
      </c>
      <c r="E200" s="12">
        <v>46269.25</v>
      </c>
      <c r="F200" s="11" t="s">
        <v>1289</v>
      </c>
    </row>
    <row r="201" spans="1:6" ht="60">
      <c r="A201" s="10" t="s">
        <v>240</v>
      </c>
      <c r="B201" s="10" t="s">
        <v>2</v>
      </c>
      <c r="C201" s="11" t="s">
        <v>1276</v>
      </c>
      <c r="D201" s="12">
        <v>46268.833333333299</v>
      </c>
      <c r="E201" s="12">
        <v>46269.25</v>
      </c>
      <c r="F201" s="11" t="s">
        <v>1289</v>
      </c>
    </row>
    <row r="202" spans="1:6" ht="60">
      <c r="A202" s="10" t="s">
        <v>240</v>
      </c>
      <c r="B202" s="10" t="s">
        <v>2</v>
      </c>
      <c r="C202" s="11" t="s">
        <v>1275</v>
      </c>
      <c r="D202" s="12">
        <v>46268.833333333299</v>
      </c>
      <c r="E202" s="12">
        <v>46269.25</v>
      </c>
      <c r="F202" s="11" t="s">
        <v>1289</v>
      </c>
    </row>
    <row r="203" spans="1:6" ht="60">
      <c r="A203" s="10" t="s">
        <v>240</v>
      </c>
      <c r="B203" s="10" t="s">
        <v>6</v>
      </c>
      <c r="C203" s="11" t="s">
        <v>241</v>
      </c>
      <c r="D203" s="12">
        <v>46268.833333333299</v>
      </c>
      <c r="E203" s="12">
        <v>46269.25</v>
      </c>
      <c r="F203" s="11" t="s">
        <v>242</v>
      </c>
    </row>
    <row r="204" spans="1:6" ht="60">
      <c r="A204" s="10" t="s">
        <v>240</v>
      </c>
      <c r="B204" s="10" t="s">
        <v>6</v>
      </c>
      <c r="C204" s="11" t="s">
        <v>243</v>
      </c>
      <c r="D204" s="12">
        <v>46268.833333333299</v>
      </c>
      <c r="E204" s="12">
        <v>46269.25</v>
      </c>
      <c r="F204" s="11" t="s">
        <v>242</v>
      </c>
    </row>
    <row r="205" spans="1:6" ht="45">
      <c r="A205" s="10" t="s">
        <v>240</v>
      </c>
      <c r="B205" s="10" t="s">
        <v>6</v>
      </c>
      <c r="C205" s="11" t="s">
        <v>244</v>
      </c>
      <c r="D205" s="12">
        <v>46268.833333333299</v>
      </c>
      <c r="E205" s="12">
        <v>46269.25</v>
      </c>
      <c r="F205" s="11" t="s">
        <v>242</v>
      </c>
    </row>
    <row r="206" spans="1:6" ht="60">
      <c r="A206" s="10" t="s">
        <v>245</v>
      </c>
      <c r="B206" s="10" t="s">
        <v>2</v>
      </c>
      <c r="C206" s="11" t="s">
        <v>250</v>
      </c>
      <c r="D206" s="12">
        <v>46268.833333333299</v>
      </c>
      <c r="E206" s="12">
        <v>46269.25</v>
      </c>
      <c r="F206" s="11" t="s">
        <v>1289</v>
      </c>
    </row>
    <row r="207" spans="1:6" ht="30">
      <c r="A207" s="10" t="s">
        <v>245</v>
      </c>
      <c r="B207" s="10" t="s">
        <v>4</v>
      </c>
      <c r="C207" s="11" t="s">
        <v>590</v>
      </c>
      <c r="D207" s="12">
        <v>46268.833333333299</v>
      </c>
      <c r="E207" s="12">
        <v>46269.25</v>
      </c>
      <c r="F207" s="11" t="s">
        <v>247</v>
      </c>
    </row>
    <row r="208" spans="1:6" ht="30">
      <c r="A208" s="10" t="s">
        <v>245</v>
      </c>
      <c r="B208" s="10" t="s">
        <v>4</v>
      </c>
      <c r="C208" s="11" t="s">
        <v>257</v>
      </c>
      <c r="D208" s="12">
        <v>46268.875</v>
      </c>
      <c r="E208" s="12">
        <v>46269.25</v>
      </c>
      <c r="F208" s="11" t="s">
        <v>247</v>
      </c>
    </row>
    <row r="209" spans="1:6" ht="30">
      <c r="A209" s="10" t="s">
        <v>245</v>
      </c>
      <c r="B209" s="10" t="s">
        <v>5</v>
      </c>
      <c r="C209" s="11" t="s">
        <v>591</v>
      </c>
      <c r="D209" s="12">
        <v>46268.875</v>
      </c>
      <c r="E209" s="12">
        <v>46269.25</v>
      </c>
      <c r="F209" s="11" t="s">
        <v>247</v>
      </c>
    </row>
    <row r="210" spans="1:6" ht="30">
      <c r="A210" s="10" t="s">
        <v>245</v>
      </c>
      <c r="B210" s="10" t="s">
        <v>5</v>
      </c>
      <c r="C210" s="11" t="s">
        <v>599</v>
      </c>
      <c r="D210" s="12">
        <v>46268.916666666701</v>
      </c>
      <c r="E210" s="12">
        <v>46269.25</v>
      </c>
      <c r="F210" s="11" t="s">
        <v>283</v>
      </c>
    </row>
    <row r="211" spans="1:6" ht="45">
      <c r="A211" s="10" t="s">
        <v>234</v>
      </c>
      <c r="B211" s="10" t="s">
        <v>6</v>
      </c>
      <c r="C211" s="11" t="s">
        <v>235</v>
      </c>
      <c r="D211" s="12">
        <v>45804.208333333299</v>
      </c>
      <c r="E211" s="12">
        <v>46418.208333333299</v>
      </c>
      <c r="F211" s="11" t="s">
        <v>236</v>
      </c>
    </row>
    <row r="212" spans="1:6" ht="45">
      <c r="A212" s="10" t="s">
        <v>234</v>
      </c>
      <c r="B212" s="10" t="s">
        <v>2</v>
      </c>
      <c r="C212" s="11" t="s">
        <v>280</v>
      </c>
      <c r="D212" s="12">
        <v>46267.833333333299</v>
      </c>
      <c r="E212" s="12">
        <v>46323.25</v>
      </c>
      <c r="F212" s="11" t="s">
        <v>281</v>
      </c>
    </row>
    <row r="213" spans="1:6" ht="30">
      <c r="A213" s="10" t="s">
        <v>234</v>
      </c>
      <c r="B213" s="10" t="s">
        <v>6</v>
      </c>
      <c r="C213" s="11" t="s">
        <v>300</v>
      </c>
      <c r="D213" s="12">
        <v>46268.875</v>
      </c>
      <c r="E213" s="12">
        <v>46269.208333333299</v>
      </c>
      <c r="F213" s="11" t="s">
        <v>298</v>
      </c>
    </row>
    <row r="214" spans="1:6" ht="30">
      <c r="A214" s="10" t="s">
        <v>234</v>
      </c>
      <c r="B214" s="10" t="s">
        <v>6</v>
      </c>
      <c r="C214" s="11" t="s">
        <v>301</v>
      </c>
      <c r="D214" s="12">
        <v>46268.875</v>
      </c>
      <c r="E214" s="12">
        <v>46269.208333333299</v>
      </c>
      <c r="F214" s="11" t="s">
        <v>298</v>
      </c>
    </row>
    <row r="215" spans="1:6" ht="30">
      <c r="A215" s="10" t="s">
        <v>296</v>
      </c>
      <c r="B215" s="10" t="s">
        <v>5</v>
      </c>
      <c r="C215" s="11" t="s">
        <v>297</v>
      </c>
      <c r="D215" s="12">
        <v>46268.875</v>
      </c>
      <c r="E215" s="12">
        <v>46269.208333333299</v>
      </c>
      <c r="F215" s="11" t="s">
        <v>298</v>
      </c>
    </row>
    <row r="216" spans="1:6" ht="30">
      <c r="A216" s="10" t="s">
        <v>296</v>
      </c>
      <c r="B216" s="10" t="s">
        <v>5</v>
      </c>
      <c r="C216" s="11" t="s">
        <v>299</v>
      </c>
      <c r="D216" s="12">
        <v>46268.875</v>
      </c>
      <c r="E216" s="12">
        <v>46269.208333333299</v>
      </c>
      <c r="F216" s="11" t="s">
        <v>298</v>
      </c>
    </row>
    <row r="217" spans="1:6" ht="60">
      <c r="A217" s="10" t="s">
        <v>105</v>
      </c>
      <c r="B217" s="10" t="s">
        <v>6</v>
      </c>
      <c r="C217" s="11" t="s">
        <v>106</v>
      </c>
      <c r="D217" s="12">
        <v>46268.833333333299</v>
      </c>
      <c r="E217" s="12">
        <v>46269.25</v>
      </c>
      <c r="F217" s="11" t="s">
        <v>107</v>
      </c>
    </row>
    <row r="218" spans="1:6" ht="60">
      <c r="A218" s="10" t="s">
        <v>105</v>
      </c>
      <c r="B218" s="10" t="s">
        <v>6</v>
      </c>
      <c r="C218" s="11" t="s">
        <v>268</v>
      </c>
      <c r="D218" s="12">
        <v>46268.875</v>
      </c>
      <c r="E218" s="12">
        <v>46269.208333333299</v>
      </c>
      <c r="F218" s="11" t="s">
        <v>269</v>
      </c>
    </row>
    <row r="219" spans="1:6" ht="60">
      <c r="A219" s="10" t="s">
        <v>105</v>
      </c>
      <c r="B219" s="10" t="s">
        <v>6</v>
      </c>
      <c r="C219" s="11" t="s">
        <v>270</v>
      </c>
      <c r="D219" s="12">
        <v>46268.875</v>
      </c>
      <c r="E219" s="12">
        <v>46269.208333333299</v>
      </c>
      <c r="F219" s="11" t="s">
        <v>269</v>
      </c>
    </row>
    <row r="220" spans="1:6" ht="60">
      <c r="A220" s="10" t="s">
        <v>105</v>
      </c>
      <c r="B220" s="10" t="s">
        <v>6</v>
      </c>
      <c r="C220" s="11" t="s">
        <v>603</v>
      </c>
      <c r="D220" s="12">
        <v>46268.875</v>
      </c>
      <c r="E220" s="12">
        <v>46269.25</v>
      </c>
      <c r="F220" s="11" t="s">
        <v>601</v>
      </c>
    </row>
    <row r="221" spans="1:6" ht="30">
      <c r="A221" s="10" t="s">
        <v>105</v>
      </c>
      <c r="B221" s="10" t="s">
        <v>6</v>
      </c>
      <c r="C221" s="11" t="s">
        <v>605</v>
      </c>
      <c r="D221" s="12">
        <v>46268.875</v>
      </c>
      <c r="E221" s="12">
        <v>46269.25</v>
      </c>
      <c r="F221" s="11" t="s">
        <v>601</v>
      </c>
    </row>
    <row r="222" spans="1:6" ht="45">
      <c r="A222" s="10" t="s">
        <v>105</v>
      </c>
      <c r="B222" s="10" t="s">
        <v>6</v>
      </c>
      <c r="C222" s="11" t="s">
        <v>615</v>
      </c>
      <c r="D222" s="12">
        <v>46268.833333333299</v>
      </c>
      <c r="E222" s="12">
        <v>46269.25</v>
      </c>
      <c r="F222" s="11" t="s">
        <v>616</v>
      </c>
    </row>
    <row r="223" spans="1:6" ht="45">
      <c r="A223" s="10" t="s">
        <v>105</v>
      </c>
      <c r="B223" s="10" t="s">
        <v>6</v>
      </c>
      <c r="C223" s="11" t="s">
        <v>617</v>
      </c>
      <c r="D223" s="12">
        <v>46268.833333333299</v>
      </c>
      <c r="E223" s="12">
        <v>46269.25</v>
      </c>
      <c r="F223" s="11" t="s">
        <v>616</v>
      </c>
    </row>
    <row r="224" spans="1:6" ht="45">
      <c r="A224" s="10" t="s">
        <v>105</v>
      </c>
      <c r="B224" s="10" t="s">
        <v>2</v>
      </c>
      <c r="C224" s="11" t="s">
        <v>325</v>
      </c>
      <c r="D224" s="12">
        <v>46268.916666666701</v>
      </c>
      <c r="E224" s="12">
        <v>46269.25</v>
      </c>
      <c r="F224" s="11" t="s">
        <v>326</v>
      </c>
    </row>
    <row r="225" spans="1:6" ht="45">
      <c r="A225" s="10" t="s">
        <v>105</v>
      </c>
      <c r="B225" s="10" t="s">
        <v>2</v>
      </c>
      <c r="C225" s="11" t="s">
        <v>618</v>
      </c>
      <c r="D225" s="12">
        <v>46268.833333333299</v>
      </c>
      <c r="E225" s="12">
        <v>46269.208333333299</v>
      </c>
      <c r="F225" s="11" t="s">
        <v>619</v>
      </c>
    </row>
    <row r="226" spans="1:6" ht="45">
      <c r="A226" s="10" t="s">
        <v>105</v>
      </c>
      <c r="B226" s="10" t="s">
        <v>2</v>
      </c>
      <c r="C226" s="11" t="s">
        <v>620</v>
      </c>
      <c r="D226" s="12">
        <v>46268.833333333299</v>
      </c>
      <c r="E226" s="12">
        <v>46269.208333333299</v>
      </c>
      <c r="F226" s="11" t="s">
        <v>619</v>
      </c>
    </row>
    <row r="227" spans="1:6" ht="45">
      <c r="A227" s="10" t="s">
        <v>105</v>
      </c>
      <c r="B227" s="10" t="s">
        <v>2</v>
      </c>
      <c r="C227" s="11" t="s">
        <v>621</v>
      </c>
      <c r="D227" s="12">
        <v>46268.833333333299</v>
      </c>
      <c r="E227" s="12">
        <v>46269.208333333299</v>
      </c>
      <c r="F227" s="11" t="s">
        <v>619</v>
      </c>
    </row>
    <row r="228" spans="1:6" ht="45">
      <c r="A228" s="10" t="s">
        <v>105</v>
      </c>
      <c r="B228" s="10" t="s">
        <v>2</v>
      </c>
      <c r="C228" s="11" t="s">
        <v>622</v>
      </c>
      <c r="D228" s="12">
        <v>46268.833333333299</v>
      </c>
      <c r="E228" s="12">
        <v>46269.208333333299</v>
      </c>
      <c r="F228" s="11" t="s">
        <v>619</v>
      </c>
    </row>
    <row r="229" spans="1:6" ht="45">
      <c r="A229" s="10" t="s">
        <v>105</v>
      </c>
      <c r="B229" s="10" t="s">
        <v>2</v>
      </c>
      <c r="C229" s="11" t="s">
        <v>498</v>
      </c>
      <c r="D229" s="12">
        <v>46268.875</v>
      </c>
      <c r="E229" s="12">
        <v>46269.25</v>
      </c>
      <c r="F229" s="11" t="s">
        <v>499</v>
      </c>
    </row>
    <row r="230" spans="1:6" ht="45">
      <c r="A230" s="10" t="s">
        <v>105</v>
      </c>
      <c r="B230" s="10" t="s">
        <v>6</v>
      </c>
      <c r="C230" s="11" t="s">
        <v>500</v>
      </c>
      <c r="D230" s="12">
        <v>46268.875</v>
      </c>
      <c r="E230" s="12">
        <v>46269.25</v>
      </c>
      <c r="F230" s="11" t="s">
        <v>499</v>
      </c>
    </row>
    <row r="231" spans="1:6" ht="45">
      <c r="A231" s="10" t="s">
        <v>105</v>
      </c>
      <c r="B231" s="10" t="s">
        <v>2</v>
      </c>
      <c r="C231" s="11" t="s">
        <v>657</v>
      </c>
      <c r="D231" s="12">
        <v>46268.875</v>
      </c>
      <c r="E231" s="12">
        <v>46269.25</v>
      </c>
      <c r="F231" s="11" t="s">
        <v>658</v>
      </c>
    </row>
    <row r="232" spans="1:6" ht="45">
      <c r="A232" s="10" t="s">
        <v>105</v>
      </c>
      <c r="B232" s="10" t="s">
        <v>6</v>
      </c>
      <c r="C232" s="11" t="s">
        <v>501</v>
      </c>
      <c r="D232" s="12">
        <v>46268.875</v>
      </c>
      <c r="E232" s="12">
        <v>46269.25</v>
      </c>
      <c r="F232" s="11" t="s">
        <v>502</v>
      </c>
    </row>
    <row r="233" spans="1:6" ht="45">
      <c r="A233" s="10" t="s">
        <v>105</v>
      </c>
      <c r="B233" s="10" t="s">
        <v>6</v>
      </c>
      <c r="C233" s="11" t="s">
        <v>505</v>
      </c>
      <c r="D233" s="12">
        <v>46268.875</v>
      </c>
      <c r="E233" s="12">
        <v>46269.25</v>
      </c>
      <c r="F233" s="11" t="s">
        <v>502</v>
      </c>
    </row>
    <row r="234" spans="1:6" ht="60">
      <c r="A234" s="10" t="s">
        <v>105</v>
      </c>
      <c r="B234" s="10" t="s">
        <v>6</v>
      </c>
      <c r="C234" s="11" t="s">
        <v>506</v>
      </c>
      <c r="D234" s="12">
        <v>46268.875</v>
      </c>
      <c r="E234" s="12">
        <v>46269.25</v>
      </c>
      <c r="F234" s="11" t="s">
        <v>502</v>
      </c>
    </row>
    <row r="235" spans="1:6" ht="45">
      <c r="A235" s="10" t="s">
        <v>105</v>
      </c>
      <c r="B235" s="10" t="s">
        <v>2</v>
      </c>
      <c r="C235" s="11" t="s">
        <v>512</v>
      </c>
      <c r="D235" s="12">
        <v>46268.875</v>
      </c>
      <c r="E235" s="12">
        <v>46269.25</v>
      </c>
      <c r="F235" s="11" t="s">
        <v>513</v>
      </c>
    </row>
    <row r="236" spans="1:6" ht="45">
      <c r="A236" s="10" t="s">
        <v>105</v>
      </c>
      <c r="B236" s="10" t="s">
        <v>6</v>
      </c>
      <c r="C236" s="11" t="s">
        <v>666</v>
      </c>
      <c r="D236" s="12">
        <v>46268.875</v>
      </c>
      <c r="E236" s="12">
        <v>46269.25</v>
      </c>
      <c r="F236" s="11" t="s">
        <v>667</v>
      </c>
    </row>
    <row r="237" spans="1:6" ht="45">
      <c r="A237" s="10" t="s">
        <v>271</v>
      </c>
      <c r="B237" s="10" t="s">
        <v>8</v>
      </c>
      <c r="C237" s="11" t="s">
        <v>272</v>
      </c>
      <c r="D237" s="12">
        <v>46268.875</v>
      </c>
      <c r="E237" s="12">
        <v>46269.25</v>
      </c>
      <c r="F237" s="11" t="s">
        <v>273</v>
      </c>
    </row>
    <row r="238" spans="1:6" ht="45">
      <c r="A238" s="10" t="s">
        <v>271</v>
      </c>
      <c r="B238" s="10" t="s">
        <v>7</v>
      </c>
      <c r="C238" s="11" t="s">
        <v>274</v>
      </c>
      <c r="D238" s="12">
        <v>46268.875</v>
      </c>
      <c r="E238" s="12">
        <v>46269.25</v>
      </c>
      <c r="F238" s="11" t="s">
        <v>273</v>
      </c>
    </row>
    <row r="239" spans="1:6" ht="45">
      <c r="A239" s="10" t="s">
        <v>271</v>
      </c>
      <c r="B239" s="10" t="s">
        <v>8</v>
      </c>
      <c r="C239" s="11" t="s">
        <v>592</v>
      </c>
      <c r="D239" s="12">
        <v>46268.875</v>
      </c>
      <c r="E239" s="12">
        <v>46269.25</v>
      </c>
      <c r="F239" s="11" t="s">
        <v>593</v>
      </c>
    </row>
    <row r="240" spans="1:6" ht="45">
      <c r="A240" s="10" t="s">
        <v>271</v>
      </c>
      <c r="B240" s="10" t="s">
        <v>7</v>
      </c>
      <c r="C240" s="11" t="s">
        <v>287</v>
      </c>
      <c r="D240" s="12">
        <v>46268.916666666701</v>
      </c>
      <c r="E240" s="12">
        <v>46269.25</v>
      </c>
      <c r="F240" s="11" t="s">
        <v>288</v>
      </c>
    </row>
    <row r="241" spans="1:6" ht="45">
      <c r="A241" s="10" t="s">
        <v>271</v>
      </c>
      <c r="B241" s="10" t="s">
        <v>7</v>
      </c>
      <c r="C241" s="11" t="s">
        <v>289</v>
      </c>
      <c r="D241" s="12">
        <v>46268.916666666701</v>
      </c>
      <c r="E241" s="12">
        <v>46269.25</v>
      </c>
      <c r="F241" s="11" t="s">
        <v>288</v>
      </c>
    </row>
    <row r="242" spans="1:6" ht="45">
      <c r="A242" s="10" t="s">
        <v>271</v>
      </c>
      <c r="B242" s="10" t="s">
        <v>7</v>
      </c>
      <c r="C242" s="11" t="s">
        <v>290</v>
      </c>
      <c r="D242" s="12">
        <v>46268.916666666701</v>
      </c>
      <c r="E242" s="12">
        <v>46269.25</v>
      </c>
      <c r="F242" s="11" t="s">
        <v>288</v>
      </c>
    </row>
    <row r="243" spans="1:6" ht="60">
      <c r="A243" s="10" t="s">
        <v>271</v>
      </c>
      <c r="B243" s="10" t="s">
        <v>7</v>
      </c>
      <c r="C243" s="11" t="s">
        <v>291</v>
      </c>
      <c r="D243" s="12">
        <v>46268.916666666701</v>
      </c>
      <c r="E243" s="12">
        <v>46269.25</v>
      </c>
      <c r="F243" s="11" t="s">
        <v>288</v>
      </c>
    </row>
    <row r="244" spans="1:6" ht="60">
      <c r="A244" s="10" t="s">
        <v>271</v>
      </c>
      <c r="B244" s="10" t="s">
        <v>7</v>
      </c>
      <c r="C244" s="11" t="s">
        <v>292</v>
      </c>
      <c r="D244" s="12">
        <v>46268.9375</v>
      </c>
      <c r="E244" s="12">
        <v>46269.25</v>
      </c>
      <c r="F244" s="11" t="s">
        <v>288</v>
      </c>
    </row>
    <row r="245" spans="1:6" ht="60">
      <c r="A245" s="10" t="s">
        <v>271</v>
      </c>
      <c r="B245" s="10" t="s">
        <v>7</v>
      </c>
      <c r="C245" s="11" t="s">
        <v>293</v>
      </c>
      <c r="D245" s="12">
        <v>46268.9375</v>
      </c>
      <c r="E245" s="12">
        <v>46269.25</v>
      </c>
      <c r="F245" s="11" t="s">
        <v>288</v>
      </c>
    </row>
    <row r="246" spans="1:6" ht="45">
      <c r="A246" s="10" t="s">
        <v>271</v>
      </c>
      <c r="B246" s="10" t="s">
        <v>5</v>
      </c>
      <c r="C246" s="11" t="s">
        <v>294</v>
      </c>
      <c r="D246" s="12">
        <v>46268.9375</v>
      </c>
      <c r="E246" s="12">
        <v>46269.25</v>
      </c>
      <c r="F246" s="11" t="s">
        <v>288</v>
      </c>
    </row>
    <row r="247" spans="1:6" ht="75">
      <c r="A247" s="10" t="s">
        <v>271</v>
      </c>
      <c r="B247" s="10" t="s">
        <v>4</v>
      </c>
      <c r="C247" s="11" t="s">
        <v>295</v>
      </c>
      <c r="D247" s="12">
        <v>46268.9375</v>
      </c>
      <c r="E247" s="12">
        <v>46269.25</v>
      </c>
      <c r="F247" s="11" t="s">
        <v>288</v>
      </c>
    </row>
    <row r="248" spans="1:6" ht="90">
      <c r="A248" s="10" t="s">
        <v>271</v>
      </c>
      <c r="B248" s="10" t="s">
        <v>2</v>
      </c>
      <c r="C248" s="11" t="s">
        <v>319</v>
      </c>
      <c r="D248" s="12">
        <v>46268.875</v>
      </c>
      <c r="E248" s="12">
        <v>46269.25</v>
      </c>
      <c r="F248" s="11" t="s">
        <v>315</v>
      </c>
    </row>
    <row r="249" spans="1:6" ht="90">
      <c r="A249" s="10" t="s">
        <v>271</v>
      </c>
      <c r="B249" s="10" t="s">
        <v>8</v>
      </c>
      <c r="C249" s="11" t="s">
        <v>320</v>
      </c>
      <c r="D249" s="12">
        <v>46268.875</v>
      </c>
      <c r="E249" s="12">
        <v>46269.208333333299</v>
      </c>
      <c r="F249" s="11" t="s">
        <v>321</v>
      </c>
    </row>
    <row r="250" spans="1:6" ht="75">
      <c r="A250" s="10" t="s">
        <v>271</v>
      </c>
      <c r="B250" s="10" t="s">
        <v>8</v>
      </c>
      <c r="C250" s="11" t="s">
        <v>322</v>
      </c>
      <c r="D250" s="12">
        <v>46268.875</v>
      </c>
      <c r="E250" s="12">
        <v>46269.208333333299</v>
      </c>
      <c r="F250" s="11" t="s">
        <v>321</v>
      </c>
    </row>
    <row r="251" spans="1:6" ht="60">
      <c r="A251" s="10" t="s">
        <v>159</v>
      </c>
      <c r="B251" s="10" t="s">
        <v>6</v>
      </c>
      <c r="C251" s="11" t="s">
        <v>160</v>
      </c>
      <c r="D251" s="12">
        <v>46268.833333333299</v>
      </c>
      <c r="E251" s="12">
        <v>46269.25</v>
      </c>
      <c r="F251" s="11" t="s">
        <v>161</v>
      </c>
    </row>
    <row r="252" spans="1:6" ht="90">
      <c r="A252" s="10" t="s">
        <v>159</v>
      </c>
      <c r="B252" s="10" t="s">
        <v>6</v>
      </c>
      <c r="C252" s="11" t="s">
        <v>162</v>
      </c>
      <c r="D252" s="12">
        <v>46268.833333333299</v>
      </c>
      <c r="E252" s="12">
        <v>46269.25</v>
      </c>
      <c r="F252" s="11" t="s">
        <v>161</v>
      </c>
    </row>
    <row r="253" spans="1:6" ht="120">
      <c r="A253" s="10" t="s">
        <v>159</v>
      </c>
      <c r="B253" s="10" t="s">
        <v>6</v>
      </c>
      <c r="C253" s="11" t="s">
        <v>163</v>
      </c>
      <c r="D253" s="12">
        <v>46268.833333333299</v>
      </c>
      <c r="E253" s="12">
        <v>46269.25</v>
      </c>
      <c r="F253" s="11" t="s">
        <v>161</v>
      </c>
    </row>
    <row r="254" spans="1:6" ht="120">
      <c r="A254" s="10" t="s">
        <v>159</v>
      </c>
      <c r="B254" s="10" t="s">
        <v>6</v>
      </c>
      <c r="C254" s="11" t="s">
        <v>164</v>
      </c>
      <c r="D254" s="12">
        <v>46268.833333333299</v>
      </c>
      <c r="E254" s="12">
        <v>46269.25</v>
      </c>
      <c r="F254" s="11" t="s">
        <v>161</v>
      </c>
    </row>
    <row r="255" spans="1:6" ht="45">
      <c r="A255" s="10" t="s">
        <v>159</v>
      </c>
      <c r="B255" s="10" t="s">
        <v>6</v>
      </c>
      <c r="C255" s="11" t="s">
        <v>165</v>
      </c>
      <c r="D255" s="12">
        <v>46268.833333333299</v>
      </c>
      <c r="E255" s="12">
        <v>46269.25</v>
      </c>
      <c r="F255" s="11" t="s">
        <v>161</v>
      </c>
    </row>
    <row r="256" spans="1:6" ht="75">
      <c r="A256" s="10" t="s">
        <v>159</v>
      </c>
      <c r="B256" s="10" t="s">
        <v>6</v>
      </c>
      <c r="C256" s="11" t="s">
        <v>166</v>
      </c>
      <c r="D256" s="12">
        <v>46268.833333333299</v>
      </c>
      <c r="E256" s="12">
        <v>46269.25</v>
      </c>
      <c r="F256" s="11" t="s">
        <v>161</v>
      </c>
    </row>
    <row r="257" spans="1:6" ht="105">
      <c r="A257" s="10" t="s">
        <v>237</v>
      </c>
      <c r="B257" s="10" t="s">
        <v>2</v>
      </c>
      <c r="C257" s="11" t="s">
        <v>238</v>
      </c>
      <c r="D257" s="12">
        <v>46268.875</v>
      </c>
      <c r="E257" s="12">
        <v>46269.25</v>
      </c>
      <c r="F257" s="11" t="s">
        <v>239</v>
      </c>
    </row>
    <row r="258" spans="1:6" ht="105">
      <c r="A258" s="10" t="s">
        <v>127</v>
      </c>
      <c r="B258" s="10" t="s">
        <v>4</v>
      </c>
      <c r="C258" s="11" t="s">
        <v>128</v>
      </c>
      <c r="D258" s="12">
        <v>46268.833333333299</v>
      </c>
      <c r="E258" s="12">
        <v>46269.25</v>
      </c>
      <c r="F258" s="11" t="s">
        <v>129</v>
      </c>
    </row>
    <row r="259" spans="1:6" ht="45">
      <c r="A259" s="10" t="s">
        <v>127</v>
      </c>
      <c r="B259" s="10" t="s">
        <v>4</v>
      </c>
      <c r="C259" s="11" t="s">
        <v>130</v>
      </c>
      <c r="D259" s="12">
        <v>46268.833333333299</v>
      </c>
      <c r="E259" s="12">
        <v>46269.25</v>
      </c>
      <c r="F259" s="11" t="s">
        <v>129</v>
      </c>
    </row>
    <row r="260" spans="1:6" ht="60">
      <c r="A260" s="10" t="s">
        <v>127</v>
      </c>
      <c r="B260" s="10" t="s">
        <v>4</v>
      </c>
      <c r="C260" s="11" t="s">
        <v>131</v>
      </c>
      <c r="D260" s="12">
        <v>46268.833333333299</v>
      </c>
      <c r="E260" s="12">
        <v>46269.25</v>
      </c>
      <c r="F260" s="11" t="s">
        <v>129</v>
      </c>
    </row>
    <row r="261" spans="1:6" ht="105">
      <c r="A261" s="10" t="s">
        <v>127</v>
      </c>
      <c r="B261" s="10" t="s">
        <v>4</v>
      </c>
      <c r="C261" s="11" t="s">
        <v>132</v>
      </c>
      <c r="D261" s="12">
        <v>46268.833333333299</v>
      </c>
      <c r="E261" s="12">
        <v>46269.25</v>
      </c>
      <c r="F261" s="11" t="s">
        <v>129</v>
      </c>
    </row>
    <row r="262" spans="1:6" ht="90">
      <c r="A262" s="10" t="s">
        <v>127</v>
      </c>
      <c r="B262" s="10" t="s">
        <v>5</v>
      </c>
      <c r="C262" s="11" t="s">
        <v>133</v>
      </c>
      <c r="D262" s="12">
        <v>46268.916666666701</v>
      </c>
      <c r="E262" s="12">
        <v>46269.25</v>
      </c>
      <c r="F262" s="11" t="s">
        <v>129</v>
      </c>
    </row>
    <row r="263" spans="1:6" ht="45">
      <c r="A263" s="10" t="s">
        <v>127</v>
      </c>
      <c r="B263" s="10" t="s">
        <v>5</v>
      </c>
      <c r="C263" s="11" t="s">
        <v>134</v>
      </c>
      <c r="D263" s="12">
        <v>46268.916666666701</v>
      </c>
      <c r="E263" s="12">
        <v>46269.25</v>
      </c>
      <c r="F263" s="11" t="s">
        <v>129</v>
      </c>
    </row>
    <row r="264" spans="1:6" ht="60">
      <c r="A264" s="10" t="s">
        <v>127</v>
      </c>
      <c r="B264" s="10" t="s">
        <v>5</v>
      </c>
      <c r="C264" s="11" t="s">
        <v>135</v>
      </c>
      <c r="D264" s="12">
        <v>46268.916666666701</v>
      </c>
      <c r="E264" s="12">
        <v>46269.25</v>
      </c>
      <c r="F264" s="11" t="s">
        <v>129</v>
      </c>
    </row>
    <row r="265" spans="1:6" ht="75">
      <c r="A265" s="10" t="s">
        <v>127</v>
      </c>
      <c r="B265" s="10" t="s">
        <v>5</v>
      </c>
      <c r="C265" s="11" t="s">
        <v>136</v>
      </c>
      <c r="D265" s="12">
        <v>46268.916666666701</v>
      </c>
      <c r="E265" s="12">
        <v>46269.25</v>
      </c>
      <c r="F265" s="11" t="s">
        <v>129</v>
      </c>
    </row>
    <row r="266" spans="1:6" ht="105">
      <c r="A266" s="10" t="s">
        <v>127</v>
      </c>
      <c r="B266" s="10" t="s">
        <v>6</v>
      </c>
      <c r="C266" s="11" t="s">
        <v>154</v>
      </c>
      <c r="D266" s="12">
        <v>46268.833333333299</v>
      </c>
      <c r="E266" s="12">
        <v>46269.25</v>
      </c>
      <c r="F266" s="11" t="s">
        <v>155</v>
      </c>
    </row>
    <row r="267" spans="1:6" ht="135">
      <c r="A267" s="10" t="s">
        <v>127</v>
      </c>
      <c r="B267" s="10" t="s">
        <v>6</v>
      </c>
      <c r="C267" s="11" t="s">
        <v>156</v>
      </c>
      <c r="D267" s="12">
        <v>46268.833333333299</v>
      </c>
      <c r="E267" s="12">
        <v>46269.25</v>
      </c>
      <c r="F267" s="11" t="s">
        <v>155</v>
      </c>
    </row>
    <row r="268" spans="1:6" ht="180">
      <c r="A268" s="10" t="s">
        <v>127</v>
      </c>
      <c r="B268" s="10" t="s">
        <v>23</v>
      </c>
      <c r="C268" s="11" t="s">
        <v>574</v>
      </c>
      <c r="D268" s="12">
        <v>46268.833333333299</v>
      </c>
      <c r="E268" s="12">
        <v>46269.25</v>
      </c>
      <c r="F268" s="11" t="s">
        <v>169</v>
      </c>
    </row>
    <row r="269" spans="1:6" ht="180">
      <c r="A269" s="10" t="s">
        <v>127</v>
      </c>
      <c r="B269" s="10" t="s">
        <v>5</v>
      </c>
      <c r="C269" s="11" t="s">
        <v>173</v>
      </c>
      <c r="D269" s="12">
        <v>46268.833333333299</v>
      </c>
      <c r="E269" s="12">
        <v>46269.25</v>
      </c>
      <c r="F269" s="11" t="s">
        <v>174</v>
      </c>
    </row>
    <row r="270" spans="1:6" ht="180">
      <c r="A270" s="10" t="s">
        <v>127</v>
      </c>
      <c r="B270" s="10" t="s">
        <v>5</v>
      </c>
      <c r="C270" s="11" t="s">
        <v>175</v>
      </c>
      <c r="D270" s="12">
        <v>46268.833333333299</v>
      </c>
      <c r="E270" s="12">
        <v>46269.25</v>
      </c>
      <c r="F270" s="11" t="s">
        <v>174</v>
      </c>
    </row>
    <row r="271" spans="1:6" ht="45">
      <c r="A271" s="10" t="s">
        <v>127</v>
      </c>
      <c r="B271" s="10" t="s">
        <v>5</v>
      </c>
      <c r="C271" s="11" t="s">
        <v>176</v>
      </c>
      <c r="D271" s="12">
        <v>46268.833333333299</v>
      </c>
      <c r="E271" s="12">
        <v>46269.25</v>
      </c>
      <c r="F271" s="11" t="s">
        <v>174</v>
      </c>
    </row>
    <row r="272" spans="1:6" ht="45">
      <c r="A272" s="10" t="s">
        <v>127</v>
      </c>
      <c r="B272" s="10" t="s">
        <v>4</v>
      </c>
      <c r="C272" s="11" t="s">
        <v>130</v>
      </c>
      <c r="D272" s="12">
        <v>46268.875</v>
      </c>
      <c r="E272" s="12">
        <v>46269.25</v>
      </c>
      <c r="F272" s="11" t="s">
        <v>187</v>
      </c>
    </row>
    <row r="273" spans="1:6" ht="45">
      <c r="A273" s="10" t="s">
        <v>127</v>
      </c>
      <c r="B273" s="10" t="s">
        <v>4</v>
      </c>
      <c r="C273" s="11" t="s">
        <v>131</v>
      </c>
      <c r="D273" s="12">
        <v>46268.875</v>
      </c>
      <c r="E273" s="12">
        <v>46269.25</v>
      </c>
      <c r="F273" s="11" t="s">
        <v>187</v>
      </c>
    </row>
    <row r="274" spans="1:6" ht="75">
      <c r="A274" s="10" t="s">
        <v>127</v>
      </c>
      <c r="B274" s="10" t="s">
        <v>4</v>
      </c>
      <c r="C274" s="11" t="s">
        <v>132</v>
      </c>
      <c r="D274" s="12">
        <v>46268.875</v>
      </c>
      <c r="E274" s="12">
        <v>46269.25</v>
      </c>
      <c r="F274" s="11" t="s">
        <v>187</v>
      </c>
    </row>
    <row r="275" spans="1:6" ht="75">
      <c r="A275" s="10" t="s">
        <v>127</v>
      </c>
      <c r="B275" s="10" t="s">
        <v>4</v>
      </c>
      <c r="C275" s="11" t="s">
        <v>128</v>
      </c>
      <c r="D275" s="12">
        <v>46268.875</v>
      </c>
      <c r="E275" s="12">
        <v>46269.25</v>
      </c>
      <c r="F275" s="11" t="s">
        <v>187</v>
      </c>
    </row>
    <row r="276" spans="1:6" ht="105">
      <c r="A276" s="10" t="s">
        <v>127</v>
      </c>
      <c r="B276" s="10" t="s">
        <v>6</v>
      </c>
      <c r="C276" s="11" t="s">
        <v>600</v>
      </c>
      <c r="D276" s="12">
        <v>46268.875</v>
      </c>
      <c r="E276" s="12">
        <v>46269.25</v>
      </c>
      <c r="F276" s="11" t="s">
        <v>601</v>
      </c>
    </row>
    <row r="277" spans="1:6" ht="105">
      <c r="A277" s="10" t="s">
        <v>127</v>
      </c>
      <c r="B277" s="10" t="s">
        <v>6</v>
      </c>
      <c r="C277" s="11" t="s">
        <v>602</v>
      </c>
      <c r="D277" s="12">
        <v>46268.875</v>
      </c>
      <c r="E277" s="12">
        <v>46269.25</v>
      </c>
      <c r="F277" s="11" t="s">
        <v>601</v>
      </c>
    </row>
    <row r="278" spans="1:6" ht="90">
      <c r="A278" s="10" t="s">
        <v>127</v>
      </c>
      <c r="B278" s="10" t="s">
        <v>5</v>
      </c>
      <c r="C278" s="11" t="s">
        <v>604</v>
      </c>
      <c r="D278" s="12">
        <v>46268.875</v>
      </c>
      <c r="E278" s="12">
        <v>46269.25</v>
      </c>
      <c r="F278" s="11" t="s">
        <v>601</v>
      </c>
    </row>
    <row r="279" spans="1:6" ht="90">
      <c r="A279" s="10" t="s">
        <v>127</v>
      </c>
      <c r="B279" s="10" t="s">
        <v>5</v>
      </c>
      <c r="C279" s="11" t="s">
        <v>612</v>
      </c>
      <c r="D279" s="12">
        <v>46268.875</v>
      </c>
      <c r="E279" s="12">
        <v>46269.25</v>
      </c>
      <c r="F279" s="11" t="s">
        <v>315</v>
      </c>
    </row>
    <row r="280" spans="1:6" ht="60">
      <c r="A280" s="10" t="s">
        <v>127</v>
      </c>
      <c r="B280" s="10" t="s">
        <v>4</v>
      </c>
      <c r="C280" s="11" t="s">
        <v>613</v>
      </c>
      <c r="D280" s="12">
        <v>46268.875</v>
      </c>
      <c r="E280" s="12">
        <v>46269.208333333299</v>
      </c>
      <c r="F280" s="11" t="s">
        <v>614</v>
      </c>
    </row>
    <row r="281" spans="1:6" ht="75">
      <c r="A281" s="10" t="s">
        <v>127</v>
      </c>
      <c r="B281" s="10" t="s">
        <v>6</v>
      </c>
      <c r="C281" s="11" t="s">
        <v>323</v>
      </c>
      <c r="D281" s="12">
        <v>46268.833333333299</v>
      </c>
      <c r="E281" s="12">
        <v>46269.208333333299</v>
      </c>
      <c r="F281" s="11" t="s">
        <v>324</v>
      </c>
    </row>
    <row r="282" spans="1:6" ht="75">
      <c r="A282" s="10" t="s">
        <v>188</v>
      </c>
      <c r="B282" s="10" t="s">
        <v>7</v>
      </c>
      <c r="C282" s="11" t="s">
        <v>575</v>
      </c>
      <c r="D282" s="12">
        <v>46268.833333333299</v>
      </c>
      <c r="E282" s="12">
        <v>46269.25</v>
      </c>
      <c r="F282" s="11" t="s">
        <v>179</v>
      </c>
    </row>
    <row r="283" spans="1:6" ht="75">
      <c r="A283" s="10" t="s">
        <v>258</v>
      </c>
      <c r="B283" s="10" t="s">
        <v>5</v>
      </c>
      <c r="C283" s="11" t="s">
        <v>259</v>
      </c>
      <c r="D283" s="12">
        <v>46268.875</v>
      </c>
      <c r="E283" s="12">
        <v>46269.25</v>
      </c>
      <c r="F283" s="11" t="s">
        <v>260</v>
      </c>
    </row>
    <row r="284" spans="1:6" ht="75">
      <c r="A284" s="10" t="s">
        <v>258</v>
      </c>
      <c r="B284" s="10" t="s">
        <v>5</v>
      </c>
      <c r="C284" s="11" t="s">
        <v>261</v>
      </c>
      <c r="D284" s="12">
        <v>46268.875</v>
      </c>
      <c r="E284" s="12">
        <v>46269.25</v>
      </c>
      <c r="F284" s="11" t="s">
        <v>260</v>
      </c>
    </row>
    <row r="285" spans="1:6" ht="75">
      <c r="A285" s="10" t="s">
        <v>258</v>
      </c>
      <c r="B285" s="10" t="s">
        <v>5</v>
      </c>
      <c r="C285" s="11" t="s">
        <v>594</v>
      </c>
      <c r="D285" s="12">
        <v>46268.875</v>
      </c>
      <c r="E285" s="12">
        <v>46269.208333333299</v>
      </c>
      <c r="F285" s="11" t="s">
        <v>595</v>
      </c>
    </row>
    <row r="286" spans="1:6" ht="75">
      <c r="A286" s="10" t="s">
        <v>258</v>
      </c>
      <c r="B286" s="10" t="s">
        <v>5</v>
      </c>
      <c r="C286" s="11" t="s">
        <v>596</v>
      </c>
      <c r="D286" s="12">
        <v>46268.875</v>
      </c>
      <c r="E286" s="12">
        <v>46269.208333333299</v>
      </c>
      <c r="F286" s="11" t="s">
        <v>595</v>
      </c>
    </row>
    <row r="287" spans="1:6" ht="90">
      <c r="A287" s="10" t="s">
        <v>258</v>
      </c>
      <c r="B287" s="10" t="s">
        <v>5</v>
      </c>
      <c r="C287" s="11" t="s">
        <v>597</v>
      </c>
      <c r="D287" s="12">
        <v>46268.875</v>
      </c>
      <c r="E287" s="12">
        <v>46269.208333333299</v>
      </c>
      <c r="F287" s="11" t="s">
        <v>595</v>
      </c>
    </row>
    <row r="288" spans="1:6" ht="60">
      <c r="A288" s="10" t="s">
        <v>258</v>
      </c>
      <c r="B288" s="10" t="s">
        <v>5</v>
      </c>
      <c r="C288" s="11" t="s">
        <v>598</v>
      </c>
      <c r="D288" s="12">
        <v>46268.875</v>
      </c>
      <c r="E288" s="12">
        <v>46269.208333333299</v>
      </c>
      <c r="F288" s="11" t="s">
        <v>595</v>
      </c>
    </row>
    <row r="289" spans="1:6" ht="90">
      <c r="A289" s="10" t="s">
        <v>258</v>
      </c>
      <c r="B289" s="10" t="s">
        <v>5</v>
      </c>
      <c r="C289" s="11" t="s">
        <v>307</v>
      </c>
      <c r="D289" s="12">
        <v>46268.875</v>
      </c>
      <c r="E289" s="12">
        <v>46269.25</v>
      </c>
      <c r="F289" s="11" t="s">
        <v>308</v>
      </c>
    </row>
    <row r="290" spans="1:6" ht="60">
      <c r="A290" s="10" t="s">
        <v>258</v>
      </c>
      <c r="B290" s="10" t="s">
        <v>5</v>
      </c>
      <c r="C290" s="11" t="s">
        <v>309</v>
      </c>
      <c r="D290" s="12">
        <v>46268.875</v>
      </c>
      <c r="E290" s="12">
        <v>46269.25</v>
      </c>
      <c r="F290" s="11" t="s">
        <v>308</v>
      </c>
    </row>
    <row r="291" spans="1:6" ht="90">
      <c r="A291" s="10" t="s">
        <v>317</v>
      </c>
      <c r="B291" s="10" t="s">
        <v>6</v>
      </c>
      <c r="C291" s="11" t="s">
        <v>318</v>
      </c>
      <c r="D291" s="12">
        <v>46268.875</v>
      </c>
      <c r="E291" s="12">
        <v>46269.25</v>
      </c>
      <c r="F291" s="11" t="s">
        <v>315</v>
      </c>
    </row>
    <row r="292" spans="1:6" ht="75">
      <c r="A292" s="10" t="s">
        <v>262</v>
      </c>
      <c r="B292" s="10" t="s">
        <v>4</v>
      </c>
      <c r="C292" s="11" t="s">
        <v>263</v>
      </c>
      <c r="D292" s="12">
        <v>46268.833333333299</v>
      </c>
      <c r="E292" s="12">
        <v>46269.25</v>
      </c>
      <c r="F292" s="11" t="s">
        <v>264</v>
      </c>
    </row>
    <row r="293" spans="1:6" ht="60">
      <c r="A293" s="10" t="s">
        <v>262</v>
      </c>
      <c r="B293" s="10" t="s">
        <v>4</v>
      </c>
      <c r="C293" s="11" t="s">
        <v>265</v>
      </c>
      <c r="D293" s="12">
        <v>46268.833333333299</v>
      </c>
      <c r="E293" s="12">
        <v>46269.25</v>
      </c>
      <c r="F293" s="11" t="s">
        <v>264</v>
      </c>
    </row>
    <row r="294" spans="1:6" ht="45">
      <c r="A294" s="10" t="s">
        <v>262</v>
      </c>
      <c r="B294" s="10" t="s">
        <v>5</v>
      </c>
      <c r="C294" s="11" t="s">
        <v>266</v>
      </c>
      <c r="D294" s="12">
        <v>46268.833333333299</v>
      </c>
      <c r="E294" s="12">
        <v>46269.25</v>
      </c>
      <c r="F294" s="11" t="s">
        <v>264</v>
      </c>
    </row>
    <row r="295" spans="1:6" ht="45">
      <c r="A295" s="10" t="s">
        <v>262</v>
      </c>
      <c r="B295" s="10" t="s">
        <v>5</v>
      </c>
      <c r="C295" s="11" t="s">
        <v>267</v>
      </c>
      <c r="D295" s="12">
        <v>46268.833333333299</v>
      </c>
      <c r="E295" s="12">
        <v>46269.25</v>
      </c>
      <c r="F295" s="11" t="s">
        <v>264</v>
      </c>
    </row>
  </sheetData>
  <autoFilter ref="A2:F18" xr:uid="{9D16C859-1B8A-4AF2-8D50-1644B5F49E85}">
    <sortState xmlns:xlrd2="http://schemas.microsoft.com/office/spreadsheetml/2017/richdata2" ref="A3:F295">
      <sortCondition ref="A2:A18"/>
    </sortState>
  </autoFilter>
  <mergeCells count="1">
    <mergeCell ref="A1:F1"/>
  </mergeCells>
  <conditionalFormatting sqref="A3:F295">
    <cfRule type="expression" dxfId="4"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D3749-7F19-4164-8637-F068C6045FF3}">
  <sheetPr>
    <tabColor theme="7"/>
  </sheetPr>
  <dimension ref="A1:K281"/>
  <sheetViews>
    <sheetView zoomScaleNormal="100" workbookViewId="0">
      <pane ySplit="1" topLeftCell="A2" activePane="bottomLeft" state="frozenSplit"/>
      <selection sqref="A1:F1"/>
      <selection pane="bottomLeft" activeCell="A3" sqref="A3"/>
    </sheetView>
  </sheetViews>
  <sheetFormatPr defaultColWidth="0" defaultRowHeight="15"/>
  <cols>
    <col min="1" max="1" width="15.08984375" style="4" customWidth="1"/>
    <col min="2" max="2" width="13.26953125" style="4" customWidth="1"/>
    <col min="3" max="3" width="61.7265625" style="4" customWidth="1"/>
    <col min="4" max="4" width="17.7265625" style="4" customWidth="1"/>
    <col min="5" max="5" width="17.7265625" style="9" customWidth="1"/>
    <col min="6" max="6" width="47" style="9" customWidth="1"/>
    <col min="7" max="11" width="0" hidden="1" customWidth="1"/>
    <col min="12" max="16384" width="8.7265625" hidden="1"/>
  </cols>
  <sheetData>
    <row r="1" spans="1:6" ht="33">
      <c r="A1" s="28" t="str">
        <f>"Daily closure report: "&amp;'Front page'!A7</f>
        <v>Daily closure report: Friday, 4 September</v>
      </c>
      <c r="B1" s="28"/>
      <c r="C1" s="28"/>
      <c r="D1" s="28"/>
      <c r="E1" s="28"/>
      <c r="F1" s="28"/>
    </row>
    <row r="2" spans="1:6" s="8" customFormat="1" ht="27.6">
      <c r="A2" s="8" t="s">
        <v>9</v>
      </c>
      <c r="B2" s="8" t="s">
        <v>1</v>
      </c>
      <c r="C2" s="8" t="s">
        <v>0</v>
      </c>
      <c r="D2" s="8" t="s">
        <v>11</v>
      </c>
      <c r="E2" s="8" t="s">
        <v>12</v>
      </c>
      <c r="F2" s="8" t="s">
        <v>10</v>
      </c>
    </row>
    <row r="3" spans="1:6" ht="60">
      <c r="A3" s="10" t="s">
        <v>42</v>
      </c>
      <c r="B3" s="10" t="s">
        <v>6</v>
      </c>
      <c r="C3" s="11" t="s">
        <v>43</v>
      </c>
      <c r="D3" s="12">
        <v>46269.833333333299</v>
      </c>
      <c r="E3" s="12">
        <v>46270.208333333299</v>
      </c>
      <c r="F3" s="11" t="s">
        <v>44</v>
      </c>
    </row>
    <row r="4" spans="1:6" ht="60">
      <c r="A4" s="10" t="s">
        <v>42</v>
      </c>
      <c r="B4" s="10" t="s">
        <v>6</v>
      </c>
      <c r="C4" s="11" t="s">
        <v>681</v>
      </c>
      <c r="D4" s="12">
        <v>46269.875</v>
      </c>
      <c r="E4" s="12">
        <v>46272.208333333299</v>
      </c>
      <c r="F4" s="11" t="s">
        <v>680</v>
      </c>
    </row>
    <row r="5" spans="1:6" ht="60">
      <c r="A5" s="10" t="s">
        <v>42</v>
      </c>
      <c r="B5" s="10" t="s">
        <v>6</v>
      </c>
      <c r="C5" s="11" t="s">
        <v>682</v>
      </c>
      <c r="D5" s="12">
        <v>46269.875</v>
      </c>
      <c r="E5" s="12">
        <v>46272.208333333299</v>
      </c>
      <c r="F5" s="11" t="s">
        <v>680</v>
      </c>
    </row>
    <row r="6" spans="1:6" ht="60">
      <c r="A6" s="10" t="s">
        <v>42</v>
      </c>
      <c r="B6" s="10" t="s">
        <v>2</v>
      </c>
      <c r="C6" s="11" t="s">
        <v>683</v>
      </c>
      <c r="D6" s="12">
        <v>46269.875</v>
      </c>
      <c r="E6" s="12">
        <v>46272.208333333299</v>
      </c>
      <c r="F6" s="11" t="s">
        <v>680</v>
      </c>
    </row>
    <row r="7" spans="1:6" ht="45">
      <c r="A7" s="10" t="s">
        <v>42</v>
      </c>
      <c r="B7" s="10" t="s">
        <v>23</v>
      </c>
      <c r="C7" s="11" t="s">
        <v>52</v>
      </c>
      <c r="D7" s="12">
        <v>45847.208333333299</v>
      </c>
      <c r="E7" s="12">
        <v>46507.999305555597</v>
      </c>
      <c r="F7" s="11" t="s">
        <v>53</v>
      </c>
    </row>
    <row r="8" spans="1:6" ht="45">
      <c r="A8" s="10" t="s">
        <v>42</v>
      </c>
      <c r="B8" s="10" t="s">
        <v>23</v>
      </c>
      <c r="C8" s="11" t="s">
        <v>543</v>
      </c>
      <c r="D8" s="12">
        <v>46269.541666666701</v>
      </c>
      <c r="E8" s="12">
        <v>46269.833333333299</v>
      </c>
      <c r="F8" s="11" t="s">
        <v>544</v>
      </c>
    </row>
    <row r="9" spans="1:6" ht="60">
      <c r="A9" s="10" t="s">
        <v>42</v>
      </c>
      <c r="B9" s="10" t="s">
        <v>6</v>
      </c>
      <c r="C9" s="11" t="s">
        <v>698</v>
      </c>
      <c r="D9" s="12">
        <v>46270.208333333299</v>
      </c>
      <c r="E9" s="12">
        <v>46270.541666666701</v>
      </c>
      <c r="F9" s="11" t="s">
        <v>699</v>
      </c>
    </row>
    <row r="10" spans="1:6" ht="60">
      <c r="A10" s="10" t="s">
        <v>60</v>
      </c>
      <c r="B10" s="10" t="s">
        <v>2</v>
      </c>
      <c r="C10" s="11" t="s">
        <v>61</v>
      </c>
      <c r="D10" s="12">
        <v>46269.875</v>
      </c>
      <c r="E10" s="12">
        <v>46270.208333333299</v>
      </c>
      <c r="F10" s="11" t="s">
        <v>62</v>
      </c>
    </row>
    <row r="11" spans="1:6" ht="45">
      <c r="A11" s="10" t="s">
        <v>60</v>
      </c>
      <c r="B11" s="10" t="s">
        <v>2</v>
      </c>
      <c r="C11" s="11" t="s">
        <v>716</v>
      </c>
      <c r="D11" s="12">
        <v>46269.854166666701</v>
      </c>
      <c r="E11" s="12">
        <v>46270.25</v>
      </c>
      <c r="F11" s="11" t="s">
        <v>712</v>
      </c>
    </row>
    <row r="12" spans="1:6" ht="45">
      <c r="A12" s="10" t="s">
        <v>60</v>
      </c>
      <c r="B12" s="10" t="s">
        <v>2</v>
      </c>
      <c r="C12" s="11" t="s">
        <v>717</v>
      </c>
      <c r="D12" s="12">
        <v>46269.854166666701</v>
      </c>
      <c r="E12" s="12">
        <v>46270.25</v>
      </c>
      <c r="F12" s="11" t="s">
        <v>712</v>
      </c>
    </row>
    <row r="13" spans="1:6" ht="45">
      <c r="A13" s="10" t="s">
        <v>60</v>
      </c>
      <c r="B13" s="10" t="s">
        <v>2</v>
      </c>
      <c r="C13" s="11" t="s">
        <v>718</v>
      </c>
      <c r="D13" s="12">
        <v>46269.854166666701</v>
      </c>
      <c r="E13" s="12">
        <v>46270.25</v>
      </c>
      <c r="F13" s="11" t="s">
        <v>712</v>
      </c>
    </row>
    <row r="14" spans="1:6" ht="45">
      <c r="A14" s="10" t="s">
        <v>60</v>
      </c>
      <c r="B14" s="10" t="s">
        <v>2</v>
      </c>
      <c r="C14" s="11" t="s">
        <v>722</v>
      </c>
      <c r="D14" s="12">
        <v>46269.833333333299</v>
      </c>
      <c r="E14" s="12">
        <v>46270.25</v>
      </c>
      <c r="F14" s="11" t="s">
        <v>723</v>
      </c>
    </row>
    <row r="15" spans="1:6" ht="45">
      <c r="A15" s="10" t="s">
        <v>60</v>
      </c>
      <c r="B15" s="10" t="s">
        <v>2</v>
      </c>
      <c r="C15" s="11" t="s">
        <v>724</v>
      </c>
      <c r="D15" s="12">
        <v>46269.833333333299</v>
      </c>
      <c r="E15" s="12">
        <v>46270</v>
      </c>
      <c r="F15" s="11" t="s">
        <v>723</v>
      </c>
    </row>
    <row r="16" spans="1:6" ht="60">
      <c r="A16" s="10" t="s">
        <v>60</v>
      </c>
      <c r="B16" s="10" t="s">
        <v>2</v>
      </c>
      <c r="C16" s="11" t="s">
        <v>725</v>
      </c>
      <c r="D16" s="12">
        <v>46269.833333333299</v>
      </c>
      <c r="E16" s="12">
        <v>46270.25</v>
      </c>
      <c r="F16" s="11" t="s">
        <v>723</v>
      </c>
    </row>
    <row r="17" spans="1:6" ht="60">
      <c r="A17" s="10" t="s">
        <v>60</v>
      </c>
      <c r="B17" s="10" t="s">
        <v>6</v>
      </c>
      <c r="C17" s="11" t="s">
        <v>195</v>
      </c>
      <c r="D17" s="12">
        <v>46269.833333333299</v>
      </c>
      <c r="E17" s="12">
        <v>46270.25</v>
      </c>
      <c r="F17" s="11" t="s">
        <v>196</v>
      </c>
    </row>
    <row r="18" spans="1:6" ht="45">
      <c r="A18" s="10" t="s">
        <v>60</v>
      </c>
      <c r="B18" s="10" t="s">
        <v>6</v>
      </c>
      <c r="C18" s="11" t="s">
        <v>197</v>
      </c>
      <c r="D18" s="12">
        <v>46269.833333333299</v>
      </c>
      <c r="E18" s="12">
        <v>46270.25</v>
      </c>
      <c r="F18" s="11" t="s">
        <v>196</v>
      </c>
    </row>
    <row r="19" spans="1:6" ht="60">
      <c r="A19" s="10" t="s">
        <v>60</v>
      </c>
      <c r="B19" s="10" t="s">
        <v>6</v>
      </c>
      <c r="C19" s="11" t="s">
        <v>198</v>
      </c>
      <c r="D19" s="12">
        <v>46269.833333333299</v>
      </c>
      <c r="E19" s="12">
        <v>46270.25</v>
      </c>
      <c r="F19" s="11" t="s">
        <v>196</v>
      </c>
    </row>
    <row r="20" spans="1:6" ht="60">
      <c r="A20" s="10" t="s">
        <v>60</v>
      </c>
      <c r="B20" s="10" t="s">
        <v>6</v>
      </c>
      <c r="C20" s="11" t="s">
        <v>199</v>
      </c>
      <c r="D20" s="12">
        <v>46269.833333333299</v>
      </c>
      <c r="E20" s="12">
        <v>46270.25</v>
      </c>
      <c r="F20" s="11" t="s">
        <v>196</v>
      </c>
    </row>
    <row r="21" spans="1:6" ht="45">
      <c r="A21" s="10" t="s">
        <v>60</v>
      </c>
      <c r="B21" s="10" t="s">
        <v>6</v>
      </c>
      <c r="C21" s="11" t="s">
        <v>200</v>
      </c>
      <c r="D21" s="12">
        <v>46269.833333333299</v>
      </c>
      <c r="E21" s="12">
        <v>46270.25</v>
      </c>
      <c r="F21" s="11" t="s">
        <v>196</v>
      </c>
    </row>
    <row r="22" spans="1:6" ht="75">
      <c r="A22" s="10" t="s">
        <v>60</v>
      </c>
      <c r="B22" s="10" t="s">
        <v>6</v>
      </c>
      <c r="C22" s="11" t="s">
        <v>201</v>
      </c>
      <c r="D22" s="12">
        <v>46269.833333333299</v>
      </c>
      <c r="E22" s="12">
        <v>46270.25</v>
      </c>
      <c r="F22" s="11" t="s">
        <v>196</v>
      </c>
    </row>
    <row r="23" spans="1:6" ht="75">
      <c r="A23" s="10" t="s">
        <v>60</v>
      </c>
      <c r="B23" s="10" t="s">
        <v>6</v>
      </c>
      <c r="C23" s="11" t="s">
        <v>583</v>
      </c>
      <c r="D23" s="12">
        <v>46269.833333333299</v>
      </c>
      <c r="E23" s="12">
        <v>46270.25</v>
      </c>
      <c r="F23" s="11" t="s">
        <v>210</v>
      </c>
    </row>
    <row r="24" spans="1:6" ht="75">
      <c r="A24" s="10" t="s">
        <v>60</v>
      </c>
      <c r="B24" s="10" t="s">
        <v>6</v>
      </c>
      <c r="C24" s="11" t="s">
        <v>584</v>
      </c>
      <c r="D24" s="12">
        <v>46269.833333333299</v>
      </c>
      <c r="E24" s="12">
        <v>46270.25</v>
      </c>
      <c r="F24" s="11" t="s">
        <v>210</v>
      </c>
    </row>
    <row r="25" spans="1:6" ht="75">
      <c r="A25" s="10" t="s">
        <v>60</v>
      </c>
      <c r="B25" s="10" t="s">
        <v>6</v>
      </c>
      <c r="C25" s="11" t="s">
        <v>585</v>
      </c>
      <c r="D25" s="12">
        <v>46269.833333333299</v>
      </c>
      <c r="E25" s="12">
        <v>46270.25</v>
      </c>
      <c r="F25" s="11" t="s">
        <v>210</v>
      </c>
    </row>
    <row r="26" spans="1:6" ht="45">
      <c r="A26" s="10" t="s">
        <v>60</v>
      </c>
      <c r="B26" s="10" t="s">
        <v>2</v>
      </c>
      <c r="C26" s="11" t="s">
        <v>586</v>
      </c>
      <c r="D26" s="12">
        <v>46269.833333333299</v>
      </c>
      <c r="E26" s="12">
        <v>46270.25</v>
      </c>
      <c r="F26" s="11" t="s">
        <v>587</v>
      </c>
    </row>
    <row r="27" spans="1:6" ht="60">
      <c r="A27" s="10" t="s">
        <v>60</v>
      </c>
      <c r="B27" s="10" t="s">
        <v>2</v>
      </c>
      <c r="C27" s="11" t="s">
        <v>588</v>
      </c>
      <c r="D27" s="12">
        <v>46269.833333333299</v>
      </c>
      <c r="E27" s="12">
        <v>46270.25</v>
      </c>
      <c r="F27" s="11" t="s">
        <v>587</v>
      </c>
    </row>
    <row r="28" spans="1:6" ht="45">
      <c r="A28" s="10" t="s">
        <v>60</v>
      </c>
      <c r="B28" s="10" t="s">
        <v>2</v>
      </c>
      <c r="C28" s="11" t="s">
        <v>589</v>
      </c>
      <c r="D28" s="12">
        <v>46269.833333333299</v>
      </c>
      <c r="E28" s="12">
        <v>46270.25</v>
      </c>
      <c r="F28" s="11" t="s">
        <v>587</v>
      </c>
    </row>
    <row r="29" spans="1:6" ht="60">
      <c r="A29" s="10" t="s">
        <v>442</v>
      </c>
      <c r="B29" s="10" t="s">
        <v>6</v>
      </c>
      <c r="C29" s="11" t="s">
        <v>443</v>
      </c>
      <c r="D29" s="12">
        <v>46269.833333333299</v>
      </c>
      <c r="E29" s="12">
        <v>46270.166666666701</v>
      </c>
      <c r="F29" s="11" t="s">
        <v>444</v>
      </c>
    </row>
    <row r="30" spans="1:6" ht="60">
      <c r="A30" s="10" t="s">
        <v>32</v>
      </c>
      <c r="B30" s="10" t="s">
        <v>2</v>
      </c>
      <c r="C30" s="11" t="s">
        <v>33</v>
      </c>
      <c r="D30" s="12">
        <v>46269.895833333299</v>
      </c>
      <c r="E30" s="12">
        <v>46270.1875</v>
      </c>
      <c r="F30" s="11" t="s">
        <v>34</v>
      </c>
    </row>
    <row r="31" spans="1:6" ht="60">
      <c r="A31" s="10" t="s">
        <v>32</v>
      </c>
      <c r="B31" s="10" t="s">
        <v>6</v>
      </c>
      <c r="C31" s="11" t="s">
        <v>35</v>
      </c>
      <c r="D31" s="12">
        <v>46269.895833333299</v>
      </c>
      <c r="E31" s="12">
        <v>46270.1875</v>
      </c>
      <c r="F31" s="11" t="s">
        <v>34</v>
      </c>
    </row>
    <row r="32" spans="1:6" ht="60">
      <c r="A32" s="10" t="s">
        <v>32</v>
      </c>
      <c r="B32" s="10" t="s">
        <v>2</v>
      </c>
      <c r="C32" s="11" t="s">
        <v>539</v>
      </c>
      <c r="D32" s="12">
        <v>46269.833333333299</v>
      </c>
      <c r="E32" s="12">
        <v>46270.25</v>
      </c>
      <c r="F32" s="11" t="s">
        <v>540</v>
      </c>
    </row>
    <row r="33" spans="1:6" ht="60">
      <c r="A33" s="10" t="s">
        <v>32</v>
      </c>
      <c r="B33" s="10" t="s">
        <v>2</v>
      </c>
      <c r="C33" s="11" t="s">
        <v>674</v>
      </c>
      <c r="D33" s="12">
        <v>46269.833333333299</v>
      </c>
      <c r="E33" s="12">
        <v>46270.25</v>
      </c>
      <c r="F33" s="11" t="s">
        <v>675</v>
      </c>
    </row>
    <row r="34" spans="1:6" ht="60">
      <c r="A34" s="10" t="s">
        <v>32</v>
      </c>
      <c r="B34" s="10" t="s">
        <v>2</v>
      </c>
      <c r="C34" s="11" t="s">
        <v>676</v>
      </c>
      <c r="D34" s="12">
        <v>46269.833333333299</v>
      </c>
      <c r="E34" s="12">
        <v>46270.25</v>
      </c>
      <c r="F34" s="11" t="s">
        <v>675</v>
      </c>
    </row>
    <row r="35" spans="1:6" ht="75">
      <c r="A35" s="10" t="s">
        <v>17</v>
      </c>
      <c r="B35" s="10" t="s">
        <v>6</v>
      </c>
      <c r="C35" s="11" t="s">
        <v>18</v>
      </c>
      <c r="D35" s="12">
        <v>46269.875</v>
      </c>
      <c r="E35" s="12">
        <v>46270.208333333299</v>
      </c>
      <c r="F35" s="11" t="s">
        <v>19</v>
      </c>
    </row>
    <row r="36" spans="1:6" ht="60">
      <c r="A36" s="10" t="s">
        <v>29</v>
      </c>
      <c r="B36" s="10" t="s">
        <v>5</v>
      </c>
      <c r="C36" s="11" t="s">
        <v>668</v>
      </c>
      <c r="D36" s="12">
        <v>46269.833333333299</v>
      </c>
      <c r="E36" s="12">
        <v>46270.25</v>
      </c>
      <c r="F36" s="11" t="s">
        <v>669</v>
      </c>
    </row>
    <row r="37" spans="1:6" ht="45">
      <c r="A37" s="10" t="s">
        <v>29</v>
      </c>
      <c r="B37" s="10" t="s">
        <v>5</v>
      </c>
      <c r="C37" s="11" t="s">
        <v>670</v>
      </c>
      <c r="D37" s="12">
        <v>46269.895833333299</v>
      </c>
      <c r="E37" s="12">
        <v>46270.25</v>
      </c>
      <c r="F37" s="11" t="s">
        <v>31</v>
      </c>
    </row>
    <row r="38" spans="1:6" ht="60">
      <c r="A38" s="10" t="s">
        <v>29</v>
      </c>
      <c r="B38" s="10" t="s">
        <v>5</v>
      </c>
      <c r="C38" s="11" t="s">
        <v>39</v>
      </c>
      <c r="D38" s="12">
        <v>46269.833333333299</v>
      </c>
      <c r="E38" s="12">
        <v>46270.25</v>
      </c>
      <c r="F38" s="11" t="s">
        <v>40</v>
      </c>
    </row>
    <row r="39" spans="1:6" ht="75">
      <c r="A39" s="10" t="s">
        <v>29</v>
      </c>
      <c r="B39" s="10" t="s">
        <v>5</v>
      </c>
      <c r="C39" s="11" t="s">
        <v>41</v>
      </c>
      <c r="D39" s="12">
        <v>46269.833333333299</v>
      </c>
      <c r="E39" s="12">
        <v>46270.25</v>
      </c>
      <c r="F39" s="11" t="s">
        <v>40</v>
      </c>
    </row>
    <row r="40" spans="1:6" ht="75">
      <c r="A40" s="10" t="s">
        <v>29</v>
      </c>
      <c r="B40" s="10" t="s">
        <v>5</v>
      </c>
      <c r="C40" s="11" t="s">
        <v>677</v>
      </c>
      <c r="D40" s="12">
        <v>46269.875</v>
      </c>
      <c r="E40" s="12">
        <v>46270.208333333299</v>
      </c>
      <c r="F40" s="11" t="s">
        <v>678</v>
      </c>
    </row>
    <row r="41" spans="1:6" ht="75">
      <c r="A41" s="10" t="s">
        <v>29</v>
      </c>
      <c r="B41" s="10" t="s">
        <v>5</v>
      </c>
      <c r="C41" s="11" t="s">
        <v>93</v>
      </c>
      <c r="D41" s="12">
        <v>46266.541666666701</v>
      </c>
      <c r="E41" s="12">
        <v>46270.25</v>
      </c>
      <c r="F41" s="11" t="s">
        <v>94</v>
      </c>
    </row>
    <row r="42" spans="1:6" ht="75">
      <c r="A42" s="10" t="s">
        <v>29</v>
      </c>
      <c r="B42" s="10" t="s">
        <v>5</v>
      </c>
      <c r="C42" s="11" t="s">
        <v>95</v>
      </c>
      <c r="D42" s="12">
        <v>46269.833333333299</v>
      </c>
      <c r="E42" s="12">
        <v>46270.25</v>
      </c>
      <c r="F42" s="11" t="s">
        <v>94</v>
      </c>
    </row>
    <row r="43" spans="1:6" ht="75">
      <c r="A43" s="10" t="s">
        <v>29</v>
      </c>
      <c r="B43" s="10" t="s">
        <v>5</v>
      </c>
      <c r="C43" s="11" t="s">
        <v>96</v>
      </c>
      <c r="D43" s="12">
        <v>46269.833333333299</v>
      </c>
      <c r="E43" s="12">
        <v>46270.25</v>
      </c>
      <c r="F43" s="11" t="s">
        <v>94</v>
      </c>
    </row>
    <row r="44" spans="1:6" ht="75">
      <c r="A44" s="10" t="s">
        <v>29</v>
      </c>
      <c r="B44" s="10" t="s">
        <v>5</v>
      </c>
      <c r="C44" s="11" t="s">
        <v>97</v>
      </c>
      <c r="D44" s="12">
        <v>46269.833333333299</v>
      </c>
      <c r="E44" s="12">
        <v>46270.25</v>
      </c>
      <c r="F44" s="11" t="s">
        <v>94</v>
      </c>
    </row>
    <row r="45" spans="1:6" ht="90">
      <c r="A45" s="10" t="s">
        <v>29</v>
      </c>
      <c r="B45" s="10" t="s">
        <v>5</v>
      </c>
      <c r="C45" s="11" t="s">
        <v>98</v>
      </c>
      <c r="D45" s="12">
        <v>46269.833333333299</v>
      </c>
      <c r="E45" s="12">
        <v>46270.25</v>
      </c>
      <c r="F45" s="11" t="s">
        <v>94</v>
      </c>
    </row>
    <row r="46" spans="1:6" ht="75">
      <c r="A46" s="10" t="s">
        <v>29</v>
      </c>
      <c r="B46" s="10" t="s">
        <v>5</v>
      </c>
      <c r="C46" s="11" t="s">
        <v>99</v>
      </c>
      <c r="D46" s="12">
        <v>46269.833333333299</v>
      </c>
      <c r="E46" s="12">
        <v>46270.25</v>
      </c>
      <c r="F46" s="11" t="s">
        <v>94</v>
      </c>
    </row>
    <row r="47" spans="1:6" ht="75">
      <c r="A47" s="10" t="s">
        <v>29</v>
      </c>
      <c r="B47" s="10" t="s">
        <v>5</v>
      </c>
      <c r="C47" s="11" t="s">
        <v>100</v>
      </c>
      <c r="D47" s="12">
        <v>46269.833333333299</v>
      </c>
      <c r="E47" s="12">
        <v>46270.25</v>
      </c>
      <c r="F47" s="11" t="s">
        <v>94</v>
      </c>
    </row>
    <row r="48" spans="1:6" ht="60">
      <c r="A48" s="10" t="s">
        <v>29</v>
      </c>
      <c r="B48" s="10" t="s">
        <v>5</v>
      </c>
      <c r="C48" s="11" t="s">
        <v>101</v>
      </c>
      <c r="D48" s="12">
        <v>46269.833333333299</v>
      </c>
      <c r="E48" s="12">
        <v>46270.25</v>
      </c>
      <c r="F48" s="11" t="s">
        <v>94</v>
      </c>
    </row>
    <row r="49" spans="1:6" ht="60">
      <c r="A49" s="10" t="s">
        <v>705</v>
      </c>
      <c r="B49" s="10" t="s">
        <v>4</v>
      </c>
      <c r="C49" s="11" t="s">
        <v>706</v>
      </c>
      <c r="D49" s="12">
        <v>46269.833333333299</v>
      </c>
      <c r="E49" s="12">
        <v>46270.25</v>
      </c>
      <c r="F49" s="11" t="s">
        <v>707</v>
      </c>
    </row>
    <row r="50" spans="1:6" ht="60">
      <c r="A50" s="10" t="s">
        <v>705</v>
      </c>
      <c r="B50" s="10" t="s">
        <v>4</v>
      </c>
      <c r="C50" s="11" t="s">
        <v>708</v>
      </c>
      <c r="D50" s="12">
        <v>46269.833333333299</v>
      </c>
      <c r="E50" s="12">
        <v>46270.25</v>
      </c>
      <c r="F50" s="11" t="s">
        <v>707</v>
      </c>
    </row>
    <row r="51" spans="1:6" ht="90">
      <c r="A51" s="10" t="s">
        <v>228</v>
      </c>
      <c r="B51" s="10" t="s">
        <v>23</v>
      </c>
      <c r="C51" s="11" t="s">
        <v>229</v>
      </c>
      <c r="D51" s="12">
        <v>46269.833333333299</v>
      </c>
      <c r="E51" s="12">
        <v>46270.25</v>
      </c>
      <c r="F51" s="11" t="s">
        <v>226</v>
      </c>
    </row>
    <row r="52" spans="1:6" ht="90">
      <c r="A52" s="10" t="s">
        <v>228</v>
      </c>
      <c r="B52" s="10" t="s">
        <v>4</v>
      </c>
      <c r="C52" s="11" t="s">
        <v>230</v>
      </c>
      <c r="D52" s="12">
        <v>46269.833333333299</v>
      </c>
      <c r="E52" s="12">
        <v>46270.25</v>
      </c>
      <c r="F52" s="11" t="s">
        <v>226</v>
      </c>
    </row>
    <row r="53" spans="1:6" ht="90">
      <c r="A53" s="10" t="s">
        <v>228</v>
      </c>
      <c r="B53" s="10" t="s">
        <v>5</v>
      </c>
      <c r="C53" s="11" t="s">
        <v>231</v>
      </c>
      <c r="D53" s="12">
        <v>46269.833333333299</v>
      </c>
      <c r="E53" s="12">
        <v>46270.25</v>
      </c>
      <c r="F53" s="11" t="s">
        <v>226</v>
      </c>
    </row>
    <row r="54" spans="1:6" ht="90">
      <c r="A54" s="10" t="s">
        <v>221</v>
      </c>
      <c r="B54" s="10" t="s">
        <v>2</v>
      </c>
      <c r="C54" s="11" t="s">
        <v>222</v>
      </c>
      <c r="D54" s="12">
        <v>46269.833333333299</v>
      </c>
      <c r="E54" s="12">
        <v>46270.25</v>
      </c>
      <c r="F54" s="11" t="s">
        <v>223</v>
      </c>
    </row>
    <row r="55" spans="1:6" ht="90">
      <c r="A55" s="10" t="s">
        <v>221</v>
      </c>
      <c r="B55" s="10" t="s">
        <v>6</v>
      </c>
      <c r="C55" s="11" t="s">
        <v>224</v>
      </c>
      <c r="D55" s="12">
        <v>46269.833333333299</v>
      </c>
      <c r="E55" s="12">
        <v>46270.25</v>
      </c>
      <c r="F55" s="11" t="s">
        <v>223</v>
      </c>
    </row>
    <row r="56" spans="1:6" ht="90">
      <c r="A56" s="10" t="s">
        <v>221</v>
      </c>
      <c r="B56" s="10" t="s">
        <v>6</v>
      </c>
      <c r="C56" s="11" t="s">
        <v>225</v>
      </c>
      <c r="D56" s="12">
        <v>46269.833333333299</v>
      </c>
      <c r="E56" s="12">
        <v>46270.25</v>
      </c>
      <c r="F56" s="11" t="s">
        <v>226</v>
      </c>
    </row>
    <row r="57" spans="1:6" ht="90">
      <c r="A57" s="10" t="s">
        <v>221</v>
      </c>
      <c r="B57" s="10" t="s">
        <v>2</v>
      </c>
      <c r="C57" s="11" t="s">
        <v>227</v>
      </c>
      <c r="D57" s="12">
        <v>46269.833333333299</v>
      </c>
      <c r="E57" s="12">
        <v>46270.25</v>
      </c>
      <c r="F57" s="11" t="s">
        <v>226</v>
      </c>
    </row>
    <row r="58" spans="1:6" ht="90">
      <c r="A58" s="10" t="s">
        <v>221</v>
      </c>
      <c r="B58" s="10" t="s">
        <v>2</v>
      </c>
      <c r="C58" s="11" t="s">
        <v>232</v>
      </c>
      <c r="D58" s="12">
        <v>46269.833333333299</v>
      </c>
      <c r="E58" s="12">
        <v>46270.25</v>
      </c>
      <c r="F58" s="11" t="s">
        <v>233</v>
      </c>
    </row>
    <row r="59" spans="1:6" ht="75">
      <c r="A59" s="10" t="s">
        <v>392</v>
      </c>
      <c r="B59" s="10" t="s">
        <v>5</v>
      </c>
      <c r="C59" s="11" t="s">
        <v>753</v>
      </c>
      <c r="D59" s="12">
        <v>46269.833333333299</v>
      </c>
      <c r="E59" s="12">
        <v>46270.25</v>
      </c>
      <c r="F59" s="11" t="s">
        <v>754</v>
      </c>
    </row>
    <row r="60" spans="1:6" ht="60">
      <c r="A60" s="10" t="s">
        <v>392</v>
      </c>
      <c r="B60" s="10" t="s">
        <v>5</v>
      </c>
      <c r="C60" s="11" t="s">
        <v>755</v>
      </c>
      <c r="D60" s="12">
        <v>46269.833333333299</v>
      </c>
      <c r="E60" s="12">
        <v>46270.25</v>
      </c>
      <c r="F60" s="11" t="s">
        <v>754</v>
      </c>
    </row>
    <row r="61" spans="1:6" ht="90">
      <c r="A61" s="10" t="s">
        <v>392</v>
      </c>
      <c r="B61" s="10" t="s">
        <v>5</v>
      </c>
      <c r="C61" s="11" t="s">
        <v>756</v>
      </c>
      <c r="D61" s="12">
        <v>46269.833333333299</v>
      </c>
      <c r="E61" s="12">
        <v>46270.25</v>
      </c>
      <c r="F61" s="11" t="s">
        <v>754</v>
      </c>
    </row>
    <row r="62" spans="1:6" ht="90">
      <c r="A62" s="10" t="s">
        <v>392</v>
      </c>
      <c r="B62" s="10" t="s">
        <v>5</v>
      </c>
      <c r="C62" s="11" t="s">
        <v>757</v>
      </c>
      <c r="D62" s="12">
        <v>46269.833333333299</v>
      </c>
      <c r="E62" s="12">
        <v>46270.25</v>
      </c>
      <c r="F62" s="11" t="s">
        <v>754</v>
      </c>
    </row>
    <row r="63" spans="1:6" ht="60">
      <c r="A63" s="10" t="s">
        <v>392</v>
      </c>
      <c r="B63" s="10" t="s">
        <v>5</v>
      </c>
      <c r="C63" s="11" t="s">
        <v>758</v>
      </c>
      <c r="D63" s="12">
        <v>46269.833333333299</v>
      </c>
      <c r="E63" s="12">
        <v>46270.25</v>
      </c>
      <c r="F63" s="11" t="s">
        <v>754</v>
      </c>
    </row>
    <row r="64" spans="1:6" ht="75">
      <c r="A64" s="10" t="s">
        <v>392</v>
      </c>
      <c r="B64" s="10" t="s">
        <v>4</v>
      </c>
      <c r="C64" s="11" t="s">
        <v>761</v>
      </c>
      <c r="D64" s="12">
        <v>46269.875</v>
      </c>
      <c r="E64" s="12">
        <v>46270.25</v>
      </c>
      <c r="F64" s="11" t="s">
        <v>762</v>
      </c>
    </row>
    <row r="65" spans="1:6" ht="60">
      <c r="A65" s="10" t="s">
        <v>392</v>
      </c>
      <c r="B65" s="10" t="s">
        <v>5</v>
      </c>
      <c r="C65" s="11" t="s">
        <v>766</v>
      </c>
      <c r="D65" s="12">
        <v>46269.833333333299</v>
      </c>
      <c r="E65" s="12">
        <v>46270.25</v>
      </c>
      <c r="F65" s="11" t="s">
        <v>767</v>
      </c>
    </row>
    <row r="66" spans="1:6" ht="60">
      <c r="A66" s="10" t="s">
        <v>424</v>
      </c>
      <c r="B66" s="10" t="s">
        <v>5</v>
      </c>
      <c r="C66" s="11" t="s">
        <v>425</v>
      </c>
      <c r="D66" s="12">
        <v>46269.958333333299</v>
      </c>
      <c r="E66" s="12">
        <v>46270.229166666701</v>
      </c>
      <c r="F66" s="11" t="s">
        <v>426</v>
      </c>
    </row>
    <row r="67" spans="1:6" ht="60">
      <c r="A67" s="10" t="s">
        <v>380</v>
      </c>
      <c r="B67" s="10" t="s">
        <v>6</v>
      </c>
      <c r="C67" s="11" t="s">
        <v>751</v>
      </c>
      <c r="D67" s="12">
        <v>46269.833333333299</v>
      </c>
      <c r="E67" s="12">
        <v>46270.208333333299</v>
      </c>
      <c r="F67" s="11" t="s">
        <v>752</v>
      </c>
    </row>
    <row r="68" spans="1:6" ht="60">
      <c r="A68" s="10" t="s">
        <v>380</v>
      </c>
      <c r="B68" s="10" t="s">
        <v>2</v>
      </c>
      <c r="C68" s="11" t="s">
        <v>396</v>
      </c>
      <c r="D68" s="12">
        <v>46269.833333333299</v>
      </c>
      <c r="E68" s="12">
        <v>46270.25</v>
      </c>
      <c r="F68" s="11" t="s">
        <v>397</v>
      </c>
    </row>
    <row r="69" spans="1:6" ht="60">
      <c r="A69" s="10" t="s">
        <v>380</v>
      </c>
      <c r="B69" s="10" t="s">
        <v>6</v>
      </c>
      <c r="C69" s="11" t="s">
        <v>398</v>
      </c>
      <c r="D69" s="12">
        <v>46269.833333333299</v>
      </c>
      <c r="E69" s="12">
        <v>46270.25</v>
      </c>
      <c r="F69" s="11" t="s">
        <v>397</v>
      </c>
    </row>
    <row r="70" spans="1:6" ht="60">
      <c r="A70" s="10" t="s">
        <v>383</v>
      </c>
      <c r="B70" s="10" t="s">
        <v>6</v>
      </c>
      <c r="C70" s="11" t="s">
        <v>747</v>
      </c>
      <c r="D70" s="12">
        <v>46269.833333333299</v>
      </c>
      <c r="E70" s="12">
        <v>46270.25</v>
      </c>
      <c r="F70" s="11" t="s">
        <v>748</v>
      </c>
    </row>
    <row r="71" spans="1:6" ht="60">
      <c r="A71" s="10" t="s">
        <v>383</v>
      </c>
      <c r="B71" s="10" t="s">
        <v>6</v>
      </c>
      <c r="C71" s="11" t="s">
        <v>749</v>
      </c>
      <c r="D71" s="12">
        <v>46269.833333333299</v>
      </c>
      <c r="E71" s="12">
        <v>46270.25</v>
      </c>
      <c r="F71" s="11" t="s">
        <v>748</v>
      </c>
    </row>
    <row r="72" spans="1:6" ht="60">
      <c r="A72" s="10" t="s">
        <v>383</v>
      </c>
      <c r="B72" s="10" t="s">
        <v>6</v>
      </c>
      <c r="C72" s="11" t="s">
        <v>750</v>
      </c>
      <c r="D72" s="12">
        <v>46269.833333333299</v>
      </c>
      <c r="E72" s="12">
        <v>46270.25</v>
      </c>
      <c r="F72" s="11" t="s">
        <v>748</v>
      </c>
    </row>
    <row r="73" spans="1:6" ht="60">
      <c r="A73" s="10" t="s">
        <v>383</v>
      </c>
      <c r="B73" s="10" t="s">
        <v>2</v>
      </c>
      <c r="C73" s="11" t="s">
        <v>404</v>
      </c>
      <c r="D73" s="12">
        <v>46269.833333333299</v>
      </c>
      <c r="E73" s="12">
        <v>46270.25</v>
      </c>
      <c r="F73" s="11" t="s">
        <v>405</v>
      </c>
    </row>
    <row r="74" spans="1:6" ht="60">
      <c r="A74" s="10" t="s">
        <v>383</v>
      </c>
      <c r="B74" s="10" t="s">
        <v>2</v>
      </c>
      <c r="C74" s="11" t="s">
        <v>406</v>
      </c>
      <c r="D74" s="12">
        <v>46269.833333333299</v>
      </c>
      <c r="E74" s="12">
        <v>46270.25</v>
      </c>
      <c r="F74" s="11" t="s">
        <v>405</v>
      </c>
    </row>
    <row r="75" spans="1:6" ht="105">
      <c r="A75" s="10" t="s">
        <v>376</v>
      </c>
      <c r="B75" s="10" t="s">
        <v>5</v>
      </c>
      <c r="C75" s="11" t="s">
        <v>629</v>
      </c>
      <c r="D75" s="12">
        <v>46269.875</v>
      </c>
      <c r="E75" s="12">
        <v>46270.25</v>
      </c>
      <c r="F75" s="11" t="s">
        <v>630</v>
      </c>
    </row>
    <row r="76" spans="1:6" ht="105">
      <c r="A76" s="10" t="s">
        <v>376</v>
      </c>
      <c r="B76" s="10" t="s">
        <v>4</v>
      </c>
      <c r="C76" s="11" t="s">
        <v>377</v>
      </c>
      <c r="D76" s="12">
        <v>46269.833333333299</v>
      </c>
      <c r="E76" s="12">
        <v>46270.25</v>
      </c>
      <c r="F76" s="11" t="s">
        <v>378</v>
      </c>
    </row>
    <row r="77" spans="1:6" ht="105">
      <c r="A77" s="10" t="s">
        <v>376</v>
      </c>
      <c r="B77" s="10" t="s">
        <v>5</v>
      </c>
      <c r="C77" s="11" t="s">
        <v>379</v>
      </c>
      <c r="D77" s="12">
        <v>46269.833333333299</v>
      </c>
      <c r="E77" s="12">
        <v>46270.25</v>
      </c>
      <c r="F77" s="11" t="s">
        <v>378</v>
      </c>
    </row>
    <row r="78" spans="1:6" ht="75">
      <c r="A78" s="10" t="s">
        <v>376</v>
      </c>
      <c r="B78" s="10" t="s">
        <v>4</v>
      </c>
      <c r="C78" s="11" t="s">
        <v>759</v>
      </c>
      <c r="D78" s="12">
        <v>46269.875</v>
      </c>
      <c r="E78" s="12">
        <v>46270.25</v>
      </c>
      <c r="F78" s="11" t="s">
        <v>760</v>
      </c>
    </row>
    <row r="79" spans="1:6" ht="75">
      <c r="A79" s="10" t="s">
        <v>420</v>
      </c>
      <c r="B79" s="10" t="s">
        <v>2</v>
      </c>
      <c r="C79" s="11" t="s">
        <v>421</v>
      </c>
      <c r="D79" s="12">
        <v>46269.895833333299</v>
      </c>
      <c r="E79" s="12">
        <v>46270.229166666701</v>
      </c>
      <c r="F79" s="11" t="s">
        <v>422</v>
      </c>
    </row>
    <row r="80" spans="1:6" ht="75">
      <c r="A80" s="10" t="s">
        <v>420</v>
      </c>
      <c r="B80" s="10" t="s">
        <v>2</v>
      </c>
      <c r="C80" s="11" t="s">
        <v>423</v>
      </c>
      <c r="D80" s="12">
        <v>46269.895833333299</v>
      </c>
      <c r="E80" s="12">
        <v>46270.229166666701</v>
      </c>
      <c r="F80" s="11" t="s">
        <v>422</v>
      </c>
    </row>
    <row r="81" spans="1:6" ht="75">
      <c r="A81" s="10" t="s">
        <v>420</v>
      </c>
      <c r="B81" s="10" t="s">
        <v>6</v>
      </c>
      <c r="C81" s="11" t="s">
        <v>436</v>
      </c>
      <c r="D81" s="12">
        <v>46269.958333333299</v>
      </c>
      <c r="E81" s="12">
        <v>46270.25</v>
      </c>
      <c r="F81" s="11" t="s">
        <v>768</v>
      </c>
    </row>
    <row r="82" spans="1:6" ht="75">
      <c r="A82" s="10" t="s">
        <v>420</v>
      </c>
      <c r="B82" s="10" t="s">
        <v>6</v>
      </c>
      <c r="C82" s="11" t="s">
        <v>769</v>
      </c>
      <c r="D82" s="12">
        <v>46269.958333333299</v>
      </c>
      <c r="E82" s="12">
        <v>46270.25</v>
      </c>
      <c r="F82" s="11" t="s">
        <v>768</v>
      </c>
    </row>
    <row r="83" spans="1:6" ht="75">
      <c r="A83" s="10" t="s">
        <v>357</v>
      </c>
      <c r="B83" s="10" t="s">
        <v>23</v>
      </c>
      <c r="C83" s="11" t="s">
        <v>358</v>
      </c>
      <c r="D83" s="12">
        <v>46269.875</v>
      </c>
      <c r="E83" s="12">
        <v>46270.25</v>
      </c>
      <c r="F83" s="11" t="s">
        <v>359</v>
      </c>
    </row>
    <row r="84" spans="1:6" ht="75">
      <c r="A84" s="10" t="s">
        <v>357</v>
      </c>
      <c r="B84" s="10" t="s">
        <v>2</v>
      </c>
      <c r="C84" s="11" t="s">
        <v>445</v>
      </c>
      <c r="D84" s="12">
        <v>46269.958333333299</v>
      </c>
      <c r="E84" s="12">
        <v>46270.25</v>
      </c>
      <c r="F84" s="11" t="s">
        <v>446</v>
      </c>
    </row>
    <row r="85" spans="1:6" ht="75">
      <c r="A85" s="10" t="s">
        <v>357</v>
      </c>
      <c r="B85" s="10" t="s">
        <v>2</v>
      </c>
      <c r="C85" s="11" t="s">
        <v>447</v>
      </c>
      <c r="D85" s="12">
        <v>46269.958333333299</v>
      </c>
      <c r="E85" s="12">
        <v>46270.25</v>
      </c>
      <c r="F85" s="11" t="s">
        <v>446</v>
      </c>
    </row>
    <row r="86" spans="1:6" ht="75">
      <c r="A86" s="10" t="s">
        <v>452</v>
      </c>
      <c r="B86" s="10" t="s">
        <v>5</v>
      </c>
      <c r="C86" s="11" t="s">
        <v>770</v>
      </c>
      <c r="D86" s="12">
        <v>46269.958333333299</v>
      </c>
      <c r="E86" s="12">
        <v>46270.25</v>
      </c>
      <c r="F86" s="11" t="s">
        <v>771</v>
      </c>
    </row>
    <row r="87" spans="1:6" ht="75">
      <c r="A87" s="10" t="s">
        <v>452</v>
      </c>
      <c r="B87" s="10" t="s">
        <v>4</v>
      </c>
      <c r="C87" s="11" t="s">
        <v>460</v>
      </c>
      <c r="D87" s="12">
        <v>46269.833333333299</v>
      </c>
      <c r="E87" s="12">
        <v>46270.25</v>
      </c>
      <c r="F87" s="11" t="s">
        <v>461</v>
      </c>
    </row>
    <row r="88" spans="1:6" ht="90">
      <c r="A88" s="10" t="s">
        <v>345</v>
      </c>
      <c r="B88" s="10" t="s">
        <v>5</v>
      </c>
      <c r="C88" s="11" t="s">
        <v>346</v>
      </c>
      <c r="D88" s="12">
        <v>46269.875</v>
      </c>
      <c r="E88" s="12">
        <v>46270.25</v>
      </c>
      <c r="F88" s="11" t="s">
        <v>347</v>
      </c>
    </row>
    <row r="89" spans="1:6" ht="45">
      <c r="A89" s="10" t="s">
        <v>345</v>
      </c>
      <c r="B89" s="10" t="s">
        <v>4</v>
      </c>
      <c r="C89" s="11" t="s">
        <v>348</v>
      </c>
      <c r="D89" s="12">
        <v>46269.875</v>
      </c>
      <c r="E89" s="12">
        <v>46270.25</v>
      </c>
      <c r="F89" s="11" t="s">
        <v>347</v>
      </c>
    </row>
    <row r="90" spans="1:6" ht="75">
      <c r="A90" s="10" t="s">
        <v>345</v>
      </c>
      <c r="B90" s="10" t="s">
        <v>4</v>
      </c>
      <c r="C90" s="11" t="s">
        <v>360</v>
      </c>
      <c r="D90" s="12">
        <v>46269.875</v>
      </c>
      <c r="E90" s="12">
        <v>46270.25</v>
      </c>
      <c r="F90" s="11" t="s">
        <v>361</v>
      </c>
    </row>
    <row r="91" spans="1:6" ht="75">
      <c r="A91" s="10" t="s">
        <v>371</v>
      </c>
      <c r="B91" s="10" t="s">
        <v>4</v>
      </c>
      <c r="C91" s="11" t="s">
        <v>372</v>
      </c>
      <c r="D91" s="12">
        <v>46269.875</v>
      </c>
      <c r="E91" s="12">
        <v>46270.25</v>
      </c>
      <c r="F91" s="11" t="s">
        <v>373</v>
      </c>
    </row>
    <row r="92" spans="1:6" ht="75">
      <c r="A92" s="10" t="s">
        <v>371</v>
      </c>
      <c r="B92" s="10" t="s">
        <v>4</v>
      </c>
      <c r="C92" s="11" t="s">
        <v>374</v>
      </c>
      <c r="D92" s="12">
        <v>46269.875</v>
      </c>
      <c r="E92" s="12">
        <v>46270.25</v>
      </c>
      <c r="F92" s="11" t="s">
        <v>373</v>
      </c>
    </row>
    <row r="93" spans="1:6" ht="90">
      <c r="A93" s="10" t="s">
        <v>330</v>
      </c>
      <c r="B93" s="10" t="s">
        <v>2</v>
      </c>
      <c r="C93" s="11" t="s">
        <v>331</v>
      </c>
      <c r="D93" s="12">
        <v>46269.875</v>
      </c>
      <c r="E93" s="12">
        <v>46270.25</v>
      </c>
      <c r="F93" s="11" t="s">
        <v>332</v>
      </c>
    </row>
    <row r="94" spans="1:6" ht="90">
      <c r="A94" s="10" t="s">
        <v>330</v>
      </c>
      <c r="B94" s="10" t="s">
        <v>2</v>
      </c>
      <c r="C94" s="11" t="s">
        <v>740</v>
      </c>
      <c r="D94" s="12">
        <v>46269.875</v>
      </c>
      <c r="E94" s="12">
        <v>46270.25</v>
      </c>
      <c r="F94" s="11" t="s">
        <v>741</v>
      </c>
    </row>
    <row r="95" spans="1:6" ht="90">
      <c r="A95" s="10" t="s">
        <v>330</v>
      </c>
      <c r="B95" s="10" t="s">
        <v>2</v>
      </c>
      <c r="C95" s="11" t="s">
        <v>742</v>
      </c>
      <c r="D95" s="12">
        <v>46269.875</v>
      </c>
      <c r="E95" s="12">
        <v>46270.25</v>
      </c>
      <c r="F95" s="11" t="s">
        <v>741</v>
      </c>
    </row>
    <row r="96" spans="1:6" ht="45">
      <c r="A96" s="10" t="s">
        <v>330</v>
      </c>
      <c r="B96" s="10" t="s">
        <v>2</v>
      </c>
      <c r="C96" s="11" t="s">
        <v>633</v>
      </c>
      <c r="D96" s="12">
        <v>46269.875</v>
      </c>
      <c r="E96" s="12">
        <v>46270.25</v>
      </c>
      <c r="F96" s="11" t="s">
        <v>634</v>
      </c>
    </row>
    <row r="97" spans="1:6" ht="75">
      <c r="A97" s="10" t="s">
        <v>330</v>
      </c>
      <c r="B97" s="10" t="s">
        <v>6</v>
      </c>
      <c r="C97" s="11" t="s">
        <v>635</v>
      </c>
      <c r="D97" s="12">
        <v>46269.875</v>
      </c>
      <c r="E97" s="12">
        <v>46270.25</v>
      </c>
      <c r="F97" s="11" t="s">
        <v>634</v>
      </c>
    </row>
    <row r="98" spans="1:6" ht="75">
      <c r="A98" s="10" t="s">
        <v>487</v>
      </c>
      <c r="B98" s="10" t="s">
        <v>23</v>
      </c>
      <c r="C98" s="11" t="s">
        <v>488</v>
      </c>
      <c r="D98" s="12">
        <v>46269.833333333299</v>
      </c>
      <c r="E98" s="12">
        <v>46270.25</v>
      </c>
      <c r="F98" s="11" t="s">
        <v>489</v>
      </c>
    </row>
    <row r="99" spans="1:6" ht="75">
      <c r="A99" s="10" t="s">
        <v>473</v>
      </c>
      <c r="B99" s="10" t="s">
        <v>23</v>
      </c>
      <c r="C99" s="11" t="s">
        <v>474</v>
      </c>
      <c r="D99" s="12">
        <v>46269.833333333299</v>
      </c>
      <c r="E99" s="12">
        <v>46270.25</v>
      </c>
      <c r="F99" s="11" t="s">
        <v>475</v>
      </c>
    </row>
    <row r="100" spans="1:6" ht="75">
      <c r="A100" s="10" t="s">
        <v>102</v>
      </c>
      <c r="B100" s="10" t="s">
        <v>5</v>
      </c>
      <c r="C100" s="11" t="s">
        <v>462</v>
      </c>
      <c r="D100" s="12">
        <v>46269.875</v>
      </c>
      <c r="E100" s="12">
        <v>46270.25</v>
      </c>
      <c r="F100" s="11" t="s">
        <v>463</v>
      </c>
    </row>
    <row r="101" spans="1:6" ht="75">
      <c r="A101" s="10" t="s">
        <v>102</v>
      </c>
      <c r="B101" s="10" t="s">
        <v>4</v>
      </c>
      <c r="C101" s="11" t="s">
        <v>464</v>
      </c>
      <c r="D101" s="12">
        <v>46269.833333333299</v>
      </c>
      <c r="E101" s="12">
        <v>46270.25</v>
      </c>
      <c r="F101" s="11" t="s">
        <v>465</v>
      </c>
    </row>
    <row r="102" spans="1:6" ht="75">
      <c r="A102" s="10" t="s">
        <v>102</v>
      </c>
      <c r="B102" s="10" t="s">
        <v>5</v>
      </c>
      <c r="C102" s="11" t="s">
        <v>652</v>
      </c>
      <c r="D102" s="12">
        <v>46269.833333333299</v>
      </c>
      <c r="E102" s="12">
        <v>46270.25</v>
      </c>
      <c r="F102" s="11" t="s">
        <v>653</v>
      </c>
    </row>
    <row r="103" spans="1:6" ht="75">
      <c r="A103" s="10" t="s">
        <v>102</v>
      </c>
      <c r="B103" s="10" t="s">
        <v>5</v>
      </c>
      <c r="C103" s="11" t="s">
        <v>466</v>
      </c>
      <c r="D103" s="12">
        <v>46269.875</v>
      </c>
      <c r="E103" s="12">
        <v>46270.25</v>
      </c>
      <c r="F103" s="11" t="s">
        <v>467</v>
      </c>
    </row>
    <row r="104" spans="1:6" ht="60">
      <c r="A104" s="10" t="s">
        <v>102</v>
      </c>
      <c r="B104" s="10" t="s">
        <v>6</v>
      </c>
      <c r="C104" s="11" t="s">
        <v>495</v>
      </c>
      <c r="D104" s="12">
        <v>46202.875</v>
      </c>
      <c r="E104" s="12">
        <v>46508.208333333299</v>
      </c>
      <c r="F104" s="11" t="s">
        <v>496</v>
      </c>
    </row>
    <row r="105" spans="1:6" ht="60">
      <c r="A105" s="10" t="s">
        <v>102</v>
      </c>
      <c r="B105" s="10" t="s">
        <v>2</v>
      </c>
      <c r="C105" s="11" t="s">
        <v>497</v>
      </c>
      <c r="D105" s="12">
        <v>46266.333333333299</v>
      </c>
      <c r="E105" s="12">
        <v>46477</v>
      </c>
      <c r="F105" s="11" t="s">
        <v>496</v>
      </c>
    </row>
    <row r="106" spans="1:6" ht="60">
      <c r="A106" s="10" t="s">
        <v>54</v>
      </c>
      <c r="B106" s="10" t="s">
        <v>4</v>
      </c>
      <c r="C106" s="11" t="s">
        <v>55</v>
      </c>
      <c r="D106" s="12">
        <v>46269.833333333299</v>
      </c>
      <c r="E106" s="12">
        <v>46270.25</v>
      </c>
      <c r="F106" s="11" t="s">
        <v>56</v>
      </c>
    </row>
    <row r="107" spans="1:6" ht="60">
      <c r="A107" s="10" t="s">
        <v>490</v>
      </c>
      <c r="B107" s="10" t="s">
        <v>2</v>
      </c>
      <c r="C107" s="11" t="s">
        <v>784</v>
      </c>
      <c r="D107" s="12">
        <v>46269.958333333299</v>
      </c>
      <c r="E107" s="12">
        <v>46272.25</v>
      </c>
      <c r="F107" s="11" t="s">
        <v>785</v>
      </c>
    </row>
    <row r="108" spans="1:6" ht="75">
      <c r="A108" s="10" t="s">
        <v>490</v>
      </c>
      <c r="B108" s="10" t="s">
        <v>6</v>
      </c>
      <c r="C108" s="11" t="s">
        <v>786</v>
      </c>
      <c r="D108" s="12">
        <v>46269.958333333299</v>
      </c>
      <c r="E108" s="12">
        <v>46272.25</v>
      </c>
      <c r="F108" s="11" t="s">
        <v>787</v>
      </c>
    </row>
    <row r="109" spans="1:6" ht="90">
      <c r="A109" s="10" t="s">
        <v>121</v>
      </c>
      <c r="B109" s="10" t="s">
        <v>2</v>
      </c>
      <c r="C109" s="11" t="s">
        <v>122</v>
      </c>
      <c r="D109" s="12">
        <v>46269.833333333299</v>
      </c>
      <c r="E109" s="12">
        <v>46270.25</v>
      </c>
      <c r="F109" s="11" t="s">
        <v>120</v>
      </c>
    </row>
    <row r="110" spans="1:6" ht="90">
      <c r="A110" s="10" t="s">
        <v>68</v>
      </c>
      <c r="B110" s="10" t="s">
        <v>5</v>
      </c>
      <c r="C110" s="11" t="s">
        <v>679</v>
      </c>
      <c r="D110" s="12">
        <v>46269.875</v>
      </c>
      <c r="E110" s="12">
        <v>46272.208333333299</v>
      </c>
      <c r="F110" s="11" t="s">
        <v>680</v>
      </c>
    </row>
    <row r="111" spans="1:6" ht="90">
      <c r="A111" s="10" t="s">
        <v>68</v>
      </c>
      <c r="B111" s="10" t="s">
        <v>4</v>
      </c>
      <c r="C111" s="11" t="s">
        <v>552</v>
      </c>
      <c r="D111" s="12">
        <v>46269.833333333299</v>
      </c>
      <c r="E111" s="12">
        <v>46270.25</v>
      </c>
      <c r="F111" s="11" t="s">
        <v>77</v>
      </c>
    </row>
    <row r="112" spans="1:6" ht="60">
      <c r="A112" s="10" t="s">
        <v>702</v>
      </c>
      <c r="B112" s="10" t="s">
        <v>2</v>
      </c>
      <c r="C112" s="11" t="s">
        <v>703</v>
      </c>
      <c r="D112" s="12">
        <v>46269.875</v>
      </c>
      <c r="E112" s="12">
        <v>46270.25</v>
      </c>
      <c r="F112" s="11" t="s">
        <v>704</v>
      </c>
    </row>
    <row r="113" spans="1:6" ht="60">
      <c r="A113" s="10" t="s">
        <v>516</v>
      </c>
      <c r="B113" s="10" t="s">
        <v>2</v>
      </c>
      <c r="C113" s="11" t="s">
        <v>517</v>
      </c>
      <c r="D113" s="12">
        <v>46217.625</v>
      </c>
      <c r="E113" s="12">
        <v>46387.875</v>
      </c>
      <c r="F113" s="11" t="s">
        <v>518</v>
      </c>
    </row>
    <row r="114" spans="1:6" ht="60">
      <c r="A114" s="10" t="s">
        <v>519</v>
      </c>
      <c r="B114" s="10" t="s">
        <v>2</v>
      </c>
      <c r="C114" s="11" t="s">
        <v>694</v>
      </c>
      <c r="D114" s="12">
        <v>46269.541666666701</v>
      </c>
      <c r="E114" s="12">
        <v>46270.25</v>
      </c>
      <c r="F114" s="11" t="s">
        <v>695</v>
      </c>
    </row>
    <row r="115" spans="1:6" ht="60">
      <c r="A115" s="10" t="s">
        <v>519</v>
      </c>
      <c r="B115" s="10" t="s">
        <v>6</v>
      </c>
      <c r="C115" s="11" t="s">
        <v>696</v>
      </c>
      <c r="D115" s="12">
        <v>46269.541666666701</v>
      </c>
      <c r="E115" s="12">
        <v>46270.25</v>
      </c>
      <c r="F115" s="11" t="s">
        <v>695</v>
      </c>
    </row>
    <row r="116" spans="1:6" ht="60">
      <c r="A116" s="10" t="s">
        <v>519</v>
      </c>
      <c r="B116" s="10" t="s">
        <v>23</v>
      </c>
      <c r="C116" s="11" t="s">
        <v>697</v>
      </c>
      <c r="D116" s="12">
        <v>46269.833333333299</v>
      </c>
      <c r="E116" s="12">
        <v>46270.25</v>
      </c>
      <c r="F116" s="11" t="s">
        <v>695</v>
      </c>
    </row>
    <row r="117" spans="1:6" ht="60">
      <c r="A117" s="10" t="s">
        <v>20</v>
      </c>
      <c r="B117" s="10" t="s">
        <v>4</v>
      </c>
      <c r="C117" s="11" t="s">
        <v>21</v>
      </c>
      <c r="D117" s="12">
        <v>46269.833333333299</v>
      </c>
      <c r="E117" s="12">
        <v>46270.25</v>
      </c>
      <c r="F117" s="11" t="s">
        <v>22</v>
      </c>
    </row>
    <row r="118" spans="1:6" ht="75">
      <c r="A118" s="10" t="s">
        <v>20</v>
      </c>
      <c r="B118" s="10" t="s">
        <v>23</v>
      </c>
      <c r="C118" s="11" t="s">
        <v>24</v>
      </c>
      <c r="D118" s="12">
        <v>46269.833333333299</v>
      </c>
      <c r="E118" s="12">
        <v>46270.25</v>
      </c>
      <c r="F118" s="11" t="s">
        <v>22</v>
      </c>
    </row>
    <row r="119" spans="1:6" ht="75">
      <c r="A119" s="10" t="s">
        <v>20</v>
      </c>
      <c r="B119" s="10" t="s">
        <v>4</v>
      </c>
      <c r="C119" s="11" t="s">
        <v>25</v>
      </c>
      <c r="D119" s="12">
        <v>46269.833333333299</v>
      </c>
      <c r="E119" s="12">
        <v>46270.25</v>
      </c>
      <c r="F119" s="11" t="s">
        <v>22</v>
      </c>
    </row>
    <row r="120" spans="1:6" ht="75">
      <c r="A120" s="10" t="s">
        <v>20</v>
      </c>
      <c r="B120" s="10" t="s">
        <v>5</v>
      </c>
      <c r="C120" s="11" t="s">
        <v>671</v>
      </c>
      <c r="D120" s="12">
        <v>46269.833333333299</v>
      </c>
      <c r="E120" s="12">
        <v>46270.25</v>
      </c>
      <c r="F120" s="11" t="s">
        <v>672</v>
      </c>
    </row>
    <row r="121" spans="1:6" ht="75">
      <c r="A121" s="10" t="s">
        <v>20</v>
      </c>
      <c r="B121" s="10" t="s">
        <v>4</v>
      </c>
      <c r="C121" s="11" t="s">
        <v>673</v>
      </c>
      <c r="D121" s="12">
        <v>46269.833333333299</v>
      </c>
      <c r="E121" s="12">
        <v>46270.25</v>
      </c>
      <c r="F121" s="11" t="s">
        <v>672</v>
      </c>
    </row>
    <row r="122" spans="1:6" ht="75">
      <c r="A122" s="10" t="s">
        <v>71</v>
      </c>
      <c r="B122" s="10" t="s">
        <v>6</v>
      </c>
      <c r="C122" s="11" t="s">
        <v>549</v>
      </c>
      <c r="D122" s="12">
        <v>46269.833333333299</v>
      </c>
      <c r="E122" s="12">
        <v>46270.25</v>
      </c>
      <c r="F122" s="11" t="s">
        <v>73</v>
      </c>
    </row>
    <row r="123" spans="1:6" ht="45">
      <c r="A123" s="10" t="s">
        <v>71</v>
      </c>
      <c r="B123" s="10" t="s">
        <v>6</v>
      </c>
      <c r="C123" s="11" t="s">
        <v>688</v>
      </c>
      <c r="D123" s="12">
        <v>46269.833333333299</v>
      </c>
      <c r="E123" s="12">
        <v>46270.208333333299</v>
      </c>
      <c r="F123" s="11" t="s">
        <v>75</v>
      </c>
    </row>
    <row r="124" spans="1:6" ht="45">
      <c r="A124" s="10" t="s">
        <v>533</v>
      </c>
      <c r="B124" s="10" t="s">
        <v>5</v>
      </c>
      <c r="C124" s="11" t="s">
        <v>661</v>
      </c>
      <c r="D124" s="12">
        <v>46269.875</v>
      </c>
      <c r="E124" s="12">
        <v>46270.25</v>
      </c>
      <c r="F124" s="11" t="s">
        <v>662</v>
      </c>
    </row>
    <row r="125" spans="1:6" ht="45">
      <c r="A125" s="10" t="s">
        <v>533</v>
      </c>
      <c r="B125" s="10" t="s">
        <v>4</v>
      </c>
      <c r="C125" s="11" t="s">
        <v>534</v>
      </c>
      <c r="D125" s="12">
        <v>46269.833333333299</v>
      </c>
      <c r="E125" s="12">
        <v>46270.208333333299</v>
      </c>
      <c r="F125" s="11" t="s">
        <v>535</v>
      </c>
    </row>
    <row r="126" spans="1:6" ht="45">
      <c r="A126" s="10" t="s">
        <v>533</v>
      </c>
      <c r="B126" s="10" t="s">
        <v>4</v>
      </c>
      <c r="C126" s="11" t="s">
        <v>536</v>
      </c>
      <c r="D126" s="12">
        <v>46269.833333333299</v>
      </c>
      <c r="E126" s="12">
        <v>46270.208333333299</v>
      </c>
      <c r="F126" s="11" t="s">
        <v>535</v>
      </c>
    </row>
    <row r="127" spans="1:6" ht="45">
      <c r="A127" s="10" t="s">
        <v>509</v>
      </c>
      <c r="B127" s="10" t="s">
        <v>23</v>
      </c>
      <c r="C127" s="11" t="s">
        <v>510</v>
      </c>
      <c r="D127" s="12">
        <v>46230.833333333299</v>
      </c>
      <c r="E127" s="12">
        <v>46403.25</v>
      </c>
      <c r="F127" s="11" t="s">
        <v>511</v>
      </c>
    </row>
    <row r="128" spans="1:6" ht="45">
      <c r="A128" s="10" t="s">
        <v>509</v>
      </c>
      <c r="B128" s="10" t="s">
        <v>2</v>
      </c>
      <c r="C128" s="11" t="s">
        <v>514</v>
      </c>
      <c r="D128" s="12">
        <v>46269.875</v>
      </c>
      <c r="E128" s="12">
        <v>46270.25</v>
      </c>
      <c r="F128" s="11" t="s">
        <v>515</v>
      </c>
    </row>
    <row r="129" spans="1:6" ht="45">
      <c r="A129" s="10" t="s">
        <v>284</v>
      </c>
      <c r="B129" s="10" t="s">
        <v>6</v>
      </c>
      <c r="C129" s="11" t="s">
        <v>606</v>
      </c>
      <c r="D129" s="12">
        <v>46269.875</v>
      </c>
      <c r="E129" s="12">
        <v>46270.208333333299</v>
      </c>
      <c r="F129" s="11" t="s">
        <v>607</v>
      </c>
    </row>
    <row r="130" spans="1:6" ht="45">
      <c r="A130" s="10" t="s">
        <v>284</v>
      </c>
      <c r="B130" s="10" t="s">
        <v>6</v>
      </c>
      <c r="C130" s="11" t="s">
        <v>608</v>
      </c>
      <c r="D130" s="12">
        <v>46269.875</v>
      </c>
      <c r="E130" s="12">
        <v>46270.208333333299</v>
      </c>
      <c r="F130" s="11" t="s">
        <v>607</v>
      </c>
    </row>
    <row r="131" spans="1:6" ht="45">
      <c r="A131" s="10" t="s">
        <v>284</v>
      </c>
      <c r="B131" s="10" t="s">
        <v>6</v>
      </c>
      <c r="C131" s="11" t="s">
        <v>609</v>
      </c>
      <c r="D131" s="12">
        <v>46269.875</v>
      </c>
      <c r="E131" s="12">
        <v>46270.208333333299</v>
      </c>
      <c r="F131" s="11" t="s">
        <v>607</v>
      </c>
    </row>
    <row r="132" spans="1:6" ht="45">
      <c r="A132" s="10" t="s">
        <v>735</v>
      </c>
      <c r="B132" s="10" t="s">
        <v>2</v>
      </c>
      <c r="C132" s="11" t="s">
        <v>736</v>
      </c>
      <c r="D132" s="12">
        <v>46269.875</v>
      </c>
      <c r="E132" s="12">
        <v>46270.25</v>
      </c>
      <c r="F132" s="11" t="s">
        <v>737</v>
      </c>
    </row>
    <row r="133" spans="1:6" ht="45">
      <c r="A133" s="10" t="s">
        <v>719</v>
      </c>
      <c r="B133" s="10" t="s">
        <v>2</v>
      </c>
      <c r="C133" s="11" t="s">
        <v>720</v>
      </c>
      <c r="D133" s="12">
        <v>46269.833333333299</v>
      </c>
      <c r="E133" s="12">
        <v>46270.25</v>
      </c>
      <c r="F133" s="11" t="s">
        <v>721</v>
      </c>
    </row>
    <row r="134" spans="1:6" ht="45">
      <c r="A134" s="10" t="s">
        <v>177</v>
      </c>
      <c r="B134" s="10" t="s">
        <v>6</v>
      </c>
      <c r="C134" s="11" t="s">
        <v>178</v>
      </c>
      <c r="D134" s="12">
        <v>46237.833333333299</v>
      </c>
      <c r="E134" s="12">
        <v>46326.25</v>
      </c>
      <c r="F134" s="11" t="s">
        <v>179</v>
      </c>
    </row>
    <row r="135" spans="1:6" ht="45">
      <c r="A135" s="10" t="s">
        <v>177</v>
      </c>
      <c r="B135" s="10" t="s">
        <v>2</v>
      </c>
      <c r="C135" s="11" t="s">
        <v>180</v>
      </c>
      <c r="D135" s="12">
        <v>46237.833333333299</v>
      </c>
      <c r="E135" s="12">
        <v>46326.25</v>
      </c>
      <c r="F135" s="11" t="s">
        <v>179</v>
      </c>
    </row>
    <row r="136" spans="1:6" ht="60">
      <c r="A136" s="10" t="s">
        <v>170</v>
      </c>
      <c r="B136" s="10" t="s">
        <v>5</v>
      </c>
      <c r="C136" s="11" t="s">
        <v>171</v>
      </c>
      <c r="D136" s="12">
        <v>46269.958333333299</v>
      </c>
      <c r="E136" s="12">
        <v>46270.25</v>
      </c>
      <c r="F136" s="11" t="s">
        <v>172</v>
      </c>
    </row>
    <row r="137" spans="1:6" ht="45">
      <c r="A137" s="10" t="s">
        <v>202</v>
      </c>
      <c r="B137" s="10" t="s">
        <v>5</v>
      </c>
      <c r="C137" s="11" t="s">
        <v>203</v>
      </c>
      <c r="D137" s="12">
        <v>46269.833333333299</v>
      </c>
      <c r="E137" s="12">
        <v>46270.25</v>
      </c>
      <c r="F137" s="11" t="s">
        <v>204</v>
      </c>
    </row>
    <row r="138" spans="1:6" ht="45">
      <c r="A138" s="10" t="s">
        <v>202</v>
      </c>
      <c r="B138" s="10" t="s">
        <v>5</v>
      </c>
      <c r="C138" s="11" t="s">
        <v>205</v>
      </c>
      <c r="D138" s="12">
        <v>46269.833333333299</v>
      </c>
      <c r="E138" s="12">
        <v>46270.25</v>
      </c>
      <c r="F138" s="11" t="s">
        <v>204</v>
      </c>
    </row>
    <row r="139" spans="1:6" ht="45">
      <c r="A139" s="10" t="s">
        <v>202</v>
      </c>
      <c r="B139" s="10" t="s">
        <v>5</v>
      </c>
      <c r="C139" s="11" t="s">
        <v>206</v>
      </c>
      <c r="D139" s="12">
        <v>46269.833333333299</v>
      </c>
      <c r="E139" s="12">
        <v>46270.25</v>
      </c>
      <c r="F139" s="11" t="s">
        <v>204</v>
      </c>
    </row>
    <row r="140" spans="1:6" ht="45">
      <c r="A140" s="10" t="s">
        <v>202</v>
      </c>
      <c r="B140" s="10" t="s">
        <v>5</v>
      </c>
      <c r="C140" s="11" t="s">
        <v>207</v>
      </c>
      <c r="D140" s="12">
        <v>46269.833333333299</v>
      </c>
      <c r="E140" s="12">
        <v>46270.25</v>
      </c>
      <c r="F140" s="11" t="s">
        <v>204</v>
      </c>
    </row>
    <row r="141" spans="1:6" ht="45">
      <c r="A141" s="10" t="s">
        <v>202</v>
      </c>
      <c r="B141" s="10" t="s">
        <v>5</v>
      </c>
      <c r="C141" s="11" t="s">
        <v>208</v>
      </c>
      <c r="D141" s="12">
        <v>46269.833333333299</v>
      </c>
      <c r="E141" s="12">
        <v>46270.25</v>
      </c>
      <c r="F141" s="11" t="s">
        <v>204</v>
      </c>
    </row>
    <row r="142" spans="1:6" ht="45">
      <c r="A142" s="10" t="s">
        <v>202</v>
      </c>
      <c r="B142" s="10" t="s">
        <v>4</v>
      </c>
      <c r="C142" s="11" t="s">
        <v>738</v>
      </c>
      <c r="D142" s="12">
        <v>46269.791666666701</v>
      </c>
      <c r="E142" s="12">
        <v>46272.25</v>
      </c>
      <c r="F142" s="11" t="s">
        <v>739</v>
      </c>
    </row>
    <row r="143" spans="1:6" ht="45">
      <c r="A143" s="10" t="s">
        <v>57</v>
      </c>
      <c r="B143" s="10" t="s">
        <v>2</v>
      </c>
      <c r="C143" s="11" t="s">
        <v>63</v>
      </c>
      <c r="D143" s="12">
        <v>46269.875</v>
      </c>
      <c r="E143" s="12">
        <v>46270.208333333299</v>
      </c>
      <c r="F143" s="11" t="s">
        <v>64</v>
      </c>
    </row>
    <row r="144" spans="1:6" ht="45">
      <c r="A144" s="10" t="s">
        <v>57</v>
      </c>
      <c r="B144" s="10" t="s">
        <v>2</v>
      </c>
      <c r="C144" s="11" t="s">
        <v>689</v>
      </c>
      <c r="D144" s="12">
        <v>46269.916666666701</v>
      </c>
      <c r="E144" s="12">
        <v>46270.208333333299</v>
      </c>
      <c r="F144" s="11" t="s">
        <v>690</v>
      </c>
    </row>
    <row r="145" spans="1:6" ht="45">
      <c r="A145" s="10" t="s">
        <v>57</v>
      </c>
      <c r="B145" s="10" t="s">
        <v>2</v>
      </c>
      <c r="C145" s="11" t="s">
        <v>691</v>
      </c>
      <c r="D145" s="12">
        <v>46269.833333333299</v>
      </c>
      <c r="E145" s="12">
        <v>46270.25</v>
      </c>
      <c r="F145" s="11" t="s">
        <v>692</v>
      </c>
    </row>
    <row r="146" spans="1:6" ht="45">
      <c r="A146" s="10" t="s">
        <v>57</v>
      </c>
      <c r="B146" s="10" t="s">
        <v>2</v>
      </c>
      <c r="C146" s="11" t="s">
        <v>693</v>
      </c>
      <c r="D146" s="12">
        <v>46269.833333333299</v>
      </c>
      <c r="E146" s="12">
        <v>46270.25</v>
      </c>
      <c r="F146" s="11" t="s">
        <v>692</v>
      </c>
    </row>
    <row r="147" spans="1:6" ht="45">
      <c r="A147" s="10" t="s">
        <v>57</v>
      </c>
      <c r="B147" s="10" t="s">
        <v>2</v>
      </c>
      <c r="C147" s="11" t="s">
        <v>119</v>
      </c>
      <c r="D147" s="12">
        <v>46269.833333333299</v>
      </c>
      <c r="E147" s="12">
        <v>46270.25</v>
      </c>
      <c r="F147" s="11" t="s">
        <v>120</v>
      </c>
    </row>
    <row r="148" spans="1:6" ht="45">
      <c r="A148" s="10" t="s">
        <v>57</v>
      </c>
      <c r="B148" s="10" t="s">
        <v>6</v>
      </c>
      <c r="C148" s="11" t="s">
        <v>700</v>
      </c>
      <c r="D148" s="12">
        <v>46269.833333333299</v>
      </c>
      <c r="E148" s="12">
        <v>46270.208333333299</v>
      </c>
      <c r="F148" s="11" t="s">
        <v>701</v>
      </c>
    </row>
    <row r="149" spans="1:6" ht="45">
      <c r="A149" s="10" t="s">
        <v>57</v>
      </c>
      <c r="B149" s="10" t="s">
        <v>6</v>
      </c>
      <c r="C149" s="11" t="s">
        <v>709</v>
      </c>
      <c r="D149" s="12">
        <v>46269.875</v>
      </c>
      <c r="E149" s="12">
        <v>46270.25</v>
      </c>
      <c r="F149" s="11" t="s">
        <v>710</v>
      </c>
    </row>
    <row r="150" spans="1:6" ht="45">
      <c r="A150" s="10" t="s">
        <v>57</v>
      </c>
      <c r="B150" s="10" t="s">
        <v>2</v>
      </c>
      <c r="C150" s="11" t="s">
        <v>711</v>
      </c>
      <c r="D150" s="12">
        <v>46269.854166666701</v>
      </c>
      <c r="E150" s="12">
        <v>46270.25</v>
      </c>
      <c r="F150" s="11" t="s">
        <v>712</v>
      </c>
    </row>
    <row r="151" spans="1:6" ht="45">
      <c r="A151" s="10" t="s">
        <v>57</v>
      </c>
      <c r="B151" s="10" t="s">
        <v>2</v>
      </c>
      <c r="C151" s="11" t="s">
        <v>713</v>
      </c>
      <c r="D151" s="12">
        <v>46269.854166666701</v>
      </c>
      <c r="E151" s="12">
        <v>46270.25</v>
      </c>
      <c r="F151" s="11" t="s">
        <v>712</v>
      </c>
    </row>
    <row r="152" spans="1:6" ht="45">
      <c r="A152" s="10" t="s">
        <v>57</v>
      </c>
      <c r="B152" s="10" t="s">
        <v>2</v>
      </c>
      <c r="C152" s="11" t="s">
        <v>714</v>
      </c>
      <c r="D152" s="12">
        <v>46269.854166666701</v>
      </c>
      <c r="E152" s="12">
        <v>46270.25</v>
      </c>
      <c r="F152" s="11" t="s">
        <v>712</v>
      </c>
    </row>
    <row r="153" spans="1:6" ht="45">
      <c r="A153" s="10" t="s">
        <v>57</v>
      </c>
      <c r="B153" s="10" t="s">
        <v>2</v>
      </c>
      <c r="C153" s="11" t="s">
        <v>715</v>
      </c>
      <c r="D153" s="12">
        <v>46269.854166666701</v>
      </c>
      <c r="E153" s="12">
        <v>46270.25</v>
      </c>
      <c r="F153" s="11" t="s">
        <v>712</v>
      </c>
    </row>
    <row r="154" spans="1:6" ht="45">
      <c r="A154" s="10" t="s">
        <v>26</v>
      </c>
      <c r="B154" s="10" t="s">
        <v>2</v>
      </c>
      <c r="C154" s="11" t="s">
        <v>538</v>
      </c>
      <c r="D154" s="12">
        <v>46269.833333333299</v>
      </c>
      <c r="E154" s="12">
        <v>46270.25</v>
      </c>
      <c r="F154" s="11" t="s">
        <v>36</v>
      </c>
    </row>
    <row r="155" spans="1:6" ht="45">
      <c r="A155" s="10" t="s">
        <v>26</v>
      </c>
      <c r="B155" s="10" t="s">
        <v>6</v>
      </c>
      <c r="C155" s="11" t="s">
        <v>50</v>
      </c>
      <c r="D155" s="12">
        <v>46269.875</v>
      </c>
      <c r="E155" s="12">
        <v>46270.208333333299</v>
      </c>
      <c r="F155" s="11" t="s">
        <v>51</v>
      </c>
    </row>
    <row r="156" spans="1:6" ht="45">
      <c r="A156" s="10" t="s">
        <v>26</v>
      </c>
      <c r="B156" s="10" t="s">
        <v>6</v>
      </c>
      <c r="C156" s="11" t="s">
        <v>684</v>
      </c>
      <c r="D156" s="12">
        <v>46269.875</v>
      </c>
      <c r="E156" s="12">
        <v>46270.208333333299</v>
      </c>
      <c r="F156" s="11" t="s">
        <v>546</v>
      </c>
    </row>
    <row r="157" spans="1:6" ht="45">
      <c r="A157" s="10" t="s">
        <v>26</v>
      </c>
      <c r="B157" s="10" t="s">
        <v>2</v>
      </c>
      <c r="C157" s="11" t="s">
        <v>685</v>
      </c>
      <c r="D157" s="12">
        <v>46269.875</v>
      </c>
      <c r="E157" s="12">
        <v>46270.208333333299</v>
      </c>
      <c r="F157" s="11" t="s">
        <v>546</v>
      </c>
    </row>
    <row r="158" spans="1:6" ht="45">
      <c r="A158" s="10" t="s">
        <v>26</v>
      </c>
      <c r="B158" s="10" t="s">
        <v>6</v>
      </c>
      <c r="C158" s="11" t="s">
        <v>686</v>
      </c>
      <c r="D158" s="12">
        <v>46269.875</v>
      </c>
      <c r="E158" s="12">
        <v>46270.208333333299</v>
      </c>
      <c r="F158" s="11" t="s">
        <v>546</v>
      </c>
    </row>
    <row r="159" spans="1:6" ht="45">
      <c r="A159" s="10" t="s">
        <v>26</v>
      </c>
      <c r="B159" s="10" t="s">
        <v>2</v>
      </c>
      <c r="C159" s="11" t="s">
        <v>687</v>
      </c>
      <c r="D159" s="12">
        <v>46269.875</v>
      </c>
      <c r="E159" s="12">
        <v>46270.208333333299</v>
      </c>
      <c r="F159" s="11" t="s">
        <v>546</v>
      </c>
    </row>
    <row r="160" spans="1:6" ht="45">
      <c r="A160" s="10" t="s">
        <v>145</v>
      </c>
      <c r="B160" s="10" t="s">
        <v>6</v>
      </c>
      <c r="C160" s="11" t="s">
        <v>157</v>
      </c>
      <c r="D160" s="12">
        <v>46269.958333333299</v>
      </c>
      <c r="E160" s="12">
        <v>46270.25</v>
      </c>
      <c r="F160" s="11" t="s">
        <v>155</v>
      </c>
    </row>
    <row r="161" spans="1:6" ht="45">
      <c r="A161" s="10" t="s">
        <v>145</v>
      </c>
      <c r="B161" s="10" t="s">
        <v>6</v>
      </c>
      <c r="C161" s="11" t="s">
        <v>158</v>
      </c>
      <c r="D161" s="12">
        <v>46269.958333333299</v>
      </c>
      <c r="E161" s="12">
        <v>46270.25</v>
      </c>
      <c r="F161" s="11" t="s">
        <v>155</v>
      </c>
    </row>
    <row r="162" spans="1:6" ht="45">
      <c r="A162" s="10" t="s">
        <v>137</v>
      </c>
      <c r="B162" s="10" t="s">
        <v>4</v>
      </c>
      <c r="C162" s="11" t="s">
        <v>138</v>
      </c>
      <c r="D162" s="12">
        <v>46269.833333333299</v>
      </c>
      <c r="E162" s="12">
        <v>46270.25</v>
      </c>
      <c r="F162" s="11" t="s">
        <v>139</v>
      </c>
    </row>
    <row r="163" spans="1:6" ht="45">
      <c r="A163" s="10" t="s">
        <v>137</v>
      </c>
      <c r="B163" s="10" t="s">
        <v>4</v>
      </c>
      <c r="C163" s="11" t="s">
        <v>140</v>
      </c>
      <c r="D163" s="12">
        <v>46269.833333333299</v>
      </c>
      <c r="E163" s="12">
        <v>46270.25</v>
      </c>
      <c r="F163" s="11" t="s">
        <v>139</v>
      </c>
    </row>
    <row r="164" spans="1:6" ht="45">
      <c r="A164" s="10" t="s">
        <v>137</v>
      </c>
      <c r="B164" s="10" t="s">
        <v>4</v>
      </c>
      <c r="C164" s="11" t="s">
        <v>141</v>
      </c>
      <c r="D164" s="12">
        <v>46269.833333333299</v>
      </c>
      <c r="E164" s="12">
        <v>46270.25</v>
      </c>
      <c r="F164" s="11" t="s">
        <v>139</v>
      </c>
    </row>
    <row r="165" spans="1:6" ht="45">
      <c r="A165" s="10" t="s">
        <v>763</v>
      </c>
      <c r="B165" s="10" t="s">
        <v>5</v>
      </c>
      <c r="C165" s="11" t="s">
        <v>764</v>
      </c>
      <c r="D165" s="12">
        <v>46269.833333333299</v>
      </c>
      <c r="E165" s="12">
        <v>46270.166666666701</v>
      </c>
      <c r="F165" s="11" t="s">
        <v>765</v>
      </c>
    </row>
    <row r="166" spans="1:6" ht="45">
      <c r="A166" s="10" t="s">
        <v>389</v>
      </c>
      <c r="B166" s="10" t="s">
        <v>4</v>
      </c>
      <c r="C166" s="11" t="s">
        <v>390</v>
      </c>
      <c r="D166" s="12">
        <v>46269.833333333299</v>
      </c>
      <c r="E166" s="12">
        <v>46270.25</v>
      </c>
      <c r="F166" s="11" t="s">
        <v>391</v>
      </c>
    </row>
    <row r="167" spans="1:6" ht="30">
      <c r="A167" s="10" t="s">
        <v>415</v>
      </c>
      <c r="B167" s="10" t="s">
        <v>8</v>
      </c>
      <c r="C167" s="11" t="s">
        <v>429</v>
      </c>
      <c r="D167" s="12">
        <v>46269.958333333299</v>
      </c>
      <c r="E167" s="12">
        <v>46270.25</v>
      </c>
      <c r="F167" s="11" t="s">
        <v>430</v>
      </c>
    </row>
    <row r="168" spans="1:6" ht="45">
      <c r="A168" s="10" t="s">
        <v>415</v>
      </c>
      <c r="B168" s="10" t="s">
        <v>2</v>
      </c>
      <c r="C168" s="11" t="s">
        <v>448</v>
      </c>
      <c r="D168" s="12">
        <v>46269.958333333299</v>
      </c>
      <c r="E168" s="12">
        <v>46270.25</v>
      </c>
      <c r="F168" s="11" t="s">
        <v>449</v>
      </c>
    </row>
    <row r="169" spans="1:6" ht="45">
      <c r="A169" s="10" t="s">
        <v>415</v>
      </c>
      <c r="B169" s="10" t="s">
        <v>7</v>
      </c>
      <c r="C169" s="11" t="s">
        <v>774</v>
      </c>
      <c r="D169" s="12">
        <v>46269.958333333299</v>
      </c>
      <c r="E169" s="12">
        <v>46270.229166666701</v>
      </c>
      <c r="F169" s="11" t="s">
        <v>775</v>
      </c>
    </row>
    <row r="170" spans="1:6" ht="45">
      <c r="A170" s="10" t="s">
        <v>433</v>
      </c>
      <c r="B170" s="10" t="s">
        <v>4</v>
      </c>
      <c r="C170" s="11" t="s">
        <v>434</v>
      </c>
      <c r="D170" s="12">
        <v>46269.958333333299</v>
      </c>
      <c r="E170" s="12">
        <v>46270.25</v>
      </c>
      <c r="F170" s="11" t="s">
        <v>435</v>
      </c>
    </row>
    <row r="171" spans="1:6" ht="45">
      <c r="A171" s="10" t="s">
        <v>333</v>
      </c>
      <c r="B171" s="10" t="s">
        <v>5</v>
      </c>
      <c r="C171" s="11" t="s">
        <v>336</v>
      </c>
      <c r="D171" s="12">
        <v>46269.875</v>
      </c>
      <c r="E171" s="12">
        <v>46270.25</v>
      </c>
      <c r="F171" s="11" t="s">
        <v>337</v>
      </c>
    </row>
    <row r="172" spans="1:6" ht="45">
      <c r="A172" s="10" t="s">
        <v>333</v>
      </c>
      <c r="B172" s="10" t="s">
        <v>2</v>
      </c>
      <c r="C172" s="11" t="s">
        <v>745</v>
      </c>
      <c r="D172" s="12">
        <v>46269.875</v>
      </c>
      <c r="E172" s="12">
        <v>46270.25</v>
      </c>
      <c r="F172" s="11" t="s">
        <v>746</v>
      </c>
    </row>
    <row r="173" spans="1:6" ht="45">
      <c r="A173" s="10" t="s">
        <v>333</v>
      </c>
      <c r="B173" s="10" t="s">
        <v>4</v>
      </c>
      <c r="C173" s="11" t="s">
        <v>363</v>
      </c>
      <c r="D173" s="12">
        <v>46269.833333333299</v>
      </c>
      <c r="E173" s="12">
        <v>46270.25</v>
      </c>
      <c r="F173" s="11" t="s">
        <v>364</v>
      </c>
    </row>
    <row r="174" spans="1:6" ht="45">
      <c r="A174" s="10" t="s">
        <v>333</v>
      </c>
      <c r="B174" s="10" t="s">
        <v>5</v>
      </c>
      <c r="C174" s="11" t="s">
        <v>375</v>
      </c>
      <c r="D174" s="12">
        <v>46269.875</v>
      </c>
      <c r="E174" s="12">
        <v>46270.25</v>
      </c>
      <c r="F174" s="11" t="s">
        <v>373</v>
      </c>
    </row>
    <row r="175" spans="1:6" ht="45">
      <c r="A175" s="10" t="s">
        <v>365</v>
      </c>
      <c r="B175" s="10" t="s">
        <v>6</v>
      </c>
      <c r="C175" s="11" t="s">
        <v>366</v>
      </c>
      <c r="D175" s="12">
        <v>46269.833333333299</v>
      </c>
      <c r="E175" s="12">
        <v>46270.25</v>
      </c>
      <c r="F175" s="11" t="s">
        <v>364</v>
      </c>
    </row>
    <row r="176" spans="1:6" ht="45">
      <c r="A176" s="10" t="s">
        <v>327</v>
      </c>
      <c r="B176" s="10" t="s">
        <v>2</v>
      </c>
      <c r="C176" s="11" t="s">
        <v>328</v>
      </c>
      <c r="D176" s="12">
        <v>46237.25</v>
      </c>
      <c r="E176" s="12">
        <v>46692.25</v>
      </c>
      <c r="F176" s="11" t="s">
        <v>329</v>
      </c>
    </row>
    <row r="177" spans="1:6" ht="45">
      <c r="A177" s="10" t="s">
        <v>327</v>
      </c>
      <c r="B177" s="10" t="s">
        <v>2</v>
      </c>
      <c r="C177" s="11" t="s">
        <v>352</v>
      </c>
      <c r="D177" s="12">
        <v>46269.875</v>
      </c>
      <c r="E177" s="12">
        <v>46270.25</v>
      </c>
      <c r="F177" s="11" t="s">
        <v>746</v>
      </c>
    </row>
    <row r="178" spans="1:6" ht="45">
      <c r="A178" s="10" t="s">
        <v>327</v>
      </c>
      <c r="B178" s="10" t="s">
        <v>2</v>
      </c>
      <c r="C178" s="11" t="s">
        <v>362</v>
      </c>
      <c r="D178" s="12">
        <v>46269.875</v>
      </c>
      <c r="E178" s="12">
        <v>46270.25</v>
      </c>
      <c r="F178" s="11" t="s">
        <v>361</v>
      </c>
    </row>
    <row r="179" spans="1:6" ht="45">
      <c r="A179" s="10" t="s">
        <v>327</v>
      </c>
      <c r="B179" s="10" t="s">
        <v>6</v>
      </c>
      <c r="C179" s="11" t="s">
        <v>636</v>
      </c>
      <c r="D179" s="12">
        <v>46269.875</v>
      </c>
      <c r="E179" s="12">
        <v>46270.25</v>
      </c>
      <c r="F179" s="11" t="s">
        <v>637</v>
      </c>
    </row>
    <row r="180" spans="1:6" ht="60">
      <c r="A180" s="10" t="s">
        <v>354</v>
      </c>
      <c r="B180" s="10" t="s">
        <v>4</v>
      </c>
      <c r="C180" s="11" t="s">
        <v>743</v>
      </c>
      <c r="D180" s="12">
        <v>46269.875</v>
      </c>
      <c r="E180" s="12">
        <v>46270.25</v>
      </c>
      <c r="F180" s="11" t="s">
        <v>744</v>
      </c>
    </row>
    <row r="181" spans="1:6" ht="60">
      <c r="A181" s="10" t="s">
        <v>354</v>
      </c>
      <c r="B181" s="10" t="s">
        <v>4</v>
      </c>
      <c r="C181" s="11" t="s">
        <v>438</v>
      </c>
      <c r="D181" s="12">
        <v>46269.958333333299</v>
      </c>
      <c r="E181" s="12">
        <v>46270.25</v>
      </c>
      <c r="F181" s="11" t="s">
        <v>439</v>
      </c>
    </row>
    <row r="182" spans="1:6" ht="60">
      <c r="A182" s="10" t="s">
        <v>354</v>
      </c>
      <c r="B182" s="10" t="s">
        <v>5</v>
      </c>
      <c r="C182" s="11" t="s">
        <v>772</v>
      </c>
      <c r="D182" s="12">
        <v>46269.958333333299</v>
      </c>
      <c r="E182" s="12">
        <v>46270.229166666701</v>
      </c>
      <c r="F182" s="11" t="s">
        <v>773</v>
      </c>
    </row>
    <row r="183" spans="1:6" ht="45">
      <c r="A183" s="10" t="s">
        <v>354</v>
      </c>
      <c r="B183" s="10" t="s">
        <v>5</v>
      </c>
      <c r="C183" s="11" t="s">
        <v>782</v>
      </c>
      <c r="D183" s="12">
        <v>46269.875</v>
      </c>
      <c r="E183" s="12">
        <v>46270.25</v>
      </c>
      <c r="F183" s="11" t="s">
        <v>783</v>
      </c>
    </row>
    <row r="184" spans="1:6" ht="45">
      <c r="A184" s="10" t="s">
        <v>78</v>
      </c>
      <c r="B184" s="10" t="s">
        <v>2</v>
      </c>
      <c r="C184" s="11" t="s">
        <v>79</v>
      </c>
      <c r="D184" s="12">
        <v>46269.927083333299</v>
      </c>
      <c r="E184" s="12">
        <v>46270.25</v>
      </c>
      <c r="F184" s="11" t="s">
        <v>80</v>
      </c>
    </row>
    <row r="185" spans="1:6" ht="45">
      <c r="A185" s="10" t="s">
        <v>78</v>
      </c>
      <c r="B185" s="10" t="s">
        <v>2</v>
      </c>
      <c r="C185" s="11" t="s">
        <v>81</v>
      </c>
      <c r="D185" s="12">
        <v>46269.927083333299</v>
      </c>
      <c r="E185" s="12">
        <v>46270.25</v>
      </c>
      <c r="F185" s="11" t="s">
        <v>80</v>
      </c>
    </row>
    <row r="186" spans="1:6" ht="45">
      <c r="A186" s="10" t="s">
        <v>78</v>
      </c>
      <c r="B186" s="10" t="s">
        <v>2</v>
      </c>
      <c r="C186" s="11" t="s">
        <v>82</v>
      </c>
      <c r="D186" s="12">
        <v>46269.927083333299</v>
      </c>
      <c r="E186" s="12">
        <v>46270.25</v>
      </c>
      <c r="F186" s="11" t="s">
        <v>80</v>
      </c>
    </row>
    <row r="187" spans="1:6" ht="45">
      <c r="A187" s="10" t="s">
        <v>78</v>
      </c>
      <c r="B187" s="10" t="s">
        <v>6</v>
      </c>
      <c r="C187" s="11" t="s">
        <v>83</v>
      </c>
      <c r="D187" s="12">
        <v>46269.927083333299</v>
      </c>
      <c r="E187" s="12">
        <v>46270.25</v>
      </c>
      <c r="F187" s="11" t="s">
        <v>84</v>
      </c>
    </row>
    <row r="188" spans="1:6" ht="45">
      <c r="A188" s="10" t="s">
        <v>78</v>
      </c>
      <c r="B188" s="10" t="s">
        <v>6</v>
      </c>
      <c r="C188" s="11" t="s">
        <v>85</v>
      </c>
      <c r="D188" s="12">
        <v>46269.927083333299</v>
      </c>
      <c r="E188" s="12">
        <v>46270.25</v>
      </c>
      <c r="F188" s="11" t="s">
        <v>84</v>
      </c>
    </row>
    <row r="189" spans="1:6" ht="45">
      <c r="A189" s="10" t="s">
        <v>78</v>
      </c>
      <c r="B189" s="10" t="s">
        <v>2</v>
      </c>
      <c r="C189" s="11" t="s">
        <v>88</v>
      </c>
      <c r="D189" s="12">
        <v>46269.927083333299</v>
      </c>
      <c r="E189" s="12">
        <v>46270.25</v>
      </c>
      <c r="F189" s="11" t="s">
        <v>89</v>
      </c>
    </row>
    <row r="190" spans="1:6" ht="60">
      <c r="A190" s="10" t="s">
        <v>503</v>
      </c>
      <c r="B190" s="10" t="s">
        <v>2</v>
      </c>
      <c r="C190" s="11" t="s">
        <v>788</v>
      </c>
      <c r="D190" s="12">
        <v>46269.875</v>
      </c>
      <c r="E190" s="12">
        <v>46270.25</v>
      </c>
      <c r="F190" s="11" t="s">
        <v>789</v>
      </c>
    </row>
    <row r="191" spans="1:6" ht="60">
      <c r="A191" s="10" t="s">
        <v>503</v>
      </c>
      <c r="B191" s="10" t="s">
        <v>2</v>
      </c>
      <c r="C191" s="11" t="s">
        <v>504</v>
      </c>
      <c r="D191" s="12">
        <v>46269.875</v>
      </c>
      <c r="E191" s="12">
        <v>46270.25</v>
      </c>
      <c r="F191" s="11" t="s">
        <v>502</v>
      </c>
    </row>
    <row r="192" spans="1:6" ht="45">
      <c r="A192" s="10" t="s">
        <v>503</v>
      </c>
      <c r="B192" s="10" t="s">
        <v>2</v>
      </c>
      <c r="C192" s="11" t="s">
        <v>790</v>
      </c>
      <c r="D192" s="12">
        <v>46269.875</v>
      </c>
      <c r="E192" s="12">
        <v>46270.25</v>
      </c>
      <c r="F192" s="11" t="s">
        <v>791</v>
      </c>
    </row>
    <row r="193" spans="1:6" ht="60">
      <c r="A193" s="10" t="s">
        <v>90</v>
      </c>
      <c r="B193" s="10" t="s">
        <v>5</v>
      </c>
      <c r="C193" s="11" t="s">
        <v>91</v>
      </c>
      <c r="D193" s="12">
        <v>46269.833333333299</v>
      </c>
      <c r="E193" s="12">
        <v>46270.25</v>
      </c>
      <c r="F193" s="11" t="s">
        <v>92</v>
      </c>
    </row>
    <row r="194" spans="1:6" ht="45">
      <c r="A194" s="10" t="s">
        <v>470</v>
      </c>
      <c r="B194" s="10" t="s">
        <v>6</v>
      </c>
      <c r="C194" s="11" t="s">
        <v>776</v>
      </c>
      <c r="D194" s="12">
        <v>46269.875</v>
      </c>
      <c r="E194" s="12">
        <v>46270.25</v>
      </c>
      <c r="F194" s="11" t="s">
        <v>777</v>
      </c>
    </row>
    <row r="195" spans="1:6" ht="30">
      <c r="A195" s="10" t="s">
        <v>470</v>
      </c>
      <c r="B195" s="10" t="s">
        <v>6</v>
      </c>
      <c r="C195" s="11" t="s">
        <v>778</v>
      </c>
      <c r="D195" s="12">
        <v>46269.875</v>
      </c>
      <c r="E195" s="12">
        <v>46270.25</v>
      </c>
      <c r="F195" s="11" t="s">
        <v>777</v>
      </c>
    </row>
    <row r="196" spans="1:6" ht="30">
      <c r="A196" s="10" t="s">
        <v>470</v>
      </c>
      <c r="B196" s="10" t="s">
        <v>6</v>
      </c>
      <c r="C196" s="11" t="s">
        <v>779</v>
      </c>
      <c r="D196" s="12">
        <v>46269.875</v>
      </c>
      <c r="E196" s="12">
        <v>46270.25</v>
      </c>
      <c r="F196" s="11" t="s">
        <v>777</v>
      </c>
    </row>
    <row r="197" spans="1:6" ht="45">
      <c r="A197" s="10" t="s">
        <v>470</v>
      </c>
      <c r="B197" s="10" t="s">
        <v>6</v>
      </c>
      <c r="C197" s="11" t="s">
        <v>780</v>
      </c>
      <c r="D197" s="12">
        <v>46269.916666666701</v>
      </c>
      <c r="E197" s="12">
        <v>46270.25</v>
      </c>
      <c r="F197" s="11" t="s">
        <v>781</v>
      </c>
    </row>
    <row r="198" spans="1:6" ht="45">
      <c r="A198" s="10" t="s">
        <v>240</v>
      </c>
      <c r="B198" s="10" t="s">
        <v>2</v>
      </c>
      <c r="C198" s="11" t="s">
        <v>1274</v>
      </c>
      <c r="D198" s="12">
        <v>46269.833333333299</v>
      </c>
      <c r="E198" s="12">
        <v>46270.25</v>
      </c>
      <c r="F198" s="11" t="s">
        <v>1289</v>
      </c>
    </row>
    <row r="199" spans="1:6" ht="30">
      <c r="A199" s="10" t="s">
        <v>240</v>
      </c>
      <c r="B199" s="10" t="s">
        <v>2</v>
      </c>
      <c r="C199" s="11" t="s">
        <v>1273</v>
      </c>
      <c r="D199" s="12">
        <v>46269.833333333299</v>
      </c>
      <c r="E199" s="12">
        <v>46270.25</v>
      </c>
      <c r="F199" s="11" t="s">
        <v>1289</v>
      </c>
    </row>
    <row r="200" spans="1:6" ht="30">
      <c r="A200" s="10" t="s">
        <v>240</v>
      </c>
      <c r="B200" s="10" t="s">
        <v>2</v>
      </c>
      <c r="C200" s="11" t="s">
        <v>1278</v>
      </c>
      <c r="D200" s="12">
        <v>46269.833333333299</v>
      </c>
      <c r="E200" s="12">
        <v>46270.25</v>
      </c>
      <c r="F200" s="11" t="s">
        <v>1289</v>
      </c>
    </row>
    <row r="201" spans="1:6" ht="30">
      <c r="A201" s="10" t="s">
        <v>240</v>
      </c>
      <c r="B201" s="10" t="s">
        <v>2</v>
      </c>
      <c r="C201" s="11" t="s">
        <v>1277</v>
      </c>
      <c r="D201" s="12">
        <v>46269.833333333299</v>
      </c>
      <c r="E201" s="12">
        <v>46270.25</v>
      </c>
      <c r="F201" s="11" t="s">
        <v>1289</v>
      </c>
    </row>
    <row r="202" spans="1:6" ht="30">
      <c r="A202" s="10" t="s">
        <v>240</v>
      </c>
      <c r="B202" s="10" t="s">
        <v>2</v>
      </c>
      <c r="C202" s="11" t="s">
        <v>1276</v>
      </c>
      <c r="D202" s="12">
        <v>46269.833333333299</v>
      </c>
      <c r="E202" s="12">
        <v>46270.25</v>
      </c>
      <c r="F202" s="11" t="s">
        <v>1289</v>
      </c>
    </row>
    <row r="203" spans="1:6" ht="30">
      <c r="A203" s="10" t="s">
        <v>240</v>
      </c>
      <c r="B203" s="10" t="s">
        <v>2</v>
      </c>
      <c r="C203" s="11" t="s">
        <v>1275</v>
      </c>
      <c r="D203" s="12">
        <v>46269.833333333299</v>
      </c>
      <c r="E203" s="12">
        <v>46270.25</v>
      </c>
      <c r="F203" s="11" t="s">
        <v>1289</v>
      </c>
    </row>
    <row r="204" spans="1:6" ht="30">
      <c r="A204" s="10" t="s">
        <v>240</v>
      </c>
      <c r="B204" s="10" t="s">
        <v>6</v>
      </c>
      <c r="C204" s="11" t="s">
        <v>241</v>
      </c>
      <c r="D204" s="12">
        <v>46269.833333333299</v>
      </c>
      <c r="E204" s="12">
        <v>46270.25</v>
      </c>
      <c r="F204" s="11" t="s">
        <v>242</v>
      </c>
    </row>
    <row r="205" spans="1:6" ht="30">
      <c r="A205" s="10" t="s">
        <v>240</v>
      </c>
      <c r="B205" s="10" t="s">
        <v>6</v>
      </c>
      <c r="C205" s="11" t="s">
        <v>243</v>
      </c>
      <c r="D205" s="12">
        <v>46269.833333333299</v>
      </c>
      <c r="E205" s="12">
        <v>46270.25</v>
      </c>
      <c r="F205" s="11" t="s">
        <v>242</v>
      </c>
    </row>
    <row r="206" spans="1:6" ht="30">
      <c r="A206" s="10" t="s">
        <v>240</v>
      </c>
      <c r="B206" s="10" t="s">
        <v>6</v>
      </c>
      <c r="C206" s="11" t="s">
        <v>244</v>
      </c>
      <c r="D206" s="12">
        <v>46269.833333333299</v>
      </c>
      <c r="E206" s="12">
        <v>46270.25</v>
      </c>
      <c r="F206" s="11" t="s">
        <v>242</v>
      </c>
    </row>
    <row r="207" spans="1:6" ht="60">
      <c r="A207" s="10" t="s">
        <v>524</v>
      </c>
      <c r="B207" s="10" t="s">
        <v>5</v>
      </c>
      <c r="C207" s="11" t="s">
        <v>792</v>
      </c>
      <c r="D207" s="12">
        <v>46269.875</v>
      </c>
      <c r="E207" s="12">
        <v>46270.25</v>
      </c>
      <c r="F207" s="11" t="s">
        <v>793</v>
      </c>
    </row>
    <row r="208" spans="1:6" ht="60">
      <c r="A208" s="10" t="s">
        <v>245</v>
      </c>
      <c r="B208" s="10" t="s">
        <v>2</v>
      </c>
      <c r="C208" s="11" t="s">
        <v>250</v>
      </c>
      <c r="D208" s="12">
        <v>46269.833333333299</v>
      </c>
      <c r="E208" s="12">
        <v>46270.25</v>
      </c>
      <c r="F208" s="11" t="s">
        <v>1289</v>
      </c>
    </row>
    <row r="209" spans="1:6" ht="60">
      <c r="A209" s="10" t="s">
        <v>245</v>
      </c>
      <c r="B209" s="10" t="s">
        <v>4</v>
      </c>
      <c r="C209" s="11" t="s">
        <v>257</v>
      </c>
      <c r="D209" s="12">
        <v>46269.875</v>
      </c>
      <c r="E209" s="12">
        <v>46270.25</v>
      </c>
      <c r="F209" s="11" t="s">
        <v>247</v>
      </c>
    </row>
    <row r="210" spans="1:6" ht="60">
      <c r="A210" s="10" t="s">
        <v>245</v>
      </c>
      <c r="B210" s="10" t="s">
        <v>5</v>
      </c>
      <c r="C210" s="11" t="s">
        <v>591</v>
      </c>
      <c r="D210" s="12">
        <v>46269.875</v>
      </c>
      <c r="E210" s="12">
        <v>46270.25</v>
      </c>
      <c r="F210" s="11" t="s">
        <v>247</v>
      </c>
    </row>
    <row r="211" spans="1:6" ht="30">
      <c r="A211" s="10" t="s">
        <v>245</v>
      </c>
      <c r="B211" s="10" t="s">
        <v>4</v>
      </c>
      <c r="C211" s="11" t="s">
        <v>590</v>
      </c>
      <c r="D211" s="12">
        <v>46269.875</v>
      </c>
      <c r="E211" s="12">
        <v>46270.25</v>
      </c>
      <c r="F211" s="11" t="s">
        <v>247</v>
      </c>
    </row>
    <row r="212" spans="1:6" ht="45">
      <c r="A212" s="10" t="s">
        <v>245</v>
      </c>
      <c r="B212" s="10" t="s">
        <v>5</v>
      </c>
      <c r="C212" s="11" t="s">
        <v>599</v>
      </c>
      <c r="D212" s="12">
        <v>46269.916666666701</v>
      </c>
      <c r="E212" s="12">
        <v>46270.25</v>
      </c>
      <c r="F212" s="11" t="s">
        <v>283</v>
      </c>
    </row>
    <row r="213" spans="1:6" ht="45">
      <c r="A213" s="10" t="s">
        <v>234</v>
      </c>
      <c r="B213" s="10" t="s">
        <v>6</v>
      </c>
      <c r="C213" s="11" t="s">
        <v>235</v>
      </c>
      <c r="D213" s="12">
        <v>45804.208333333299</v>
      </c>
      <c r="E213" s="12">
        <v>46418.208333333299</v>
      </c>
      <c r="F213" s="11" t="s">
        <v>236</v>
      </c>
    </row>
    <row r="214" spans="1:6" ht="45">
      <c r="A214" s="10" t="s">
        <v>234</v>
      </c>
      <c r="B214" s="10" t="s">
        <v>2</v>
      </c>
      <c r="C214" s="11" t="s">
        <v>280</v>
      </c>
      <c r="D214" s="12">
        <v>46267.833333333299</v>
      </c>
      <c r="E214" s="12">
        <v>46323.25</v>
      </c>
      <c r="F214" s="11" t="s">
        <v>281</v>
      </c>
    </row>
    <row r="215" spans="1:6" ht="45">
      <c r="A215" s="10" t="s">
        <v>105</v>
      </c>
      <c r="B215" s="10" t="s">
        <v>6</v>
      </c>
      <c r="C215" s="11" t="s">
        <v>106</v>
      </c>
      <c r="D215" s="12">
        <v>46269.833333333299</v>
      </c>
      <c r="E215" s="12">
        <v>46270.25</v>
      </c>
      <c r="F215" s="11" t="s">
        <v>107</v>
      </c>
    </row>
    <row r="216" spans="1:6" ht="45">
      <c r="A216" s="10" t="s">
        <v>105</v>
      </c>
      <c r="B216" s="10" t="s">
        <v>6</v>
      </c>
      <c r="C216" s="11" t="s">
        <v>268</v>
      </c>
      <c r="D216" s="12">
        <v>46269.875</v>
      </c>
      <c r="E216" s="12">
        <v>46270.208333333299</v>
      </c>
      <c r="F216" s="11" t="s">
        <v>269</v>
      </c>
    </row>
    <row r="217" spans="1:6" ht="45">
      <c r="A217" s="10" t="s">
        <v>105</v>
      </c>
      <c r="B217" s="10" t="s">
        <v>6</v>
      </c>
      <c r="C217" s="11" t="s">
        <v>270</v>
      </c>
      <c r="D217" s="12">
        <v>46269.875</v>
      </c>
      <c r="E217" s="12">
        <v>46270.208333333299</v>
      </c>
      <c r="F217" s="11" t="s">
        <v>269</v>
      </c>
    </row>
    <row r="218" spans="1:6" ht="45">
      <c r="A218" s="10" t="s">
        <v>105</v>
      </c>
      <c r="B218" s="10" t="s">
        <v>6</v>
      </c>
      <c r="C218" s="11" t="s">
        <v>603</v>
      </c>
      <c r="D218" s="12">
        <v>46269.875</v>
      </c>
      <c r="E218" s="12">
        <v>46270.25</v>
      </c>
      <c r="F218" s="11" t="s">
        <v>601</v>
      </c>
    </row>
    <row r="219" spans="1:6" ht="45">
      <c r="A219" s="10" t="s">
        <v>105</v>
      </c>
      <c r="B219" s="10" t="s">
        <v>6</v>
      </c>
      <c r="C219" s="11" t="s">
        <v>605</v>
      </c>
      <c r="D219" s="12">
        <v>46269.875</v>
      </c>
      <c r="E219" s="12">
        <v>46270.25</v>
      </c>
      <c r="F219" s="11" t="s">
        <v>601</v>
      </c>
    </row>
    <row r="220" spans="1:6" ht="45">
      <c r="A220" s="10" t="s">
        <v>105</v>
      </c>
      <c r="B220" s="10" t="s">
        <v>6</v>
      </c>
      <c r="C220" s="11" t="s">
        <v>615</v>
      </c>
      <c r="D220" s="12">
        <v>46269.833333333299</v>
      </c>
      <c r="E220" s="12">
        <v>46270.25</v>
      </c>
      <c r="F220" s="11" t="s">
        <v>616</v>
      </c>
    </row>
    <row r="221" spans="1:6" ht="45">
      <c r="A221" s="10" t="s">
        <v>105</v>
      </c>
      <c r="B221" s="10" t="s">
        <v>6</v>
      </c>
      <c r="C221" s="11" t="s">
        <v>617</v>
      </c>
      <c r="D221" s="12">
        <v>46269.833333333299</v>
      </c>
      <c r="E221" s="12">
        <v>46270.25</v>
      </c>
      <c r="F221" s="11" t="s">
        <v>616</v>
      </c>
    </row>
    <row r="222" spans="1:6" ht="45">
      <c r="A222" s="10" t="s">
        <v>105</v>
      </c>
      <c r="B222" s="10" t="s">
        <v>2</v>
      </c>
      <c r="C222" s="11" t="s">
        <v>498</v>
      </c>
      <c r="D222" s="12">
        <v>46269.875</v>
      </c>
      <c r="E222" s="12">
        <v>46270.25</v>
      </c>
      <c r="F222" s="11" t="s">
        <v>499</v>
      </c>
    </row>
    <row r="223" spans="1:6" ht="45">
      <c r="A223" s="10" t="s">
        <v>105</v>
      </c>
      <c r="B223" s="10" t="s">
        <v>6</v>
      </c>
      <c r="C223" s="11" t="s">
        <v>500</v>
      </c>
      <c r="D223" s="12">
        <v>46269.875</v>
      </c>
      <c r="E223" s="12">
        <v>46270.25</v>
      </c>
      <c r="F223" s="11" t="s">
        <v>499</v>
      </c>
    </row>
    <row r="224" spans="1:6" ht="45">
      <c r="A224" s="10" t="s">
        <v>105</v>
      </c>
      <c r="B224" s="10" t="s">
        <v>2</v>
      </c>
      <c r="C224" s="11" t="s">
        <v>657</v>
      </c>
      <c r="D224" s="12">
        <v>46269.875</v>
      </c>
      <c r="E224" s="12">
        <v>46270.25</v>
      </c>
      <c r="F224" s="11" t="s">
        <v>658</v>
      </c>
    </row>
    <row r="225" spans="1:6" ht="45">
      <c r="A225" s="10" t="s">
        <v>105</v>
      </c>
      <c r="B225" s="10" t="s">
        <v>6</v>
      </c>
      <c r="C225" s="11" t="s">
        <v>501</v>
      </c>
      <c r="D225" s="12">
        <v>46269.875</v>
      </c>
      <c r="E225" s="12">
        <v>46270.25</v>
      </c>
      <c r="F225" s="11" t="s">
        <v>502</v>
      </c>
    </row>
    <row r="226" spans="1:6" ht="45">
      <c r="A226" s="10" t="s">
        <v>105</v>
      </c>
      <c r="B226" s="10" t="s">
        <v>6</v>
      </c>
      <c r="C226" s="11" t="s">
        <v>505</v>
      </c>
      <c r="D226" s="12">
        <v>46269.875</v>
      </c>
      <c r="E226" s="12">
        <v>46270.25</v>
      </c>
      <c r="F226" s="11" t="s">
        <v>502</v>
      </c>
    </row>
    <row r="227" spans="1:6" ht="45">
      <c r="A227" s="10" t="s">
        <v>105</v>
      </c>
      <c r="B227" s="10" t="s">
        <v>6</v>
      </c>
      <c r="C227" s="11" t="s">
        <v>506</v>
      </c>
      <c r="D227" s="12">
        <v>46269.875</v>
      </c>
      <c r="E227" s="12">
        <v>46270.25</v>
      </c>
      <c r="F227" s="11" t="s">
        <v>502</v>
      </c>
    </row>
    <row r="228" spans="1:6" ht="45">
      <c r="A228" s="10" t="s">
        <v>271</v>
      </c>
      <c r="B228" s="10" t="s">
        <v>8</v>
      </c>
      <c r="C228" s="11" t="s">
        <v>272</v>
      </c>
      <c r="D228" s="12">
        <v>46269.875</v>
      </c>
      <c r="E228" s="12">
        <v>46270.25</v>
      </c>
      <c r="F228" s="11" t="s">
        <v>273</v>
      </c>
    </row>
    <row r="229" spans="1:6" ht="45">
      <c r="A229" s="10" t="s">
        <v>271</v>
      </c>
      <c r="B229" s="10" t="s">
        <v>7</v>
      </c>
      <c r="C229" s="11" t="s">
        <v>274</v>
      </c>
      <c r="D229" s="12">
        <v>46269.999305555597</v>
      </c>
      <c r="E229" s="12">
        <v>46270.25</v>
      </c>
      <c r="F229" s="11" t="s">
        <v>273</v>
      </c>
    </row>
    <row r="230" spans="1:6" ht="45">
      <c r="A230" s="10" t="s">
        <v>271</v>
      </c>
      <c r="B230" s="10" t="s">
        <v>8</v>
      </c>
      <c r="C230" s="11" t="s">
        <v>592</v>
      </c>
      <c r="D230" s="12">
        <v>46269.875</v>
      </c>
      <c r="E230" s="12">
        <v>46270.25</v>
      </c>
      <c r="F230" s="11" t="s">
        <v>593</v>
      </c>
    </row>
    <row r="231" spans="1:6" ht="45">
      <c r="A231" s="10" t="s">
        <v>271</v>
      </c>
      <c r="B231" s="10" t="s">
        <v>8</v>
      </c>
      <c r="C231" s="11" t="s">
        <v>727</v>
      </c>
      <c r="D231" s="12">
        <v>46269.958333333299</v>
      </c>
      <c r="E231" s="12">
        <v>46270.25</v>
      </c>
      <c r="F231" s="11" t="s">
        <v>728</v>
      </c>
    </row>
    <row r="232" spans="1:6" ht="45">
      <c r="A232" s="10" t="s">
        <v>271</v>
      </c>
      <c r="B232" s="10" t="s">
        <v>8</v>
      </c>
      <c r="C232" s="11" t="s">
        <v>729</v>
      </c>
      <c r="D232" s="12">
        <v>46269.958333333299</v>
      </c>
      <c r="E232" s="12">
        <v>46270.25</v>
      </c>
      <c r="F232" s="11" t="s">
        <v>728</v>
      </c>
    </row>
    <row r="233" spans="1:6" ht="30">
      <c r="A233" s="10" t="s">
        <v>271</v>
      </c>
      <c r="B233" s="10" t="s">
        <v>8</v>
      </c>
      <c r="C233" s="11" t="s">
        <v>730</v>
      </c>
      <c r="D233" s="12">
        <v>46269.958333333299</v>
      </c>
      <c r="E233" s="12">
        <v>46270.25</v>
      </c>
      <c r="F233" s="11" t="s">
        <v>728</v>
      </c>
    </row>
    <row r="234" spans="1:6" ht="45">
      <c r="A234" s="10" t="s">
        <v>271</v>
      </c>
      <c r="B234" s="10" t="s">
        <v>8</v>
      </c>
      <c r="C234" s="11" t="s">
        <v>731</v>
      </c>
      <c r="D234" s="12">
        <v>46269.958333333299</v>
      </c>
      <c r="E234" s="12">
        <v>46270.25</v>
      </c>
      <c r="F234" s="11" t="s">
        <v>728</v>
      </c>
    </row>
    <row r="235" spans="1:6" ht="60">
      <c r="A235" s="10" t="s">
        <v>271</v>
      </c>
      <c r="B235" s="10" t="s">
        <v>8</v>
      </c>
      <c r="C235" s="11" t="s">
        <v>732</v>
      </c>
      <c r="D235" s="12">
        <v>46269.958333333299</v>
      </c>
      <c r="E235" s="12">
        <v>46270.25</v>
      </c>
      <c r="F235" s="11" t="s">
        <v>728</v>
      </c>
    </row>
    <row r="236" spans="1:6" ht="60">
      <c r="A236" s="10" t="s">
        <v>271</v>
      </c>
      <c r="B236" s="10" t="s">
        <v>8</v>
      </c>
      <c r="C236" s="11" t="s">
        <v>733</v>
      </c>
      <c r="D236" s="12">
        <v>46269.958333333299</v>
      </c>
      <c r="E236" s="12">
        <v>46270.25</v>
      </c>
      <c r="F236" s="11" t="s">
        <v>728</v>
      </c>
    </row>
    <row r="237" spans="1:6" ht="60">
      <c r="A237" s="10" t="s">
        <v>271</v>
      </c>
      <c r="B237" s="10" t="s">
        <v>8</v>
      </c>
      <c r="C237" s="11" t="s">
        <v>734</v>
      </c>
      <c r="D237" s="12">
        <v>46269.875</v>
      </c>
      <c r="E237" s="12">
        <v>46270.25</v>
      </c>
      <c r="F237" s="11" t="s">
        <v>315</v>
      </c>
    </row>
    <row r="238" spans="1:6" ht="90">
      <c r="A238" s="10" t="s">
        <v>271</v>
      </c>
      <c r="B238" s="10" t="s">
        <v>2</v>
      </c>
      <c r="C238" s="11" t="s">
        <v>319</v>
      </c>
      <c r="D238" s="12">
        <v>46269.875</v>
      </c>
      <c r="E238" s="12">
        <v>46270.25</v>
      </c>
      <c r="F238" s="11" t="s">
        <v>315</v>
      </c>
    </row>
    <row r="239" spans="1:6" ht="90">
      <c r="A239" s="10" t="s">
        <v>159</v>
      </c>
      <c r="B239" s="10" t="s">
        <v>6</v>
      </c>
      <c r="C239" s="11" t="s">
        <v>160</v>
      </c>
      <c r="D239" s="12">
        <v>46269.833333333299</v>
      </c>
      <c r="E239" s="12">
        <v>46270.25</v>
      </c>
      <c r="F239" s="11" t="s">
        <v>161</v>
      </c>
    </row>
    <row r="240" spans="1:6" ht="75">
      <c r="A240" s="10" t="s">
        <v>159</v>
      </c>
      <c r="B240" s="10" t="s">
        <v>6</v>
      </c>
      <c r="C240" s="11" t="s">
        <v>162</v>
      </c>
      <c r="D240" s="12">
        <v>46269.833333333299</v>
      </c>
      <c r="E240" s="12">
        <v>46270.25</v>
      </c>
      <c r="F240" s="11" t="s">
        <v>161</v>
      </c>
    </row>
    <row r="241" spans="1:6" ht="90">
      <c r="A241" s="10" t="s">
        <v>159</v>
      </c>
      <c r="B241" s="10" t="s">
        <v>6</v>
      </c>
      <c r="C241" s="11" t="s">
        <v>163</v>
      </c>
      <c r="D241" s="12">
        <v>46269.833333333299</v>
      </c>
      <c r="E241" s="12">
        <v>46270.25</v>
      </c>
      <c r="F241" s="11" t="s">
        <v>161</v>
      </c>
    </row>
    <row r="242" spans="1:6" ht="75">
      <c r="A242" s="10" t="s">
        <v>159</v>
      </c>
      <c r="B242" s="10" t="s">
        <v>6</v>
      </c>
      <c r="C242" s="11" t="s">
        <v>164</v>
      </c>
      <c r="D242" s="12">
        <v>46269.833333333299</v>
      </c>
      <c r="E242" s="12">
        <v>46270.25</v>
      </c>
      <c r="F242" s="11" t="s">
        <v>161</v>
      </c>
    </row>
    <row r="243" spans="1:6" ht="90">
      <c r="A243" s="10" t="s">
        <v>159</v>
      </c>
      <c r="B243" s="10" t="s">
        <v>6</v>
      </c>
      <c r="C243" s="11" t="s">
        <v>165</v>
      </c>
      <c r="D243" s="12">
        <v>46269.833333333299</v>
      </c>
      <c r="E243" s="12">
        <v>46270.25</v>
      </c>
      <c r="F243" s="11" t="s">
        <v>161</v>
      </c>
    </row>
    <row r="244" spans="1:6" ht="60">
      <c r="A244" s="10" t="s">
        <v>159</v>
      </c>
      <c r="B244" s="10" t="s">
        <v>6</v>
      </c>
      <c r="C244" s="11" t="s">
        <v>166</v>
      </c>
      <c r="D244" s="12">
        <v>46269.833333333299</v>
      </c>
      <c r="E244" s="12">
        <v>46270.25</v>
      </c>
      <c r="F244" s="11" t="s">
        <v>161</v>
      </c>
    </row>
    <row r="245" spans="1:6" ht="75">
      <c r="A245" s="10" t="s">
        <v>237</v>
      </c>
      <c r="B245" s="10" t="s">
        <v>2</v>
      </c>
      <c r="C245" s="11" t="s">
        <v>726</v>
      </c>
      <c r="D245" s="12">
        <v>46269.875</v>
      </c>
      <c r="E245" s="12">
        <v>46270.25</v>
      </c>
      <c r="F245" s="11" t="s">
        <v>239</v>
      </c>
    </row>
    <row r="246" spans="1:6" ht="120">
      <c r="A246" s="10" t="s">
        <v>127</v>
      </c>
      <c r="B246" s="10" t="s">
        <v>4</v>
      </c>
      <c r="C246" s="11" t="s">
        <v>128</v>
      </c>
      <c r="D246" s="12">
        <v>46269.833333333299</v>
      </c>
      <c r="E246" s="12">
        <v>46270.25</v>
      </c>
      <c r="F246" s="11" t="s">
        <v>129</v>
      </c>
    </row>
    <row r="247" spans="1:6" ht="120">
      <c r="A247" s="10" t="s">
        <v>127</v>
      </c>
      <c r="B247" s="10" t="s">
        <v>4</v>
      </c>
      <c r="C247" s="11" t="s">
        <v>130</v>
      </c>
      <c r="D247" s="12">
        <v>46269.833333333299</v>
      </c>
      <c r="E247" s="12">
        <v>46270.25</v>
      </c>
      <c r="F247" s="11" t="s">
        <v>129</v>
      </c>
    </row>
    <row r="248" spans="1:6" ht="45">
      <c r="A248" s="10" t="s">
        <v>127</v>
      </c>
      <c r="B248" s="10" t="s">
        <v>4</v>
      </c>
      <c r="C248" s="11" t="s">
        <v>131</v>
      </c>
      <c r="D248" s="12">
        <v>46269.833333333299</v>
      </c>
      <c r="E248" s="12">
        <v>46270.25</v>
      </c>
      <c r="F248" s="11" t="s">
        <v>129</v>
      </c>
    </row>
    <row r="249" spans="1:6" ht="75">
      <c r="A249" s="10" t="s">
        <v>127</v>
      </c>
      <c r="B249" s="10" t="s">
        <v>4</v>
      </c>
      <c r="C249" s="11" t="s">
        <v>132</v>
      </c>
      <c r="D249" s="12">
        <v>46269.833333333299</v>
      </c>
      <c r="E249" s="12">
        <v>46270.25</v>
      </c>
      <c r="F249" s="11" t="s">
        <v>129</v>
      </c>
    </row>
    <row r="250" spans="1:6" ht="105">
      <c r="A250" s="10" t="s">
        <v>127</v>
      </c>
      <c r="B250" s="10" t="s">
        <v>5</v>
      </c>
      <c r="C250" s="11" t="s">
        <v>133</v>
      </c>
      <c r="D250" s="12">
        <v>46269.916666666701</v>
      </c>
      <c r="E250" s="12">
        <v>46270.25</v>
      </c>
      <c r="F250" s="11" t="s">
        <v>129</v>
      </c>
    </row>
    <row r="251" spans="1:6" ht="90">
      <c r="A251" s="10" t="s">
        <v>127</v>
      </c>
      <c r="B251" s="10" t="s">
        <v>5</v>
      </c>
      <c r="C251" s="11" t="s">
        <v>134</v>
      </c>
      <c r="D251" s="12">
        <v>46269.916666666701</v>
      </c>
      <c r="E251" s="12">
        <v>46270.25</v>
      </c>
      <c r="F251" s="11" t="s">
        <v>129</v>
      </c>
    </row>
    <row r="252" spans="1:6" ht="45">
      <c r="A252" s="10" t="s">
        <v>127</v>
      </c>
      <c r="B252" s="10" t="s">
        <v>5</v>
      </c>
      <c r="C252" s="11" t="s">
        <v>135</v>
      </c>
      <c r="D252" s="12">
        <v>46269.916666666701</v>
      </c>
      <c r="E252" s="12">
        <v>46270.25</v>
      </c>
      <c r="F252" s="11" t="s">
        <v>129</v>
      </c>
    </row>
    <row r="253" spans="1:6" ht="60">
      <c r="A253" s="10" t="s">
        <v>127</v>
      </c>
      <c r="B253" s="10" t="s">
        <v>5</v>
      </c>
      <c r="C253" s="11" t="s">
        <v>136</v>
      </c>
      <c r="D253" s="12">
        <v>46269.916666666701</v>
      </c>
      <c r="E253" s="12">
        <v>46270.25</v>
      </c>
      <c r="F253" s="11" t="s">
        <v>129</v>
      </c>
    </row>
    <row r="254" spans="1:6" ht="75">
      <c r="A254" s="10" t="s">
        <v>127</v>
      </c>
      <c r="B254" s="10" t="s">
        <v>6</v>
      </c>
      <c r="C254" s="11" t="s">
        <v>154</v>
      </c>
      <c r="D254" s="12">
        <v>46269.958333333299</v>
      </c>
      <c r="E254" s="12">
        <v>46270.25</v>
      </c>
      <c r="F254" s="11" t="s">
        <v>155</v>
      </c>
    </row>
    <row r="255" spans="1:6" ht="90">
      <c r="A255" s="10" t="s">
        <v>127</v>
      </c>
      <c r="B255" s="10" t="s">
        <v>6</v>
      </c>
      <c r="C255" s="11" t="s">
        <v>156</v>
      </c>
      <c r="D255" s="12">
        <v>46269.958333333299</v>
      </c>
      <c r="E255" s="12">
        <v>46270.25</v>
      </c>
      <c r="F255" s="11" t="s">
        <v>155</v>
      </c>
    </row>
    <row r="256" spans="1:6" ht="90">
      <c r="A256" s="10" t="s">
        <v>127</v>
      </c>
      <c r="B256" s="10" t="s">
        <v>23</v>
      </c>
      <c r="C256" s="11" t="s">
        <v>574</v>
      </c>
      <c r="D256" s="12">
        <v>46269.833333333299</v>
      </c>
      <c r="E256" s="12">
        <v>46270.25</v>
      </c>
      <c r="F256" s="11" t="s">
        <v>169</v>
      </c>
    </row>
    <row r="257" spans="1:6" ht="90">
      <c r="A257" s="10" t="s">
        <v>127</v>
      </c>
      <c r="B257" s="10" t="s">
        <v>5</v>
      </c>
      <c r="C257" s="11" t="s">
        <v>173</v>
      </c>
      <c r="D257" s="12">
        <v>46269.833333333299</v>
      </c>
      <c r="E257" s="12">
        <v>46270.25</v>
      </c>
      <c r="F257" s="11" t="s">
        <v>174</v>
      </c>
    </row>
    <row r="258" spans="1:6" ht="135">
      <c r="A258" s="10" t="s">
        <v>127</v>
      </c>
      <c r="B258" s="10" t="s">
        <v>5</v>
      </c>
      <c r="C258" s="11" t="s">
        <v>175</v>
      </c>
      <c r="D258" s="12">
        <v>46269.833333333299</v>
      </c>
      <c r="E258" s="12">
        <v>46270.25</v>
      </c>
      <c r="F258" s="11" t="s">
        <v>174</v>
      </c>
    </row>
    <row r="259" spans="1:6" ht="45">
      <c r="A259" s="10" t="s">
        <v>127</v>
      </c>
      <c r="B259" s="10" t="s">
        <v>5</v>
      </c>
      <c r="C259" s="11" t="s">
        <v>176</v>
      </c>
      <c r="D259" s="12">
        <v>46269.833333333299</v>
      </c>
      <c r="E259" s="12">
        <v>46270.25</v>
      </c>
      <c r="F259" s="11" t="s">
        <v>174</v>
      </c>
    </row>
    <row r="260" spans="1:6" ht="45">
      <c r="A260" s="10" t="s">
        <v>127</v>
      </c>
      <c r="B260" s="10" t="s">
        <v>4</v>
      </c>
      <c r="C260" s="11" t="s">
        <v>130</v>
      </c>
      <c r="D260" s="12">
        <v>46269.875</v>
      </c>
      <c r="E260" s="12">
        <v>46270.25</v>
      </c>
      <c r="F260" s="11" t="s">
        <v>187</v>
      </c>
    </row>
    <row r="261" spans="1:6" ht="45">
      <c r="A261" s="10" t="s">
        <v>127</v>
      </c>
      <c r="B261" s="10" t="s">
        <v>4</v>
      </c>
      <c r="C261" s="11" t="s">
        <v>131</v>
      </c>
      <c r="D261" s="12">
        <v>46269.875</v>
      </c>
      <c r="E261" s="12">
        <v>46270.25</v>
      </c>
      <c r="F261" s="11" t="s">
        <v>187</v>
      </c>
    </row>
    <row r="262" spans="1:6" ht="75">
      <c r="A262" s="10" t="s">
        <v>127</v>
      </c>
      <c r="B262" s="10" t="s">
        <v>4</v>
      </c>
      <c r="C262" s="11" t="s">
        <v>132</v>
      </c>
      <c r="D262" s="12">
        <v>46269.875</v>
      </c>
      <c r="E262" s="12">
        <v>46270.25</v>
      </c>
      <c r="F262" s="11" t="s">
        <v>187</v>
      </c>
    </row>
    <row r="263" spans="1:6" ht="75">
      <c r="A263" s="10" t="s">
        <v>127</v>
      </c>
      <c r="B263" s="10" t="s">
        <v>4</v>
      </c>
      <c r="C263" s="11" t="s">
        <v>128</v>
      </c>
      <c r="D263" s="12">
        <v>46269.875</v>
      </c>
      <c r="E263" s="12">
        <v>46270.25</v>
      </c>
      <c r="F263" s="11" t="s">
        <v>187</v>
      </c>
    </row>
    <row r="264" spans="1:6" ht="105">
      <c r="A264" s="10" t="s">
        <v>127</v>
      </c>
      <c r="B264" s="10" t="s">
        <v>6</v>
      </c>
      <c r="C264" s="11" t="s">
        <v>600</v>
      </c>
      <c r="D264" s="12">
        <v>46269.875</v>
      </c>
      <c r="E264" s="12">
        <v>46270.25</v>
      </c>
      <c r="F264" s="11" t="s">
        <v>601</v>
      </c>
    </row>
    <row r="265" spans="1:6" ht="105">
      <c r="A265" s="10" t="s">
        <v>127</v>
      </c>
      <c r="B265" s="10" t="s">
        <v>6</v>
      </c>
      <c r="C265" s="11" t="s">
        <v>602</v>
      </c>
      <c r="D265" s="12">
        <v>46269.875</v>
      </c>
      <c r="E265" s="12">
        <v>46270.25</v>
      </c>
      <c r="F265" s="11" t="s">
        <v>601</v>
      </c>
    </row>
    <row r="266" spans="1:6" ht="75">
      <c r="A266" s="10" t="s">
        <v>127</v>
      </c>
      <c r="B266" s="10" t="s">
        <v>5</v>
      </c>
      <c r="C266" s="11" t="s">
        <v>604</v>
      </c>
      <c r="D266" s="12">
        <v>46269.875</v>
      </c>
      <c r="E266" s="12">
        <v>46270.25</v>
      </c>
      <c r="F266" s="11" t="s">
        <v>601</v>
      </c>
    </row>
    <row r="267" spans="1:6" ht="90">
      <c r="A267" s="10" t="s">
        <v>127</v>
      </c>
      <c r="B267" s="10" t="s">
        <v>4</v>
      </c>
      <c r="C267" s="11" t="s">
        <v>613</v>
      </c>
      <c r="D267" s="12">
        <v>46269.875</v>
      </c>
      <c r="E267" s="12">
        <v>46270.208333333299</v>
      </c>
      <c r="F267" s="11" t="s">
        <v>614</v>
      </c>
    </row>
    <row r="268" spans="1:6" ht="90">
      <c r="A268" s="10" t="s">
        <v>188</v>
      </c>
      <c r="B268" s="10" t="s">
        <v>7</v>
      </c>
      <c r="C268" s="11" t="s">
        <v>575</v>
      </c>
      <c r="D268" s="12">
        <v>46269.833333333299</v>
      </c>
      <c r="E268" s="12">
        <v>46270.25</v>
      </c>
      <c r="F268" s="11" t="s">
        <v>179</v>
      </c>
    </row>
    <row r="269" spans="1:6" ht="60">
      <c r="A269" s="10" t="s">
        <v>258</v>
      </c>
      <c r="B269" s="10" t="s">
        <v>5</v>
      </c>
      <c r="C269" s="11" t="s">
        <v>259</v>
      </c>
      <c r="D269" s="12">
        <v>46269.875</v>
      </c>
      <c r="E269" s="12">
        <v>46270.25</v>
      </c>
      <c r="F269" s="11" t="s">
        <v>260</v>
      </c>
    </row>
    <row r="270" spans="1:6" ht="75">
      <c r="A270" s="10" t="s">
        <v>258</v>
      </c>
      <c r="B270" s="10" t="s">
        <v>5</v>
      </c>
      <c r="C270" s="11" t="s">
        <v>261</v>
      </c>
      <c r="D270" s="12">
        <v>46269.875</v>
      </c>
      <c r="E270" s="12">
        <v>46270.25</v>
      </c>
      <c r="F270" s="11" t="s">
        <v>260</v>
      </c>
    </row>
    <row r="271" spans="1:6" ht="75">
      <c r="A271" s="10" t="s">
        <v>258</v>
      </c>
      <c r="B271" s="10" t="s">
        <v>5</v>
      </c>
      <c r="C271" s="11" t="s">
        <v>594</v>
      </c>
      <c r="D271" s="12">
        <v>46269.875</v>
      </c>
      <c r="E271" s="12">
        <v>46270.208333333299</v>
      </c>
      <c r="F271" s="11" t="s">
        <v>595</v>
      </c>
    </row>
    <row r="272" spans="1:6" ht="75">
      <c r="A272" s="10" t="s">
        <v>258</v>
      </c>
      <c r="B272" s="10" t="s">
        <v>5</v>
      </c>
      <c r="C272" s="11" t="s">
        <v>596</v>
      </c>
      <c r="D272" s="12">
        <v>46269.875</v>
      </c>
      <c r="E272" s="12">
        <v>46270.208333333299</v>
      </c>
      <c r="F272" s="11" t="s">
        <v>595</v>
      </c>
    </row>
    <row r="273" spans="1:6" ht="75">
      <c r="A273" s="10" t="s">
        <v>258</v>
      </c>
      <c r="B273" s="10" t="s">
        <v>5</v>
      </c>
      <c r="C273" s="11" t="s">
        <v>597</v>
      </c>
      <c r="D273" s="12">
        <v>46269.875</v>
      </c>
      <c r="E273" s="12">
        <v>46270.208333333299</v>
      </c>
      <c r="F273" s="11" t="s">
        <v>595</v>
      </c>
    </row>
    <row r="274" spans="1:6" ht="75">
      <c r="A274" s="10" t="s">
        <v>258</v>
      </c>
      <c r="B274" s="10" t="s">
        <v>5</v>
      </c>
      <c r="C274" s="11" t="s">
        <v>598</v>
      </c>
      <c r="D274" s="12">
        <v>46269.875</v>
      </c>
      <c r="E274" s="12">
        <v>46270.208333333299</v>
      </c>
      <c r="F274" s="11" t="s">
        <v>595</v>
      </c>
    </row>
    <row r="275" spans="1:6" ht="60">
      <c r="A275" s="10" t="s">
        <v>258</v>
      </c>
      <c r="B275" s="10" t="s">
        <v>5</v>
      </c>
      <c r="C275" s="11" t="s">
        <v>307</v>
      </c>
      <c r="D275" s="12">
        <v>46269.875</v>
      </c>
      <c r="E275" s="12">
        <v>46270.25</v>
      </c>
      <c r="F275" s="11" t="s">
        <v>308</v>
      </c>
    </row>
    <row r="276" spans="1:6" ht="90">
      <c r="A276" s="10" t="s">
        <v>258</v>
      </c>
      <c r="B276" s="10" t="s">
        <v>5</v>
      </c>
      <c r="C276" s="11" t="s">
        <v>309</v>
      </c>
      <c r="D276" s="12">
        <v>46269.875</v>
      </c>
      <c r="E276" s="12">
        <v>46270.25</v>
      </c>
      <c r="F276" s="11" t="s">
        <v>308</v>
      </c>
    </row>
    <row r="277" spans="1:6" ht="60">
      <c r="A277" s="10" t="s">
        <v>317</v>
      </c>
      <c r="B277" s="10" t="s">
        <v>6</v>
      </c>
      <c r="C277" s="11" t="s">
        <v>318</v>
      </c>
      <c r="D277" s="12">
        <v>46269.875</v>
      </c>
      <c r="E277" s="12">
        <v>46270.25</v>
      </c>
      <c r="F277" s="11" t="s">
        <v>315</v>
      </c>
    </row>
    <row r="278" spans="1:6" ht="90">
      <c r="A278" s="10" t="s">
        <v>262</v>
      </c>
      <c r="B278" s="10" t="s">
        <v>4</v>
      </c>
      <c r="C278" s="11" t="s">
        <v>263</v>
      </c>
      <c r="D278" s="12">
        <v>46269.833333333299</v>
      </c>
      <c r="E278" s="12">
        <v>46270.25</v>
      </c>
      <c r="F278" s="11" t="s">
        <v>264</v>
      </c>
    </row>
    <row r="279" spans="1:6" ht="75">
      <c r="A279" s="10" t="s">
        <v>262</v>
      </c>
      <c r="B279" s="10" t="s">
        <v>4</v>
      </c>
      <c r="C279" s="11" t="s">
        <v>265</v>
      </c>
      <c r="D279" s="12">
        <v>46269.833333333299</v>
      </c>
      <c r="E279" s="12">
        <v>46270.25</v>
      </c>
      <c r="F279" s="11" t="s">
        <v>264</v>
      </c>
    </row>
    <row r="280" spans="1:6" ht="45">
      <c r="A280" s="10" t="s">
        <v>262</v>
      </c>
      <c r="B280" s="10" t="s">
        <v>5</v>
      </c>
      <c r="C280" s="11" t="s">
        <v>266</v>
      </c>
      <c r="D280" s="12">
        <v>46269.833333333299</v>
      </c>
      <c r="E280" s="12">
        <v>46270.25</v>
      </c>
      <c r="F280" s="11" t="s">
        <v>264</v>
      </c>
    </row>
    <row r="281" spans="1:6" ht="45">
      <c r="A281" s="10" t="s">
        <v>262</v>
      </c>
      <c r="B281" s="10" t="s">
        <v>5</v>
      </c>
      <c r="C281" s="11" t="s">
        <v>267</v>
      </c>
      <c r="D281" s="12">
        <v>46269.833333333299</v>
      </c>
      <c r="E281" s="12">
        <v>46270.25</v>
      </c>
      <c r="F281" s="11" t="s">
        <v>264</v>
      </c>
    </row>
  </sheetData>
  <autoFilter ref="A2:F44" xr:uid="{EAF5096B-2F41-4EFE-9DE9-A204CAB2E3DA}">
    <sortState xmlns:xlrd2="http://schemas.microsoft.com/office/spreadsheetml/2017/richdata2" ref="A3:F281">
      <sortCondition ref="A2:A44"/>
    </sortState>
  </autoFilter>
  <mergeCells count="1">
    <mergeCell ref="A1:F1"/>
  </mergeCells>
  <conditionalFormatting sqref="A3:F281">
    <cfRule type="expression" dxfId="3"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54193-465E-4CDA-A774-7E91121BD6B3}">
  <sheetPr>
    <tabColor theme="9"/>
  </sheetPr>
  <dimension ref="A1:K105"/>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2.54296875" style="4" customWidth="1"/>
    <col min="4" max="4" width="16.453125" style="4" customWidth="1"/>
    <col min="5" max="5" width="16" style="9" customWidth="1"/>
    <col min="6" max="6" width="47" style="9" customWidth="1"/>
    <col min="7" max="11" width="0" hidden="1" customWidth="1"/>
    <col min="12" max="16384" width="8.7265625" hidden="1"/>
  </cols>
  <sheetData>
    <row r="1" spans="1:6" ht="33">
      <c r="A1" s="28" t="str">
        <f>"Daily closure report: "&amp;'Front page'!A8</f>
        <v>Daily closure report: Saturday, 5 September</v>
      </c>
      <c r="B1" s="28"/>
      <c r="C1" s="28"/>
      <c r="D1" s="28"/>
      <c r="E1" s="28"/>
      <c r="F1" s="28"/>
    </row>
    <row r="2" spans="1:6" s="3" customFormat="1" ht="27.6">
      <c r="A2" s="8" t="s">
        <v>9</v>
      </c>
      <c r="B2" s="8" t="s">
        <v>1</v>
      </c>
      <c r="C2" s="8" t="s">
        <v>0</v>
      </c>
      <c r="D2" s="7" t="s">
        <v>11</v>
      </c>
      <c r="E2" s="7" t="s">
        <v>12</v>
      </c>
      <c r="F2" s="8" t="s">
        <v>10</v>
      </c>
    </row>
    <row r="3" spans="1:6" s="3" customFormat="1" ht="60">
      <c r="A3" s="10" t="s">
        <v>42</v>
      </c>
      <c r="B3" s="10" t="s">
        <v>6</v>
      </c>
      <c r="C3" s="11" t="s">
        <v>681</v>
      </c>
      <c r="D3" s="12">
        <v>46269.875</v>
      </c>
      <c r="E3" s="12">
        <v>46272.208333333299</v>
      </c>
      <c r="F3" s="11" t="s">
        <v>680</v>
      </c>
    </row>
    <row r="4" spans="1:6" s="3" customFormat="1" ht="60">
      <c r="A4" s="10" t="s">
        <v>42</v>
      </c>
      <c r="B4" s="10" t="s">
        <v>6</v>
      </c>
      <c r="C4" s="11" t="s">
        <v>682</v>
      </c>
      <c r="D4" s="12">
        <v>46269.875</v>
      </c>
      <c r="E4" s="12">
        <v>46272.208333333299</v>
      </c>
      <c r="F4" s="11" t="s">
        <v>680</v>
      </c>
    </row>
    <row r="5" spans="1:6" s="3" customFormat="1" ht="60">
      <c r="A5" s="10" t="s">
        <v>42</v>
      </c>
      <c r="B5" s="10" t="s">
        <v>2</v>
      </c>
      <c r="C5" s="11" t="s">
        <v>683</v>
      </c>
      <c r="D5" s="12">
        <v>46269.875</v>
      </c>
      <c r="E5" s="12">
        <v>46272.208333333299</v>
      </c>
      <c r="F5" s="11" t="s">
        <v>680</v>
      </c>
    </row>
    <row r="6" spans="1:6" s="3" customFormat="1" ht="60">
      <c r="A6" s="10" t="s">
        <v>42</v>
      </c>
      <c r="B6" s="10" t="s">
        <v>23</v>
      </c>
      <c r="C6" s="11" t="s">
        <v>52</v>
      </c>
      <c r="D6" s="12">
        <v>45847.208333333299</v>
      </c>
      <c r="E6" s="12">
        <v>46507.999305555597</v>
      </c>
      <c r="F6" s="11" t="s">
        <v>53</v>
      </c>
    </row>
    <row r="7" spans="1:6" s="3" customFormat="1" ht="75">
      <c r="A7" s="10" t="s">
        <v>42</v>
      </c>
      <c r="B7" s="10" t="s">
        <v>23</v>
      </c>
      <c r="C7" s="11" t="s">
        <v>543</v>
      </c>
      <c r="D7" s="12">
        <v>46270.541666666701</v>
      </c>
      <c r="E7" s="12">
        <v>46270.833333333299</v>
      </c>
      <c r="F7" s="11" t="s">
        <v>544</v>
      </c>
    </row>
    <row r="8" spans="1:6" s="3" customFormat="1" ht="75">
      <c r="A8" s="10" t="s">
        <v>42</v>
      </c>
      <c r="B8" s="10" t="s">
        <v>6</v>
      </c>
      <c r="C8" s="11" t="s">
        <v>698</v>
      </c>
      <c r="D8" s="12">
        <v>46270.208333333299</v>
      </c>
      <c r="E8" s="12">
        <v>46270.541666666701</v>
      </c>
      <c r="F8" s="11" t="s">
        <v>699</v>
      </c>
    </row>
    <row r="9" spans="1:6" s="3" customFormat="1" ht="75">
      <c r="A9" s="10" t="s">
        <v>42</v>
      </c>
      <c r="B9" s="10" t="s">
        <v>2</v>
      </c>
      <c r="C9" s="11" t="s">
        <v>816</v>
      </c>
      <c r="D9" s="12">
        <v>46271.333333333299</v>
      </c>
      <c r="E9" s="12">
        <v>46271.75</v>
      </c>
      <c r="F9" s="11" t="s">
        <v>817</v>
      </c>
    </row>
    <row r="10" spans="1:6" s="3" customFormat="1" ht="75">
      <c r="A10" s="10" t="s">
        <v>60</v>
      </c>
      <c r="B10" s="10" t="s">
        <v>2</v>
      </c>
      <c r="C10" s="11" t="s">
        <v>809</v>
      </c>
      <c r="D10" s="12">
        <v>46270.875</v>
      </c>
      <c r="E10" s="12">
        <v>46271.25</v>
      </c>
      <c r="F10" s="11" t="s">
        <v>810</v>
      </c>
    </row>
    <row r="11" spans="1:6" s="3" customFormat="1" ht="45">
      <c r="A11" s="10" t="s">
        <v>60</v>
      </c>
      <c r="B11" s="10" t="s">
        <v>2</v>
      </c>
      <c r="C11" s="11" t="s">
        <v>811</v>
      </c>
      <c r="D11" s="12">
        <v>46270.875</v>
      </c>
      <c r="E11" s="12">
        <v>46271.25</v>
      </c>
      <c r="F11" s="11" t="s">
        <v>810</v>
      </c>
    </row>
    <row r="12" spans="1:6" s="3" customFormat="1" ht="45">
      <c r="A12" s="10" t="s">
        <v>60</v>
      </c>
      <c r="B12" s="10" t="s">
        <v>2</v>
      </c>
      <c r="C12" s="11" t="s">
        <v>812</v>
      </c>
      <c r="D12" s="12">
        <v>46270.875</v>
      </c>
      <c r="E12" s="12">
        <v>46271.25</v>
      </c>
      <c r="F12" s="11" t="s">
        <v>810</v>
      </c>
    </row>
    <row r="13" spans="1:6" s="3" customFormat="1" ht="75">
      <c r="A13" s="10" t="s">
        <v>60</v>
      </c>
      <c r="B13" s="10" t="s">
        <v>2</v>
      </c>
      <c r="C13" s="11" t="s">
        <v>813</v>
      </c>
      <c r="D13" s="12">
        <v>46270.875</v>
      </c>
      <c r="E13" s="12">
        <v>46271.25</v>
      </c>
      <c r="F13" s="11" t="s">
        <v>810</v>
      </c>
    </row>
    <row r="14" spans="1:6" s="3" customFormat="1" ht="90">
      <c r="A14" s="10" t="s">
        <v>60</v>
      </c>
      <c r="B14" s="10" t="s">
        <v>6</v>
      </c>
      <c r="C14" s="11" t="s">
        <v>820</v>
      </c>
      <c r="D14" s="12">
        <v>46270.833333333299</v>
      </c>
      <c r="E14" s="12">
        <v>46271.25</v>
      </c>
      <c r="F14" s="11" t="s">
        <v>821</v>
      </c>
    </row>
    <row r="15" spans="1:6" s="3" customFormat="1" ht="90">
      <c r="A15" s="10" t="s">
        <v>60</v>
      </c>
      <c r="B15" s="10" t="s">
        <v>6</v>
      </c>
      <c r="C15" s="11" t="s">
        <v>822</v>
      </c>
      <c r="D15" s="12">
        <v>46270.833333333299</v>
      </c>
      <c r="E15" s="12">
        <v>46271.25</v>
      </c>
      <c r="F15" s="11" t="s">
        <v>821</v>
      </c>
    </row>
    <row r="16" spans="1:6" s="3" customFormat="1" ht="60">
      <c r="A16" s="10" t="s">
        <v>60</v>
      </c>
      <c r="B16" s="10" t="s">
        <v>6</v>
      </c>
      <c r="C16" s="11" t="s">
        <v>877</v>
      </c>
      <c r="D16" s="12">
        <v>46270.916666666701</v>
      </c>
      <c r="E16" s="12">
        <v>46271.229166666701</v>
      </c>
      <c r="F16" s="11" t="s">
        <v>878</v>
      </c>
    </row>
    <row r="17" spans="1:6" s="3" customFormat="1" ht="45">
      <c r="A17" s="10" t="s">
        <v>60</v>
      </c>
      <c r="B17" s="10" t="s">
        <v>2</v>
      </c>
      <c r="C17" s="11" t="s">
        <v>879</v>
      </c>
      <c r="D17" s="12">
        <v>46270.916666666701</v>
      </c>
      <c r="E17" s="12">
        <v>46271.229166666701</v>
      </c>
      <c r="F17" s="11" t="s">
        <v>880</v>
      </c>
    </row>
    <row r="18" spans="1:6" s="3" customFormat="1" ht="75">
      <c r="A18" s="10" t="s">
        <v>794</v>
      </c>
      <c r="B18" s="10" t="s">
        <v>4</v>
      </c>
      <c r="C18" s="11" t="s">
        <v>795</v>
      </c>
      <c r="D18" s="12">
        <v>46270.833333333299</v>
      </c>
      <c r="E18" s="12">
        <v>46271.25</v>
      </c>
      <c r="F18" s="11" t="s">
        <v>796</v>
      </c>
    </row>
    <row r="19" spans="1:6" s="3" customFormat="1" ht="75">
      <c r="A19" s="10" t="s">
        <v>794</v>
      </c>
      <c r="B19" s="10" t="s">
        <v>5</v>
      </c>
      <c r="C19" s="11" t="s">
        <v>797</v>
      </c>
      <c r="D19" s="12">
        <v>46270.833333333299</v>
      </c>
      <c r="E19" s="12">
        <v>46271.25</v>
      </c>
      <c r="F19" s="11" t="s">
        <v>796</v>
      </c>
    </row>
    <row r="20" spans="1:6" s="3" customFormat="1" ht="75">
      <c r="A20" s="10" t="s">
        <v>794</v>
      </c>
      <c r="B20" s="10" t="s">
        <v>23</v>
      </c>
      <c r="C20" s="11" t="s">
        <v>798</v>
      </c>
      <c r="D20" s="12">
        <v>46270.833333333299</v>
      </c>
      <c r="E20" s="12">
        <v>46271.25</v>
      </c>
      <c r="F20" s="11" t="s">
        <v>796</v>
      </c>
    </row>
    <row r="21" spans="1:6" s="3" customFormat="1" ht="75">
      <c r="A21" s="10" t="s">
        <v>794</v>
      </c>
      <c r="B21" s="10" t="s">
        <v>4</v>
      </c>
      <c r="C21" s="11" t="s">
        <v>799</v>
      </c>
      <c r="D21" s="12">
        <v>46270.833333333299</v>
      </c>
      <c r="E21" s="12">
        <v>46271.25</v>
      </c>
      <c r="F21" s="11" t="s">
        <v>796</v>
      </c>
    </row>
    <row r="22" spans="1:6" s="3" customFormat="1" ht="90">
      <c r="A22" s="10" t="s">
        <v>29</v>
      </c>
      <c r="B22" s="10" t="s">
        <v>4</v>
      </c>
      <c r="C22" s="11" t="s">
        <v>803</v>
      </c>
      <c r="D22" s="12">
        <v>46270.875</v>
      </c>
      <c r="E22" s="12">
        <v>46271.25</v>
      </c>
      <c r="F22" s="11" t="s">
        <v>804</v>
      </c>
    </row>
    <row r="23" spans="1:6" s="3" customFormat="1" ht="90">
      <c r="A23" s="10" t="s">
        <v>392</v>
      </c>
      <c r="B23" s="10" t="s">
        <v>5</v>
      </c>
      <c r="C23" s="11" t="s">
        <v>865</v>
      </c>
      <c r="D23" s="12">
        <v>46270.833333333299</v>
      </c>
      <c r="E23" s="12">
        <v>46271.25</v>
      </c>
      <c r="F23" s="11" t="s">
        <v>866</v>
      </c>
    </row>
    <row r="24" spans="1:6" s="3" customFormat="1" ht="60">
      <c r="A24" s="10" t="s">
        <v>376</v>
      </c>
      <c r="B24" s="10" t="s">
        <v>4</v>
      </c>
      <c r="C24" s="11" t="s">
        <v>861</v>
      </c>
      <c r="D24" s="12">
        <v>46270.875</v>
      </c>
      <c r="E24" s="12">
        <v>46272.25</v>
      </c>
      <c r="F24" s="11" t="s">
        <v>862</v>
      </c>
    </row>
    <row r="25" spans="1:6" s="3" customFormat="1" ht="60">
      <c r="A25" s="10" t="s">
        <v>420</v>
      </c>
      <c r="B25" s="10" t="s">
        <v>2</v>
      </c>
      <c r="C25" s="11" t="s">
        <v>869</v>
      </c>
      <c r="D25" s="12">
        <v>46270.916666666701</v>
      </c>
      <c r="E25" s="12">
        <v>46271.229166666701</v>
      </c>
      <c r="F25" s="11" t="s">
        <v>870</v>
      </c>
    </row>
    <row r="26" spans="1:6" s="3" customFormat="1" ht="60">
      <c r="A26" s="10" t="s">
        <v>452</v>
      </c>
      <c r="B26" s="10" t="s">
        <v>5</v>
      </c>
      <c r="C26" s="11" t="s">
        <v>881</v>
      </c>
      <c r="D26" s="12">
        <v>46270.875</v>
      </c>
      <c r="E26" s="12">
        <v>46271.25</v>
      </c>
      <c r="F26" s="11" t="s">
        <v>882</v>
      </c>
    </row>
    <row r="27" spans="1:6" s="3" customFormat="1" ht="60">
      <c r="A27" s="10" t="s">
        <v>452</v>
      </c>
      <c r="B27" s="10" t="s">
        <v>4</v>
      </c>
      <c r="C27" s="11" t="s">
        <v>883</v>
      </c>
      <c r="D27" s="12">
        <v>46270.875</v>
      </c>
      <c r="E27" s="12">
        <v>46271.25</v>
      </c>
      <c r="F27" s="11" t="s">
        <v>882</v>
      </c>
    </row>
    <row r="28" spans="1:6" s="3" customFormat="1" ht="60">
      <c r="A28" s="10" t="s">
        <v>345</v>
      </c>
      <c r="B28" s="10" t="s">
        <v>4</v>
      </c>
      <c r="C28" s="11" t="s">
        <v>360</v>
      </c>
      <c r="D28" s="12">
        <v>46270.875</v>
      </c>
      <c r="E28" s="12">
        <v>46271.25</v>
      </c>
      <c r="F28" s="11" t="s">
        <v>361</v>
      </c>
    </row>
    <row r="29" spans="1:6" s="3" customFormat="1" ht="60">
      <c r="A29" s="10" t="s">
        <v>371</v>
      </c>
      <c r="B29" s="10" t="s">
        <v>5</v>
      </c>
      <c r="C29" s="11" t="s">
        <v>857</v>
      </c>
      <c r="D29" s="12">
        <v>46270.875</v>
      </c>
      <c r="E29" s="12">
        <v>46271.229166666701</v>
      </c>
      <c r="F29" s="11" t="s">
        <v>858</v>
      </c>
    </row>
    <row r="30" spans="1:6" s="3" customFormat="1" ht="60">
      <c r="A30" s="10" t="s">
        <v>371</v>
      </c>
      <c r="B30" s="10" t="s">
        <v>4</v>
      </c>
      <c r="C30" s="11" t="s">
        <v>859</v>
      </c>
      <c r="D30" s="12">
        <v>46270.875</v>
      </c>
      <c r="E30" s="12">
        <v>46271.208333333299</v>
      </c>
      <c r="F30" s="11" t="s">
        <v>858</v>
      </c>
    </row>
    <row r="31" spans="1:6" s="3" customFormat="1" ht="45">
      <c r="A31" s="10" t="s">
        <v>371</v>
      </c>
      <c r="B31" s="10" t="s">
        <v>5</v>
      </c>
      <c r="C31" s="11" t="s">
        <v>860</v>
      </c>
      <c r="D31" s="12">
        <v>46270.875</v>
      </c>
      <c r="E31" s="12">
        <v>46271.229166666701</v>
      </c>
      <c r="F31" s="11" t="s">
        <v>858</v>
      </c>
    </row>
    <row r="32" spans="1:6" s="3" customFormat="1" ht="45">
      <c r="A32" s="10" t="s">
        <v>330</v>
      </c>
      <c r="B32" s="10" t="s">
        <v>2</v>
      </c>
      <c r="C32" s="11" t="s">
        <v>331</v>
      </c>
      <c r="D32" s="12">
        <v>46270.875</v>
      </c>
      <c r="E32" s="12">
        <v>46271.25</v>
      </c>
      <c r="F32" s="11" t="s">
        <v>332</v>
      </c>
    </row>
    <row r="33" spans="1:6" s="3" customFormat="1" ht="75">
      <c r="A33" s="10" t="s">
        <v>102</v>
      </c>
      <c r="B33" s="10" t="s">
        <v>6</v>
      </c>
      <c r="C33" s="11" t="s">
        <v>495</v>
      </c>
      <c r="D33" s="12">
        <v>46202.875</v>
      </c>
      <c r="E33" s="12">
        <v>46508.208333333299</v>
      </c>
      <c r="F33" s="11" t="s">
        <v>496</v>
      </c>
    </row>
    <row r="34" spans="1:6" s="3" customFormat="1" ht="60">
      <c r="A34" s="10" t="s">
        <v>102</v>
      </c>
      <c r="B34" s="10" t="s">
        <v>2</v>
      </c>
      <c r="C34" s="11" t="s">
        <v>497</v>
      </c>
      <c r="D34" s="12">
        <v>46266.333333333299</v>
      </c>
      <c r="E34" s="12">
        <v>46477</v>
      </c>
      <c r="F34" s="11" t="s">
        <v>496</v>
      </c>
    </row>
    <row r="35" spans="1:6" s="3" customFormat="1" ht="60">
      <c r="A35" s="10" t="s">
        <v>102</v>
      </c>
      <c r="B35" s="10" t="s">
        <v>6</v>
      </c>
      <c r="C35" s="11" t="s">
        <v>886</v>
      </c>
      <c r="D35" s="12">
        <v>46270.875</v>
      </c>
      <c r="E35" s="12">
        <v>46271.25</v>
      </c>
      <c r="F35" s="11" t="s">
        <v>887</v>
      </c>
    </row>
    <row r="36" spans="1:6" s="3" customFormat="1" ht="45">
      <c r="A36" s="10" t="s">
        <v>490</v>
      </c>
      <c r="B36" s="10" t="s">
        <v>2</v>
      </c>
      <c r="C36" s="11" t="s">
        <v>784</v>
      </c>
      <c r="D36" s="12">
        <v>46269.958333333299</v>
      </c>
      <c r="E36" s="12">
        <v>46272.25</v>
      </c>
      <c r="F36" s="11" t="s">
        <v>785</v>
      </c>
    </row>
    <row r="37" spans="1:6" s="3" customFormat="1" ht="45">
      <c r="A37" s="10" t="s">
        <v>490</v>
      </c>
      <c r="B37" s="10" t="s">
        <v>6</v>
      </c>
      <c r="C37" s="11" t="s">
        <v>786</v>
      </c>
      <c r="D37" s="12">
        <v>46269.958333333299</v>
      </c>
      <c r="E37" s="12">
        <v>46272.25</v>
      </c>
      <c r="F37" s="11" t="s">
        <v>787</v>
      </c>
    </row>
    <row r="38" spans="1:6" s="3" customFormat="1" ht="45">
      <c r="A38" s="10" t="s">
        <v>68</v>
      </c>
      <c r="B38" s="10" t="s">
        <v>5</v>
      </c>
      <c r="C38" s="11" t="s">
        <v>679</v>
      </c>
      <c r="D38" s="12">
        <v>46269.875</v>
      </c>
      <c r="E38" s="12">
        <v>46272.208333333299</v>
      </c>
      <c r="F38" s="11" t="s">
        <v>680</v>
      </c>
    </row>
    <row r="39" spans="1:6" s="3" customFormat="1" ht="45">
      <c r="A39" s="10" t="s">
        <v>516</v>
      </c>
      <c r="B39" s="10" t="s">
        <v>2</v>
      </c>
      <c r="C39" s="11" t="s">
        <v>517</v>
      </c>
      <c r="D39" s="12">
        <v>46217.625</v>
      </c>
      <c r="E39" s="12">
        <v>46387.875</v>
      </c>
      <c r="F39" s="11" t="s">
        <v>518</v>
      </c>
    </row>
    <row r="40" spans="1:6" s="3" customFormat="1" ht="45">
      <c r="A40" s="10" t="s">
        <v>71</v>
      </c>
      <c r="B40" s="10" t="s">
        <v>23</v>
      </c>
      <c r="C40" s="11" t="s">
        <v>888</v>
      </c>
      <c r="D40" s="12">
        <v>46270.833333333299</v>
      </c>
      <c r="E40" s="12">
        <v>46271.416666666701</v>
      </c>
      <c r="F40" s="11" t="s">
        <v>889</v>
      </c>
    </row>
    <row r="41" spans="1:6" s="3" customFormat="1" ht="45">
      <c r="A41" s="10" t="s">
        <v>509</v>
      </c>
      <c r="B41" s="10" t="s">
        <v>23</v>
      </c>
      <c r="C41" s="11" t="s">
        <v>510</v>
      </c>
      <c r="D41" s="12">
        <v>46230.833333333299</v>
      </c>
      <c r="E41" s="12">
        <v>46403.25</v>
      </c>
      <c r="F41" s="11" t="s">
        <v>511</v>
      </c>
    </row>
    <row r="42" spans="1:6" s="3" customFormat="1" ht="45">
      <c r="A42" s="10" t="s">
        <v>832</v>
      </c>
      <c r="B42" s="10" t="s">
        <v>6</v>
      </c>
      <c r="C42" s="11" t="s">
        <v>833</v>
      </c>
      <c r="D42" s="12">
        <v>46270.875</v>
      </c>
      <c r="E42" s="12">
        <v>46271.25</v>
      </c>
      <c r="F42" s="11" t="s">
        <v>831</v>
      </c>
    </row>
    <row r="43" spans="1:6" s="3" customFormat="1" ht="30">
      <c r="A43" s="10" t="s">
        <v>832</v>
      </c>
      <c r="B43" s="10" t="s">
        <v>6</v>
      </c>
      <c r="C43" s="11" t="s">
        <v>834</v>
      </c>
      <c r="D43" s="12">
        <v>46270.875</v>
      </c>
      <c r="E43" s="12">
        <v>46271.25</v>
      </c>
      <c r="F43" s="11" t="s">
        <v>831</v>
      </c>
    </row>
    <row r="44" spans="1:6" ht="30">
      <c r="A44" s="10" t="s">
        <v>854</v>
      </c>
      <c r="B44" s="10" t="s">
        <v>6</v>
      </c>
      <c r="C44" s="11" t="s">
        <v>855</v>
      </c>
      <c r="D44" s="12">
        <v>46270.875</v>
      </c>
      <c r="E44" s="12">
        <v>46271.25</v>
      </c>
      <c r="F44" s="11" t="s">
        <v>856</v>
      </c>
    </row>
    <row r="45" spans="1:6" ht="30">
      <c r="A45" s="10" t="s">
        <v>177</v>
      </c>
      <c r="B45" s="10" t="s">
        <v>6</v>
      </c>
      <c r="C45" s="11" t="s">
        <v>178</v>
      </c>
      <c r="D45" s="12">
        <v>46237.833333333299</v>
      </c>
      <c r="E45" s="12">
        <v>46326.25</v>
      </c>
      <c r="F45" s="11" t="s">
        <v>179</v>
      </c>
    </row>
    <row r="46" spans="1:6" ht="30">
      <c r="A46" s="10" t="s">
        <v>177</v>
      </c>
      <c r="B46" s="10" t="s">
        <v>2</v>
      </c>
      <c r="C46" s="11" t="s">
        <v>180</v>
      </c>
      <c r="D46" s="12">
        <v>46237.833333333299</v>
      </c>
      <c r="E46" s="12">
        <v>46326.25</v>
      </c>
      <c r="F46" s="11" t="s">
        <v>179</v>
      </c>
    </row>
    <row r="47" spans="1:6" ht="30">
      <c r="A47" s="10" t="s">
        <v>202</v>
      </c>
      <c r="B47" s="10" t="s">
        <v>4</v>
      </c>
      <c r="C47" s="11" t="s">
        <v>738</v>
      </c>
      <c r="D47" s="12">
        <v>46269.791666666701</v>
      </c>
      <c r="E47" s="12">
        <v>46272.25</v>
      </c>
      <c r="F47" s="11" t="s">
        <v>739</v>
      </c>
    </row>
    <row r="48" spans="1:6" ht="45">
      <c r="A48" s="10" t="s">
        <v>57</v>
      </c>
      <c r="B48" s="10" t="s">
        <v>2</v>
      </c>
      <c r="C48" s="11" t="s">
        <v>800</v>
      </c>
      <c r="D48" s="12">
        <v>46270.875</v>
      </c>
      <c r="E48" s="12">
        <v>46271.208333333299</v>
      </c>
      <c r="F48" s="11" t="s">
        <v>801</v>
      </c>
    </row>
    <row r="49" spans="1:6" ht="45">
      <c r="A49" s="10" t="s">
        <v>57</v>
      </c>
      <c r="B49" s="10" t="s">
        <v>2</v>
      </c>
      <c r="C49" s="11" t="s">
        <v>875</v>
      </c>
      <c r="D49" s="12">
        <v>46270.916666666701</v>
      </c>
      <c r="E49" s="12">
        <v>46271.25</v>
      </c>
      <c r="F49" s="11" t="s">
        <v>876</v>
      </c>
    </row>
    <row r="50" spans="1:6" ht="45">
      <c r="A50" s="10" t="s">
        <v>145</v>
      </c>
      <c r="B50" s="10" t="s">
        <v>6</v>
      </c>
      <c r="C50" s="11" t="s">
        <v>157</v>
      </c>
      <c r="D50" s="12">
        <v>46270.958333333299</v>
      </c>
      <c r="E50" s="12">
        <v>46271.25</v>
      </c>
      <c r="F50" s="11" t="s">
        <v>155</v>
      </c>
    </row>
    <row r="51" spans="1:6" ht="45">
      <c r="A51" s="10" t="s">
        <v>145</v>
      </c>
      <c r="B51" s="10" t="s">
        <v>6</v>
      </c>
      <c r="C51" s="11" t="s">
        <v>158</v>
      </c>
      <c r="D51" s="12">
        <v>46270.958333333299</v>
      </c>
      <c r="E51" s="12">
        <v>46271.25</v>
      </c>
      <c r="F51" s="11" t="s">
        <v>155</v>
      </c>
    </row>
    <row r="52" spans="1:6" ht="45">
      <c r="A52" s="10" t="s">
        <v>415</v>
      </c>
      <c r="B52" s="10" t="s">
        <v>8</v>
      </c>
      <c r="C52" s="11" t="s">
        <v>867</v>
      </c>
      <c r="D52" s="12">
        <v>46270.916666666701</v>
      </c>
      <c r="E52" s="12">
        <v>46271.208333333299</v>
      </c>
      <c r="F52" s="11" t="s">
        <v>868</v>
      </c>
    </row>
    <row r="53" spans="1:6" ht="45">
      <c r="A53" s="10" t="s">
        <v>415</v>
      </c>
      <c r="B53" s="10" t="s">
        <v>7</v>
      </c>
      <c r="C53" s="11" t="s">
        <v>871</v>
      </c>
      <c r="D53" s="12">
        <v>46270.9375</v>
      </c>
      <c r="E53" s="12">
        <v>46271.229166666701</v>
      </c>
      <c r="F53" s="11" t="s">
        <v>872</v>
      </c>
    </row>
    <row r="54" spans="1:6" ht="30">
      <c r="A54" s="10" t="s">
        <v>415</v>
      </c>
      <c r="B54" s="10" t="s">
        <v>7</v>
      </c>
      <c r="C54" s="11" t="s">
        <v>873</v>
      </c>
      <c r="D54" s="12">
        <v>46270.916666666701</v>
      </c>
      <c r="E54" s="12">
        <v>46271.229166666701</v>
      </c>
      <c r="F54" s="11" t="s">
        <v>874</v>
      </c>
    </row>
    <row r="55" spans="1:6" ht="45">
      <c r="A55" s="10" t="s">
        <v>327</v>
      </c>
      <c r="B55" s="10" t="s">
        <v>2</v>
      </c>
      <c r="C55" s="11" t="s">
        <v>328</v>
      </c>
      <c r="D55" s="12">
        <v>46237.25</v>
      </c>
      <c r="E55" s="12">
        <v>46692.25</v>
      </c>
      <c r="F55" s="11" t="s">
        <v>329</v>
      </c>
    </row>
    <row r="56" spans="1:6" ht="45">
      <c r="A56" s="10" t="s">
        <v>327</v>
      </c>
      <c r="B56" s="10" t="s">
        <v>2</v>
      </c>
      <c r="C56" s="11" t="s">
        <v>362</v>
      </c>
      <c r="D56" s="12">
        <v>46270.875</v>
      </c>
      <c r="E56" s="12">
        <v>46271.25</v>
      </c>
      <c r="F56" s="11" t="s">
        <v>361</v>
      </c>
    </row>
    <row r="57" spans="1:6" ht="45">
      <c r="A57" s="10" t="s">
        <v>327</v>
      </c>
      <c r="B57" s="10" t="s">
        <v>6</v>
      </c>
      <c r="C57" s="11" t="s">
        <v>863</v>
      </c>
      <c r="D57" s="12">
        <v>46270.875</v>
      </c>
      <c r="E57" s="12">
        <v>46271.25</v>
      </c>
      <c r="F57" s="11" t="s">
        <v>864</v>
      </c>
    </row>
    <row r="58" spans="1:6" ht="45">
      <c r="A58" s="10" t="s">
        <v>503</v>
      </c>
      <c r="B58" s="10" t="s">
        <v>2</v>
      </c>
      <c r="C58" s="11" t="s">
        <v>788</v>
      </c>
      <c r="D58" s="12">
        <v>46270.875</v>
      </c>
      <c r="E58" s="12">
        <v>46271.25</v>
      </c>
      <c r="F58" s="11" t="s">
        <v>789</v>
      </c>
    </row>
    <row r="59" spans="1:6" ht="45">
      <c r="A59" s="10" t="s">
        <v>503</v>
      </c>
      <c r="B59" s="10" t="s">
        <v>6</v>
      </c>
      <c r="C59" s="11" t="s">
        <v>884</v>
      </c>
      <c r="D59" s="12">
        <v>46270.875</v>
      </c>
      <c r="E59" s="12">
        <v>46271.166666666701</v>
      </c>
      <c r="F59" s="11" t="s">
        <v>885</v>
      </c>
    </row>
    <row r="60" spans="1:6" ht="45">
      <c r="A60" s="10" t="s">
        <v>90</v>
      </c>
      <c r="B60" s="10" t="s">
        <v>4</v>
      </c>
      <c r="C60" s="11" t="s">
        <v>802</v>
      </c>
      <c r="D60" s="12">
        <v>46270.833333333299</v>
      </c>
      <c r="E60" s="12">
        <v>46270.958333333299</v>
      </c>
      <c r="F60" s="11" t="s">
        <v>92</v>
      </c>
    </row>
    <row r="61" spans="1:6" ht="60">
      <c r="A61" s="10" t="s">
        <v>90</v>
      </c>
      <c r="B61" s="10" t="s">
        <v>5</v>
      </c>
      <c r="C61" s="11" t="s">
        <v>91</v>
      </c>
      <c r="D61" s="12">
        <v>46271.000694444403</v>
      </c>
      <c r="E61" s="12">
        <v>46271.166666666701</v>
      </c>
      <c r="F61" s="11" t="s">
        <v>92</v>
      </c>
    </row>
    <row r="62" spans="1:6" ht="60">
      <c r="A62" s="10" t="s">
        <v>240</v>
      </c>
      <c r="B62" s="10" t="s">
        <v>2</v>
      </c>
      <c r="C62" s="11" t="s">
        <v>827</v>
      </c>
      <c r="D62" s="12">
        <v>46270.833333333299</v>
      </c>
      <c r="E62" s="12">
        <v>46271.25</v>
      </c>
      <c r="F62" s="11" t="s">
        <v>242</v>
      </c>
    </row>
    <row r="63" spans="1:6" ht="60">
      <c r="A63" s="10" t="s">
        <v>240</v>
      </c>
      <c r="B63" s="10" t="s">
        <v>2</v>
      </c>
      <c r="C63" s="11" t="s">
        <v>828</v>
      </c>
      <c r="D63" s="12">
        <v>46270.833333333299</v>
      </c>
      <c r="E63" s="12">
        <v>46271.25</v>
      </c>
      <c r="F63" s="11" t="s">
        <v>242</v>
      </c>
    </row>
    <row r="64" spans="1:6" ht="45">
      <c r="A64" s="10" t="s">
        <v>240</v>
      </c>
      <c r="B64" s="10" t="s">
        <v>2</v>
      </c>
      <c r="C64" s="11" t="s">
        <v>829</v>
      </c>
      <c r="D64" s="12">
        <v>46270.833333333299</v>
      </c>
      <c r="E64" s="12">
        <v>46271.25</v>
      </c>
      <c r="F64" s="11" t="s">
        <v>242</v>
      </c>
    </row>
    <row r="65" spans="1:6" ht="45">
      <c r="A65" s="10" t="s">
        <v>240</v>
      </c>
      <c r="B65" s="10" t="s">
        <v>6</v>
      </c>
      <c r="C65" s="11" t="s">
        <v>830</v>
      </c>
      <c r="D65" s="12">
        <v>46270.875</v>
      </c>
      <c r="E65" s="12">
        <v>46271.25</v>
      </c>
      <c r="F65" s="11" t="s">
        <v>831</v>
      </c>
    </row>
    <row r="66" spans="1:6" ht="45">
      <c r="A66" s="10" t="s">
        <v>245</v>
      </c>
      <c r="B66" s="10" t="s">
        <v>4</v>
      </c>
      <c r="C66" s="11" t="s">
        <v>838</v>
      </c>
      <c r="D66" s="12">
        <v>46270.916666666701</v>
      </c>
      <c r="E66" s="12">
        <v>46271.166666666701</v>
      </c>
      <c r="F66" s="11" t="s">
        <v>839</v>
      </c>
    </row>
    <row r="67" spans="1:6" ht="45">
      <c r="A67" s="10" t="s">
        <v>245</v>
      </c>
      <c r="B67" s="10" t="s">
        <v>4</v>
      </c>
      <c r="C67" s="11" t="s">
        <v>840</v>
      </c>
      <c r="D67" s="12">
        <v>46270.916666666701</v>
      </c>
      <c r="E67" s="12">
        <v>46271.166666666701</v>
      </c>
      <c r="F67" s="11" t="s">
        <v>839</v>
      </c>
    </row>
    <row r="68" spans="1:6" ht="45">
      <c r="A68" s="10" t="s">
        <v>245</v>
      </c>
      <c r="B68" s="10" t="s">
        <v>4</v>
      </c>
      <c r="C68" s="11" t="s">
        <v>841</v>
      </c>
      <c r="D68" s="12">
        <v>46270.916666666701</v>
      </c>
      <c r="E68" s="12">
        <v>46271.25</v>
      </c>
      <c r="F68" s="11" t="s">
        <v>839</v>
      </c>
    </row>
    <row r="69" spans="1:6" ht="45">
      <c r="A69" s="10" t="s">
        <v>245</v>
      </c>
      <c r="B69" s="10" t="s">
        <v>4</v>
      </c>
      <c r="C69" s="11" t="s">
        <v>842</v>
      </c>
      <c r="D69" s="12">
        <v>46270.916666666701</v>
      </c>
      <c r="E69" s="12">
        <v>46271.166666666701</v>
      </c>
      <c r="F69" s="11" t="s">
        <v>839</v>
      </c>
    </row>
    <row r="70" spans="1:6" ht="45">
      <c r="A70" s="10" t="s">
        <v>245</v>
      </c>
      <c r="B70" s="10" t="s">
        <v>4</v>
      </c>
      <c r="C70" s="11" t="s">
        <v>843</v>
      </c>
      <c r="D70" s="12">
        <v>46270.875</v>
      </c>
      <c r="E70" s="12">
        <v>46271.25</v>
      </c>
      <c r="F70" s="11" t="s">
        <v>844</v>
      </c>
    </row>
    <row r="71" spans="1:6" ht="45">
      <c r="A71" s="10" t="s">
        <v>245</v>
      </c>
      <c r="B71" s="10" t="s">
        <v>4</v>
      </c>
      <c r="C71" s="11" t="s">
        <v>845</v>
      </c>
      <c r="D71" s="12">
        <v>46270.875</v>
      </c>
      <c r="E71" s="12">
        <v>46271.25</v>
      </c>
      <c r="F71" s="11" t="s">
        <v>844</v>
      </c>
    </row>
    <row r="72" spans="1:6" ht="45">
      <c r="A72" s="10" t="s">
        <v>245</v>
      </c>
      <c r="B72" s="10" t="s">
        <v>2</v>
      </c>
      <c r="C72" s="11" t="s">
        <v>850</v>
      </c>
      <c r="D72" s="12">
        <v>46270.875</v>
      </c>
      <c r="E72" s="12">
        <v>46271.25</v>
      </c>
      <c r="F72" s="11" t="s">
        <v>851</v>
      </c>
    </row>
    <row r="73" spans="1:6" ht="60">
      <c r="A73" s="10" t="s">
        <v>234</v>
      </c>
      <c r="B73" s="10" t="s">
        <v>6</v>
      </c>
      <c r="C73" s="11" t="s">
        <v>235</v>
      </c>
      <c r="D73" s="12">
        <v>45804.208333333299</v>
      </c>
      <c r="E73" s="12">
        <v>46418.208333333299</v>
      </c>
      <c r="F73" s="11" t="s">
        <v>236</v>
      </c>
    </row>
    <row r="74" spans="1:6" ht="60">
      <c r="A74" s="10" t="s">
        <v>234</v>
      </c>
      <c r="B74" s="10" t="s">
        <v>2</v>
      </c>
      <c r="C74" s="11" t="s">
        <v>280</v>
      </c>
      <c r="D74" s="12">
        <v>46267.833333333299</v>
      </c>
      <c r="E74" s="12">
        <v>46323.25</v>
      </c>
      <c r="F74" s="11" t="s">
        <v>281</v>
      </c>
    </row>
    <row r="75" spans="1:6" ht="45">
      <c r="A75" s="10" t="s">
        <v>234</v>
      </c>
      <c r="B75" s="10" t="s">
        <v>2</v>
      </c>
      <c r="C75" s="11" t="s">
        <v>846</v>
      </c>
      <c r="D75" s="12">
        <v>46270.875</v>
      </c>
      <c r="E75" s="12">
        <v>46271.208333333299</v>
      </c>
      <c r="F75" s="11" t="s">
        <v>847</v>
      </c>
    </row>
    <row r="76" spans="1:6" ht="60">
      <c r="A76" s="10" t="s">
        <v>234</v>
      </c>
      <c r="B76" s="10" t="s">
        <v>2</v>
      </c>
      <c r="C76" s="11" t="s">
        <v>848</v>
      </c>
      <c r="D76" s="12">
        <v>46270.875</v>
      </c>
      <c r="E76" s="12">
        <v>46271.208333333299</v>
      </c>
      <c r="F76" s="11" t="s">
        <v>847</v>
      </c>
    </row>
    <row r="77" spans="1:6" ht="60">
      <c r="A77" s="10" t="s">
        <v>234</v>
      </c>
      <c r="B77" s="10" t="s">
        <v>2</v>
      </c>
      <c r="C77" s="11" t="s">
        <v>849</v>
      </c>
      <c r="D77" s="12">
        <v>46270.875</v>
      </c>
      <c r="E77" s="12">
        <v>46271.208333333299</v>
      </c>
      <c r="F77" s="11" t="s">
        <v>847</v>
      </c>
    </row>
    <row r="78" spans="1:6" ht="60">
      <c r="A78" s="10" t="s">
        <v>105</v>
      </c>
      <c r="B78" s="10" t="s">
        <v>2</v>
      </c>
      <c r="C78" s="11" t="s">
        <v>852</v>
      </c>
      <c r="D78" s="12">
        <v>46270.875</v>
      </c>
      <c r="E78" s="12">
        <v>46271.25</v>
      </c>
      <c r="F78" s="11" t="s">
        <v>851</v>
      </c>
    </row>
    <row r="79" spans="1:6" ht="60">
      <c r="A79" s="10" t="s">
        <v>105</v>
      </c>
      <c r="B79" s="10" t="s">
        <v>2</v>
      </c>
      <c r="C79" s="11" t="s">
        <v>853</v>
      </c>
      <c r="D79" s="12">
        <v>46270.875</v>
      </c>
      <c r="E79" s="12">
        <v>46271.25</v>
      </c>
      <c r="F79" s="11" t="s">
        <v>851</v>
      </c>
    </row>
    <row r="80" spans="1:6" ht="45">
      <c r="A80" s="10" t="s">
        <v>105</v>
      </c>
      <c r="B80" s="10" t="s">
        <v>6</v>
      </c>
      <c r="C80" s="11" t="s">
        <v>603</v>
      </c>
      <c r="D80" s="12">
        <v>46270.875</v>
      </c>
      <c r="E80" s="12">
        <v>46271.25</v>
      </c>
      <c r="F80" s="11" t="s">
        <v>601</v>
      </c>
    </row>
    <row r="81" spans="1:6" ht="30">
      <c r="A81" s="10" t="s">
        <v>105</v>
      </c>
      <c r="B81" s="10" t="s">
        <v>6</v>
      </c>
      <c r="C81" s="11" t="s">
        <v>605</v>
      </c>
      <c r="D81" s="12">
        <v>46270.875</v>
      </c>
      <c r="E81" s="12">
        <v>46271.25</v>
      </c>
      <c r="F81" s="11" t="s">
        <v>601</v>
      </c>
    </row>
    <row r="82" spans="1:6" ht="60">
      <c r="A82" s="10" t="s">
        <v>105</v>
      </c>
      <c r="B82" s="10" t="s">
        <v>6</v>
      </c>
      <c r="C82" s="11" t="s">
        <v>615</v>
      </c>
      <c r="D82" s="12">
        <v>46270.833333333299</v>
      </c>
      <c r="E82" s="12">
        <v>46271.25</v>
      </c>
      <c r="F82" s="11" t="s">
        <v>616</v>
      </c>
    </row>
    <row r="83" spans="1:6" ht="60">
      <c r="A83" s="10" t="s">
        <v>105</v>
      </c>
      <c r="B83" s="10" t="s">
        <v>6</v>
      </c>
      <c r="C83" s="11" t="s">
        <v>617</v>
      </c>
      <c r="D83" s="12">
        <v>46270.833333333299</v>
      </c>
      <c r="E83" s="12">
        <v>46271.25</v>
      </c>
      <c r="F83" s="11" t="s">
        <v>616</v>
      </c>
    </row>
    <row r="84" spans="1:6" ht="30">
      <c r="A84" s="10" t="s">
        <v>271</v>
      </c>
      <c r="B84" s="10" t="s">
        <v>8</v>
      </c>
      <c r="C84" s="11" t="s">
        <v>727</v>
      </c>
      <c r="D84" s="12">
        <v>46270.958333333299</v>
      </c>
      <c r="E84" s="12">
        <v>46271.25</v>
      </c>
      <c r="F84" s="11" t="s">
        <v>728</v>
      </c>
    </row>
    <row r="85" spans="1:6" ht="60">
      <c r="A85" s="10" t="s">
        <v>271</v>
      </c>
      <c r="B85" s="10" t="s">
        <v>8</v>
      </c>
      <c r="C85" s="11" t="s">
        <v>729</v>
      </c>
      <c r="D85" s="12">
        <v>46270.958333333299</v>
      </c>
      <c r="E85" s="12">
        <v>46271.25</v>
      </c>
      <c r="F85" s="11" t="s">
        <v>728</v>
      </c>
    </row>
    <row r="86" spans="1:6" ht="90">
      <c r="A86" s="10" t="s">
        <v>271</v>
      </c>
      <c r="B86" s="10" t="s">
        <v>8</v>
      </c>
      <c r="C86" s="11" t="s">
        <v>730</v>
      </c>
      <c r="D86" s="12">
        <v>46270.958333333299</v>
      </c>
      <c r="E86" s="12">
        <v>46271.25</v>
      </c>
      <c r="F86" s="11" t="s">
        <v>728</v>
      </c>
    </row>
    <row r="87" spans="1:6" ht="60">
      <c r="A87" s="10" t="s">
        <v>271</v>
      </c>
      <c r="B87" s="10" t="s">
        <v>8</v>
      </c>
      <c r="C87" s="11" t="s">
        <v>731</v>
      </c>
      <c r="D87" s="12">
        <v>46270.958333333299</v>
      </c>
      <c r="E87" s="12">
        <v>46271.25</v>
      </c>
      <c r="F87" s="11" t="s">
        <v>728</v>
      </c>
    </row>
    <row r="88" spans="1:6" ht="60">
      <c r="A88" s="10" t="s">
        <v>271</v>
      </c>
      <c r="B88" s="10" t="s">
        <v>8</v>
      </c>
      <c r="C88" s="11" t="s">
        <v>732</v>
      </c>
      <c r="D88" s="12">
        <v>46270.958333333299</v>
      </c>
      <c r="E88" s="12">
        <v>46271.25</v>
      </c>
      <c r="F88" s="11" t="s">
        <v>728</v>
      </c>
    </row>
    <row r="89" spans="1:6" ht="60">
      <c r="A89" s="10" t="s">
        <v>271</v>
      </c>
      <c r="B89" s="10" t="s">
        <v>8</v>
      </c>
      <c r="C89" s="11" t="s">
        <v>733</v>
      </c>
      <c r="D89" s="12">
        <v>46270.958333333299</v>
      </c>
      <c r="E89" s="12">
        <v>46271.25</v>
      </c>
      <c r="F89" s="11" t="s">
        <v>728</v>
      </c>
    </row>
    <row r="90" spans="1:6" ht="75">
      <c r="A90" s="10" t="s">
        <v>237</v>
      </c>
      <c r="B90" s="10" t="s">
        <v>2</v>
      </c>
      <c r="C90" s="11" t="s">
        <v>823</v>
      </c>
      <c r="D90" s="12">
        <v>46270.875</v>
      </c>
      <c r="E90" s="12">
        <v>46271.25</v>
      </c>
      <c r="F90" s="11" t="s">
        <v>239</v>
      </c>
    </row>
    <row r="91" spans="1:6" ht="75">
      <c r="A91" s="10" t="s">
        <v>237</v>
      </c>
      <c r="B91" s="10" t="s">
        <v>6</v>
      </c>
      <c r="C91" s="11" t="s">
        <v>824</v>
      </c>
      <c r="D91" s="12">
        <v>46270.895833333299</v>
      </c>
      <c r="E91" s="12">
        <v>46271.291666666701</v>
      </c>
      <c r="F91" s="11" t="s">
        <v>825</v>
      </c>
    </row>
    <row r="92" spans="1:6" ht="60">
      <c r="A92" s="10" t="s">
        <v>237</v>
      </c>
      <c r="B92" s="10" t="s">
        <v>2</v>
      </c>
      <c r="C92" s="11" t="s">
        <v>826</v>
      </c>
      <c r="D92" s="12">
        <v>46270.895833333299</v>
      </c>
      <c r="E92" s="12">
        <v>46271.291666666701</v>
      </c>
      <c r="F92" s="11" t="s">
        <v>825</v>
      </c>
    </row>
    <row r="93" spans="1:6" ht="75">
      <c r="A93" s="10" t="s">
        <v>237</v>
      </c>
      <c r="B93" s="10" t="s">
        <v>2</v>
      </c>
      <c r="C93" s="11" t="s">
        <v>835</v>
      </c>
      <c r="D93" s="12">
        <v>46270.916666666701</v>
      </c>
      <c r="E93" s="12">
        <v>46271.208333333299</v>
      </c>
      <c r="F93" s="11" t="s">
        <v>836</v>
      </c>
    </row>
    <row r="94" spans="1:6" ht="75">
      <c r="A94" s="10" t="s">
        <v>237</v>
      </c>
      <c r="B94" s="10" t="s">
        <v>2</v>
      </c>
      <c r="C94" s="11" t="s">
        <v>837</v>
      </c>
      <c r="D94" s="12">
        <v>46270.916666666701</v>
      </c>
      <c r="E94" s="12">
        <v>46271.208333333299</v>
      </c>
      <c r="F94" s="11" t="s">
        <v>836</v>
      </c>
    </row>
    <row r="95" spans="1:6" ht="75">
      <c r="A95" s="10" t="s">
        <v>127</v>
      </c>
      <c r="B95" s="10" t="s">
        <v>6</v>
      </c>
      <c r="C95" s="11" t="s">
        <v>154</v>
      </c>
      <c r="D95" s="12">
        <v>46270.958333333299</v>
      </c>
      <c r="E95" s="12">
        <v>46271.25</v>
      </c>
      <c r="F95" s="11" t="s">
        <v>155</v>
      </c>
    </row>
    <row r="96" spans="1:6" ht="75">
      <c r="A96" s="10" t="s">
        <v>127</v>
      </c>
      <c r="B96" s="10" t="s">
        <v>6</v>
      </c>
      <c r="C96" s="11" t="s">
        <v>156</v>
      </c>
      <c r="D96" s="12">
        <v>46270.958333333299</v>
      </c>
      <c r="E96" s="12">
        <v>46271.25</v>
      </c>
      <c r="F96" s="11" t="s">
        <v>155</v>
      </c>
    </row>
    <row r="97" spans="1:6" ht="105">
      <c r="A97" s="10" t="s">
        <v>127</v>
      </c>
      <c r="B97" s="10" t="s">
        <v>4</v>
      </c>
      <c r="C97" s="11" t="s">
        <v>805</v>
      </c>
      <c r="D97" s="12">
        <v>46270.833333333299</v>
      </c>
      <c r="E97" s="12">
        <v>46271.25</v>
      </c>
      <c r="F97" s="11" t="s">
        <v>806</v>
      </c>
    </row>
    <row r="98" spans="1:6" ht="105">
      <c r="A98" s="10" t="s">
        <v>127</v>
      </c>
      <c r="B98" s="10" t="s">
        <v>4</v>
      </c>
      <c r="C98" s="11" t="s">
        <v>807</v>
      </c>
      <c r="D98" s="12">
        <v>46270.833333333299</v>
      </c>
      <c r="E98" s="12">
        <v>46271.25</v>
      </c>
      <c r="F98" s="11" t="s">
        <v>806</v>
      </c>
    </row>
    <row r="99" spans="1:6" ht="75">
      <c r="A99" s="10" t="s">
        <v>127</v>
      </c>
      <c r="B99" s="10" t="s">
        <v>4</v>
      </c>
      <c r="C99" s="11" t="s">
        <v>808</v>
      </c>
      <c r="D99" s="12">
        <v>46270.833333333299</v>
      </c>
      <c r="E99" s="12">
        <v>46271.25</v>
      </c>
      <c r="F99" s="11" t="s">
        <v>806</v>
      </c>
    </row>
    <row r="100" spans="1:6" ht="60">
      <c r="A100" s="10" t="s">
        <v>127</v>
      </c>
      <c r="B100" s="10" t="s">
        <v>4</v>
      </c>
      <c r="C100" s="11" t="s">
        <v>814</v>
      </c>
      <c r="D100" s="12">
        <v>46270.833333333299</v>
      </c>
      <c r="E100" s="12">
        <v>46271.208333333299</v>
      </c>
      <c r="F100" s="11" t="s">
        <v>815</v>
      </c>
    </row>
    <row r="101" spans="1:6" ht="75">
      <c r="A101" s="10" t="s">
        <v>127</v>
      </c>
      <c r="B101" s="10" t="s">
        <v>23</v>
      </c>
      <c r="C101" s="11" t="s">
        <v>818</v>
      </c>
      <c r="D101" s="12">
        <v>46270.833333333299</v>
      </c>
      <c r="E101" s="12">
        <v>46271.25</v>
      </c>
      <c r="F101" s="11" t="s">
        <v>819</v>
      </c>
    </row>
    <row r="102" spans="1:6" ht="90">
      <c r="A102" s="10" t="s">
        <v>127</v>
      </c>
      <c r="B102" s="10" t="s">
        <v>6</v>
      </c>
      <c r="C102" s="11" t="s">
        <v>600</v>
      </c>
      <c r="D102" s="12">
        <v>46270.875</v>
      </c>
      <c r="E102" s="12">
        <v>46271.25</v>
      </c>
      <c r="F102" s="11" t="s">
        <v>601</v>
      </c>
    </row>
    <row r="103" spans="1:6" ht="75">
      <c r="A103" s="10" t="s">
        <v>127</v>
      </c>
      <c r="B103" s="10" t="s">
        <v>6</v>
      </c>
      <c r="C103" s="11" t="s">
        <v>602</v>
      </c>
      <c r="D103" s="12">
        <v>46270.875</v>
      </c>
      <c r="E103" s="12">
        <v>46271.25</v>
      </c>
      <c r="F103" s="11" t="s">
        <v>601</v>
      </c>
    </row>
    <row r="104" spans="1:6" ht="90">
      <c r="A104" s="10" t="s">
        <v>127</v>
      </c>
      <c r="B104" s="10" t="s">
        <v>5</v>
      </c>
      <c r="C104" s="11" t="s">
        <v>604</v>
      </c>
      <c r="D104" s="12">
        <v>46270.875</v>
      </c>
      <c r="E104" s="12">
        <v>46271.25</v>
      </c>
      <c r="F104" s="11" t="s">
        <v>601</v>
      </c>
    </row>
    <row r="105" spans="1:6">
      <c r="A105" s="10"/>
      <c r="B105" s="10"/>
      <c r="C105" s="11"/>
      <c r="D105" s="12"/>
      <c r="E105" s="12"/>
      <c r="F105" s="11"/>
    </row>
  </sheetData>
  <autoFilter ref="A2:F15" xr:uid="{91FAB155-F626-4AEE-B9D6-72222629C5EE}">
    <sortState xmlns:xlrd2="http://schemas.microsoft.com/office/spreadsheetml/2017/richdata2" ref="A3:F104">
      <sortCondition ref="A2:A15"/>
    </sortState>
  </autoFilter>
  <mergeCells count="1">
    <mergeCell ref="A1:F1"/>
  </mergeCells>
  <conditionalFormatting sqref="A105:F105">
    <cfRule type="expression" dxfId="9" priority="2">
      <formula>$J105="Over 12 hours"</formula>
    </cfRule>
  </conditionalFormatting>
  <conditionalFormatting sqref="A3:F104">
    <cfRule type="expression" dxfId="2" priority="1">
      <formula>$J3="Over 12 hours"</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7F9A5-DD85-40A1-B44C-C07753530D7D}">
  <sheetPr>
    <tabColor theme="3" tint="0.59999389629810485"/>
  </sheetPr>
  <dimension ref="A1:K104"/>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2.54296875" style="4" customWidth="1"/>
    <col min="4" max="4" width="16.453125" style="4" customWidth="1"/>
    <col min="5" max="5" width="16" style="9" customWidth="1"/>
    <col min="6" max="6" width="47" style="9" customWidth="1"/>
    <col min="7" max="11" width="0" hidden="1" customWidth="1"/>
    <col min="12" max="16384" width="8.7265625" hidden="1"/>
  </cols>
  <sheetData>
    <row r="1" spans="1:6" ht="33">
      <c r="A1" s="28" t="str">
        <f>"Daily closure report: "&amp;'Front page'!A9</f>
        <v>Daily closure report: Sunday, 6 September</v>
      </c>
      <c r="B1" s="28"/>
      <c r="C1" s="28"/>
      <c r="D1" s="28"/>
      <c r="E1" s="28"/>
      <c r="F1" s="28"/>
    </row>
    <row r="2" spans="1:6" s="3" customFormat="1" ht="27.6">
      <c r="A2" s="8" t="s">
        <v>9</v>
      </c>
      <c r="B2" s="8" t="s">
        <v>1</v>
      </c>
      <c r="C2" s="8" t="s">
        <v>0</v>
      </c>
      <c r="D2" s="7" t="s">
        <v>11</v>
      </c>
      <c r="E2" s="7" t="s">
        <v>12</v>
      </c>
      <c r="F2" s="8" t="s">
        <v>10</v>
      </c>
    </row>
    <row r="3" spans="1:6" s="3" customFormat="1" ht="60">
      <c r="A3" s="10" t="s">
        <v>42</v>
      </c>
      <c r="B3" s="10" t="s">
        <v>6</v>
      </c>
      <c r="C3" s="11" t="s">
        <v>681</v>
      </c>
      <c r="D3" s="12">
        <v>46269.875</v>
      </c>
      <c r="E3" s="12">
        <v>46272.208333333299</v>
      </c>
      <c r="F3" s="11" t="s">
        <v>680</v>
      </c>
    </row>
    <row r="4" spans="1:6" s="3" customFormat="1" ht="60">
      <c r="A4" s="10" t="s">
        <v>42</v>
      </c>
      <c r="B4" s="10" t="s">
        <v>6</v>
      </c>
      <c r="C4" s="11" t="s">
        <v>682</v>
      </c>
      <c r="D4" s="12">
        <v>46269.875</v>
      </c>
      <c r="E4" s="12">
        <v>46272.208333333299</v>
      </c>
      <c r="F4" s="11" t="s">
        <v>680</v>
      </c>
    </row>
    <row r="5" spans="1:6" s="3" customFormat="1" ht="60">
      <c r="A5" s="10" t="s">
        <v>42</v>
      </c>
      <c r="B5" s="10" t="s">
        <v>2</v>
      </c>
      <c r="C5" s="11" t="s">
        <v>683</v>
      </c>
      <c r="D5" s="12">
        <v>46269.875</v>
      </c>
      <c r="E5" s="12">
        <v>46272.208333333299</v>
      </c>
      <c r="F5" s="11" t="s">
        <v>680</v>
      </c>
    </row>
    <row r="6" spans="1:6" s="3" customFormat="1" ht="60">
      <c r="A6" s="10" t="s">
        <v>42</v>
      </c>
      <c r="B6" s="10" t="s">
        <v>23</v>
      </c>
      <c r="C6" s="11" t="s">
        <v>52</v>
      </c>
      <c r="D6" s="12">
        <v>45847.208333333299</v>
      </c>
      <c r="E6" s="12">
        <v>46507.999305555597</v>
      </c>
      <c r="F6" s="11" t="s">
        <v>53</v>
      </c>
    </row>
    <row r="7" spans="1:6" s="3" customFormat="1" ht="75">
      <c r="A7" s="10" t="s">
        <v>42</v>
      </c>
      <c r="B7" s="10" t="s">
        <v>23</v>
      </c>
      <c r="C7" s="11" t="s">
        <v>543</v>
      </c>
      <c r="D7" s="12">
        <v>46271.541666666701</v>
      </c>
      <c r="E7" s="12">
        <v>46271.833333333299</v>
      </c>
      <c r="F7" s="11" t="s">
        <v>544</v>
      </c>
    </row>
    <row r="8" spans="1:6" s="3" customFormat="1" ht="75">
      <c r="A8" s="10" t="s">
        <v>42</v>
      </c>
      <c r="B8" s="10" t="s">
        <v>2</v>
      </c>
      <c r="C8" s="11" t="s">
        <v>816</v>
      </c>
      <c r="D8" s="12">
        <v>46271.333333333299</v>
      </c>
      <c r="E8" s="12">
        <v>46271.75</v>
      </c>
      <c r="F8" s="11" t="s">
        <v>817</v>
      </c>
    </row>
    <row r="9" spans="1:6" s="3" customFormat="1" ht="75">
      <c r="A9" s="10" t="s">
        <v>60</v>
      </c>
      <c r="B9" s="10" t="s">
        <v>6</v>
      </c>
      <c r="C9" s="11" t="s">
        <v>820</v>
      </c>
      <c r="D9" s="12">
        <v>46271.833333333299</v>
      </c>
      <c r="E9" s="12">
        <v>46272.25</v>
      </c>
      <c r="F9" s="11" t="s">
        <v>821</v>
      </c>
    </row>
    <row r="10" spans="1:6" s="3" customFormat="1" ht="75">
      <c r="A10" s="10" t="s">
        <v>60</v>
      </c>
      <c r="B10" s="10" t="s">
        <v>6</v>
      </c>
      <c r="C10" s="11" t="s">
        <v>822</v>
      </c>
      <c r="D10" s="12">
        <v>46271.833333333299</v>
      </c>
      <c r="E10" s="12">
        <v>46272.25</v>
      </c>
      <c r="F10" s="11" t="s">
        <v>821</v>
      </c>
    </row>
    <row r="11" spans="1:6" s="3" customFormat="1" ht="45">
      <c r="A11" s="10" t="s">
        <v>60</v>
      </c>
      <c r="B11" s="10" t="s">
        <v>6</v>
      </c>
      <c r="C11" s="11" t="s">
        <v>877</v>
      </c>
      <c r="D11" s="12">
        <v>46271.9375</v>
      </c>
      <c r="E11" s="12">
        <v>46272.229166666701</v>
      </c>
      <c r="F11" s="11" t="s">
        <v>878</v>
      </c>
    </row>
    <row r="12" spans="1:6" s="3" customFormat="1" ht="45">
      <c r="A12" s="10" t="s">
        <v>60</v>
      </c>
      <c r="B12" s="10" t="s">
        <v>2</v>
      </c>
      <c r="C12" s="11" t="s">
        <v>879</v>
      </c>
      <c r="D12" s="12">
        <v>46271.9375</v>
      </c>
      <c r="E12" s="12">
        <v>46272.229166666701</v>
      </c>
      <c r="F12" s="11" t="s">
        <v>880</v>
      </c>
    </row>
    <row r="13" spans="1:6" s="3" customFormat="1" ht="75">
      <c r="A13" s="10" t="s">
        <v>794</v>
      </c>
      <c r="B13" s="10" t="s">
        <v>4</v>
      </c>
      <c r="C13" s="11" t="s">
        <v>795</v>
      </c>
      <c r="D13" s="12">
        <v>46271.833333333299</v>
      </c>
      <c r="E13" s="12">
        <v>46272.25</v>
      </c>
      <c r="F13" s="11" t="s">
        <v>796</v>
      </c>
    </row>
    <row r="14" spans="1:6" s="3" customFormat="1" ht="105">
      <c r="A14" s="10" t="s">
        <v>794</v>
      </c>
      <c r="B14" s="10" t="s">
        <v>5</v>
      </c>
      <c r="C14" s="11" t="s">
        <v>797</v>
      </c>
      <c r="D14" s="12">
        <v>46271.833333333299</v>
      </c>
      <c r="E14" s="12">
        <v>46272.25</v>
      </c>
      <c r="F14" s="11" t="s">
        <v>796</v>
      </c>
    </row>
    <row r="15" spans="1:6" s="3" customFormat="1" ht="105">
      <c r="A15" s="10" t="s">
        <v>794</v>
      </c>
      <c r="B15" s="10" t="s">
        <v>23</v>
      </c>
      <c r="C15" s="11" t="s">
        <v>798</v>
      </c>
      <c r="D15" s="12">
        <v>46271.833333333299</v>
      </c>
      <c r="E15" s="12">
        <v>46272.25</v>
      </c>
      <c r="F15" s="11" t="s">
        <v>796</v>
      </c>
    </row>
    <row r="16" spans="1:6" s="3" customFormat="1" ht="105">
      <c r="A16" s="10" t="s">
        <v>794</v>
      </c>
      <c r="B16" s="10" t="s">
        <v>4</v>
      </c>
      <c r="C16" s="11" t="s">
        <v>799</v>
      </c>
      <c r="D16" s="12">
        <v>46271.833333333299</v>
      </c>
      <c r="E16" s="12">
        <v>46272.25</v>
      </c>
      <c r="F16" s="11" t="s">
        <v>796</v>
      </c>
    </row>
    <row r="17" spans="1:6" s="3" customFormat="1" ht="90">
      <c r="A17" s="10" t="s">
        <v>424</v>
      </c>
      <c r="B17" s="10" t="s">
        <v>5</v>
      </c>
      <c r="C17" s="11" t="s">
        <v>944</v>
      </c>
      <c r="D17" s="12">
        <v>46271.833333333299</v>
      </c>
      <c r="E17" s="12">
        <v>46272.25</v>
      </c>
      <c r="F17" s="11" t="s">
        <v>945</v>
      </c>
    </row>
    <row r="18" spans="1:6" s="3" customFormat="1" ht="90">
      <c r="A18" s="10" t="s">
        <v>376</v>
      </c>
      <c r="B18" s="10" t="s">
        <v>4</v>
      </c>
      <c r="C18" s="11" t="s">
        <v>861</v>
      </c>
      <c r="D18" s="12">
        <v>46270.875</v>
      </c>
      <c r="E18" s="12">
        <v>46272.25</v>
      </c>
      <c r="F18" s="11" t="s">
        <v>862</v>
      </c>
    </row>
    <row r="19" spans="1:6" s="3" customFormat="1" ht="90">
      <c r="A19" s="10" t="s">
        <v>420</v>
      </c>
      <c r="B19" s="10" t="s">
        <v>2</v>
      </c>
      <c r="C19" s="11" t="s">
        <v>869</v>
      </c>
      <c r="D19" s="12">
        <v>46271.9375</v>
      </c>
      <c r="E19" s="12">
        <v>46272.229166666701</v>
      </c>
      <c r="F19" s="11" t="s">
        <v>948</v>
      </c>
    </row>
    <row r="20" spans="1:6" s="3" customFormat="1" ht="90">
      <c r="A20" s="10" t="s">
        <v>452</v>
      </c>
      <c r="B20" s="10" t="s">
        <v>5</v>
      </c>
      <c r="C20" s="11" t="s">
        <v>881</v>
      </c>
      <c r="D20" s="12">
        <v>46271.875</v>
      </c>
      <c r="E20" s="12">
        <v>46272.25</v>
      </c>
      <c r="F20" s="11" t="s">
        <v>882</v>
      </c>
    </row>
    <row r="21" spans="1:6" s="3" customFormat="1" ht="90">
      <c r="A21" s="10" t="s">
        <v>452</v>
      </c>
      <c r="B21" s="10" t="s">
        <v>4</v>
      </c>
      <c r="C21" s="11" t="s">
        <v>883</v>
      </c>
      <c r="D21" s="12">
        <v>46271.875</v>
      </c>
      <c r="E21" s="12">
        <v>46272.25</v>
      </c>
      <c r="F21" s="11" t="s">
        <v>882</v>
      </c>
    </row>
    <row r="22" spans="1:6" s="3" customFormat="1" ht="90">
      <c r="A22" s="10" t="s">
        <v>452</v>
      </c>
      <c r="B22" s="10" t="s">
        <v>4</v>
      </c>
      <c r="C22" s="11" t="s">
        <v>949</v>
      </c>
      <c r="D22" s="12">
        <v>46272.25</v>
      </c>
      <c r="E22" s="12">
        <v>46341.833333333299</v>
      </c>
      <c r="F22" s="11" t="s">
        <v>950</v>
      </c>
    </row>
    <row r="23" spans="1:6" s="3" customFormat="1" ht="90">
      <c r="A23" s="10" t="s">
        <v>345</v>
      </c>
      <c r="B23" s="10" t="s">
        <v>4</v>
      </c>
      <c r="C23" s="11" t="s">
        <v>360</v>
      </c>
      <c r="D23" s="12">
        <v>46271.875</v>
      </c>
      <c r="E23" s="12">
        <v>46272.25</v>
      </c>
      <c r="F23" s="11" t="s">
        <v>361</v>
      </c>
    </row>
    <row r="24" spans="1:6" s="3" customFormat="1" ht="60">
      <c r="A24" s="10" t="s">
        <v>345</v>
      </c>
      <c r="B24" s="10" t="s">
        <v>23</v>
      </c>
      <c r="C24" s="11" t="s">
        <v>468</v>
      </c>
      <c r="D24" s="12">
        <v>46271.875</v>
      </c>
      <c r="E24" s="12">
        <v>46272.25</v>
      </c>
      <c r="F24" s="11" t="s">
        <v>469</v>
      </c>
    </row>
    <row r="25" spans="1:6" s="3" customFormat="1" ht="60">
      <c r="A25" s="10" t="s">
        <v>330</v>
      </c>
      <c r="B25" s="10" t="s">
        <v>2</v>
      </c>
      <c r="C25" s="11" t="s">
        <v>331</v>
      </c>
      <c r="D25" s="12">
        <v>46271.875</v>
      </c>
      <c r="E25" s="12">
        <v>46272.25</v>
      </c>
      <c r="F25" s="11" t="s">
        <v>332</v>
      </c>
    </row>
    <row r="26" spans="1:6" s="3" customFormat="1" ht="60">
      <c r="A26" s="10" t="s">
        <v>102</v>
      </c>
      <c r="B26" s="10" t="s">
        <v>6</v>
      </c>
      <c r="C26" s="11" t="s">
        <v>495</v>
      </c>
      <c r="D26" s="12">
        <v>46202.875</v>
      </c>
      <c r="E26" s="12">
        <v>46508.208333333299</v>
      </c>
      <c r="F26" s="11" t="s">
        <v>496</v>
      </c>
    </row>
    <row r="27" spans="1:6" s="3" customFormat="1" ht="60">
      <c r="A27" s="10" t="s">
        <v>102</v>
      </c>
      <c r="B27" s="10" t="s">
        <v>2</v>
      </c>
      <c r="C27" s="11" t="s">
        <v>497</v>
      </c>
      <c r="D27" s="12">
        <v>46266.333333333299</v>
      </c>
      <c r="E27" s="12">
        <v>46477</v>
      </c>
      <c r="F27" s="11" t="s">
        <v>496</v>
      </c>
    </row>
    <row r="28" spans="1:6" s="3" customFormat="1" ht="60">
      <c r="A28" s="10" t="s">
        <v>490</v>
      </c>
      <c r="B28" s="10" t="s">
        <v>2</v>
      </c>
      <c r="C28" s="11" t="s">
        <v>784</v>
      </c>
      <c r="D28" s="12">
        <v>46269.958333333299</v>
      </c>
      <c r="E28" s="12">
        <v>46272.25</v>
      </c>
      <c r="F28" s="11" t="s">
        <v>785</v>
      </c>
    </row>
    <row r="29" spans="1:6" s="3" customFormat="1" ht="60">
      <c r="A29" s="10" t="s">
        <v>490</v>
      </c>
      <c r="B29" s="10" t="s">
        <v>6</v>
      </c>
      <c r="C29" s="11" t="s">
        <v>786</v>
      </c>
      <c r="D29" s="12">
        <v>46269.958333333299</v>
      </c>
      <c r="E29" s="12">
        <v>46272.25</v>
      </c>
      <c r="F29" s="11" t="s">
        <v>787</v>
      </c>
    </row>
    <row r="30" spans="1:6" s="3" customFormat="1" ht="60">
      <c r="A30" s="10" t="s">
        <v>68</v>
      </c>
      <c r="B30" s="10" t="s">
        <v>5</v>
      </c>
      <c r="C30" s="11" t="s">
        <v>679</v>
      </c>
      <c r="D30" s="12">
        <v>46269.875</v>
      </c>
      <c r="E30" s="12">
        <v>46272.208333333299</v>
      </c>
      <c r="F30" s="11" t="s">
        <v>680</v>
      </c>
    </row>
    <row r="31" spans="1:6" s="3" customFormat="1" ht="45">
      <c r="A31" s="10" t="s">
        <v>516</v>
      </c>
      <c r="B31" s="10" t="s">
        <v>2</v>
      </c>
      <c r="C31" s="11" t="s">
        <v>517</v>
      </c>
      <c r="D31" s="12">
        <v>46217.625</v>
      </c>
      <c r="E31" s="12">
        <v>46387.875</v>
      </c>
      <c r="F31" s="11" t="s">
        <v>518</v>
      </c>
    </row>
    <row r="32" spans="1:6" s="3" customFormat="1" ht="45">
      <c r="A32" s="10" t="s">
        <v>516</v>
      </c>
      <c r="B32" s="10" t="s">
        <v>5</v>
      </c>
      <c r="C32" s="11" t="s">
        <v>951</v>
      </c>
      <c r="D32" s="12">
        <v>46271.875</v>
      </c>
      <c r="E32" s="12">
        <v>46272.25</v>
      </c>
      <c r="F32" s="11" t="s">
        <v>952</v>
      </c>
    </row>
    <row r="33" spans="1:6" s="3" customFormat="1" ht="45">
      <c r="A33" s="10" t="s">
        <v>509</v>
      </c>
      <c r="B33" s="10" t="s">
        <v>23</v>
      </c>
      <c r="C33" s="11" t="s">
        <v>510</v>
      </c>
      <c r="D33" s="12">
        <v>46230.833333333299</v>
      </c>
      <c r="E33" s="12">
        <v>46403.25</v>
      </c>
      <c r="F33" s="11" t="s">
        <v>511</v>
      </c>
    </row>
    <row r="34" spans="1:6" s="3" customFormat="1" ht="45">
      <c r="A34" s="10" t="s">
        <v>934</v>
      </c>
      <c r="B34" s="10" t="s">
        <v>2</v>
      </c>
      <c r="C34" s="11" t="s">
        <v>935</v>
      </c>
      <c r="D34" s="12">
        <v>46271.958333333299</v>
      </c>
      <c r="E34" s="12">
        <v>46272.25</v>
      </c>
      <c r="F34" s="11" t="s">
        <v>936</v>
      </c>
    </row>
    <row r="35" spans="1:6" s="3" customFormat="1" ht="45">
      <c r="A35" s="10" t="s">
        <v>934</v>
      </c>
      <c r="B35" s="10" t="s">
        <v>2</v>
      </c>
      <c r="C35" s="11" t="s">
        <v>937</v>
      </c>
      <c r="D35" s="12">
        <v>46271.958333333299</v>
      </c>
      <c r="E35" s="12">
        <v>46272.25</v>
      </c>
      <c r="F35" s="11" t="s">
        <v>936</v>
      </c>
    </row>
    <row r="36" spans="1:6" s="3" customFormat="1" ht="60">
      <c r="A36" s="10" t="s">
        <v>832</v>
      </c>
      <c r="B36" s="10" t="s">
        <v>6</v>
      </c>
      <c r="C36" s="11" t="s">
        <v>833</v>
      </c>
      <c r="D36" s="12">
        <v>46271.875</v>
      </c>
      <c r="E36" s="12">
        <v>46272.25</v>
      </c>
      <c r="F36" s="11" t="s">
        <v>831</v>
      </c>
    </row>
    <row r="37" spans="1:6" s="3" customFormat="1" ht="60">
      <c r="A37" s="10" t="s">
        <v>832</v>
      </c>
      <c r="B37" s="10" t="s">
        <v>6</v>
      </c>
      <c r="C37" s="11" t="s">
        <v>834</v>
      </c>
      <c r="D37" s="12">
        <v>46271.875</v>
      </c>
      <c r="E37" s="12">
        <v>46272.25</v>
      </c>
      <c r="F37" s="11" t="s">
        <v>831</v>
      </c>
    </row>
    <row r="38" spans="1:6" s="3" customFormat="1" ht="45">
      <c r="A38" s="10" t="s">
        <v>854</v>
      </c>
      <c r="B38" s="10" t="s">
        <v>6</v>
      </c>
      <c r="C38" s="11" t="s">
        <v>855</v>
      </c>
      <c r="D38" s="12">
        <v>46271.875</v>
      </c>
      <c r="E38" s="12">
        <v>46272.25</v>
      </c>
      <c r="F38" s="11" t="s">
        <v>856</v>
      </c>
    </row>
    <row r="39" spans="1:6" s="3" customFormat="1" ht="45">
      <c r="A39" s="10" t="s">
        <v>177</v>
      </c>
      <c r="B39" s="10" t="s">
        <v>6</v>
      </c>
      <c r="C39" s="11" t="s">
        <v>178</v>
      </c>
      <c r="D39" s="12">
        <v>46237.833333333299</v>
      </c>
      <c r="E39" s="12">
        <v>46326.25</v>
      </c>
      <c r="F39" s="11" t="s">
        <v>179</v>
      </c>
    </row>
    <row r="40" spans="1:6" s="3" customFormat="1" ht="45">
      <c r="A40" s="10" t="s">
        <v>177</v>
      </c>
      <c r="B40" s="10" t="s">
        <v>2</v>
      </c>
      <c r="C40" s="11" t="s">
        <v>180</v>
      </c>
      <c r="D40" s="12">
        <v>46237.833333333299</v>
      </c>
      <c r="E40" s="12">
        <v>46326.25</v>
      </c>
      <c r="F40" s="11" t="s">
        <v>179</v>
      </c>
    </row>
    <row r="41" spans="1:6" s="3" customFormat="1" ht="45">
      <c r="A41" s="10" t="s">
        <v>202</v>
      </c>
      <c r="B41" s="10" t="s">
        <v>4</v>
      </c>
      <c r="C41" s="11" t="s">
        <v>738</v>
      </c>
      <c r="D41" s="12">
        <v>46269.791666666701</v>
      </c>
      <c r="E41" s="12">
        <v>46272.25</v>
      </c>
      <c r="F41" s="11" t="s">
        <v>739</v>
      </c>
    </row>
    <row r="42" spans="1:6" s="3" customFormat="1" ht="45">
      <c r="A42" s="10" t="s">
        <v>57</v>
      </c>
      <c r="B42" s="10" t="s">
        <v>2</v>
      </c>
      <c r="C42" s="11" t="s">
        <v>800</v>
      </c>
      <c r="D42" s="12">
        <v>46271.875</v>
      </c>
      <c r="E42" s="12">
        <v>46272.208333333299</v>
      </c>
      <c r="F42" s="11" t="s">
        <v>801</v>
      </c>
    </row>
    <row r="43" spans="1:6" s="3" customFormat="1" ht="45">
      <c r="A43" s="10" t="s">
        <v>57</v>
      </c>
      <c r="B43" s="10" t="s">
        <v>2</v>
      </c>
      <c r="C43" s="11" t="s">
        <v>910</v>
      </c>
      <c r="D43" s="12">
        <v>46271.875</v>
      </c>
      <c r="E43" s="12">
        <v>46272.208333333299</v>
      </c>
      <c r="F43" s="11" t="s">
        <v>911</v>
      </c>
    </row>
    <row r="44" spans="1:6" ht="30">
      <c r="A44" s="10" t="s">
        <v>57</v>
      </c>
      <c r="B44" s="10" t="s">
        <v>2</v>
      </c>
      <c r="C44" s="11" t="s">
        <v>912</v>
      </c>
      <c r="D44" s="12">
        <v>46271.875</v>
      </c>
      <c r="E44" s="12">
        <v>46272.208333333299</v>
      </c>
      <c r="F44" s="11" t="s">
        <v>911</v>
      </c>
    </row>
    <row r="45" spans="1:6" ht="30">
      <c r="A45" s="10" t="s">
        <v>57</v>
      </c>
      <c r="B45" s="10" t="s">
        <v>2</v>
      </c>
      <c r="C45" s="11" t="s">
        <v>913</v>
      </c>
      <c r="D45" s="12">
        <v>46271.875</v>
      </c>
      <c r="E45" s="12">
        <v>46272.208333333299</v>
      </c>
      <c r="F45" s="11" t="s">
        <v>911</v>
      </c>
    </row>
    <row r="46" spans="1:6" ht="30">
      <c r="A46" s="10" t="s">
        <v>57</v>
      </c>
      <c r="B46" s="10" t="s">
        <v>2</v>
      </c>
      <c r="C46" s="11" t="s">
        <v>875</v>
      </c>
      <c r="D46" s="12">
        <v>46271.916666666701</v>
      </c>
      <c r="E46" s="12">
        <v>46272.229166666701</v>
      </c>
      <c r="F46" s="11" t="s">
        <v>876</v>
      </c>
    </row>
    <row r="47" spans="1:6" ht="30">
      <c r="A47" s="10" t="s">
        <v>145</v>
      </c>
      <c r="B47" s="10" t="s">
        <v>6</v>
      </c>
      <c r="C47" s="11" t="s">
        <v>902</v>
      </c>
      <c r="D47" s="12">
        <v>46271.833333333299</v>
      </c>
      <c r="E47" s="12">
        <v>46272.25</v>
      </c>
      <c r="F47" s="11" t="s">
        <v>903</v>
      </c>
    </row>
    <row r="48" spans="1:6" ht="45">
      <c r="A48" s="10" t="s">
        <v>145</v>
      </c>
      <c r="B48" s="10" t="s">
        <v>6</v>
      </c>
      <c r="C48" s="11" t="s">
        <v>904</v>
      </c>
      <c r="D48" s="12">
        <v>46271.833333333299</v>
      </c>
      <c r="E48" s="12">
        <v>46272.25</v>
      </c>
      <c r="F48" s="11" t="s">
        <v>903</v>
      </c>
    </row>
    <row r="49" spans="1:6" ht="45">
      <c r="A49" s="10" t="s">
        <v>145</v>
      </c>
      <c r="B49" s="10" t="s">
        <v>6</v>
      </c>
      <c r="C49" s="11" t="s">
        <v>905</v>
      </c>
      <c r="D49" s="12">
        <v>46271.833333333299</v>
      </c>
      <c r="E49" s="12">
        <v>46272.25</v>
      </c>
      <c r="F49" s="11" t="s">
        <v>903</v>
      </c>
    </row>
    <row r="50" spans="1:6" ht="45">
      <c r="A50" s="10" t="s">
        <v>137</v>
      </c>
      <c r="B50" s="10" t="s">
        <v>5</v>
      </c>
      <c r="C50" s="11" t="s">
        <v>890</v>
      </c>
      <c r="D50" s="12">
        <v>46271.916666666701</v>
      </c>
      <c r="E50" s="12">
        <v>46272.25</v>
      </c>
      <c r="F50" s="11" t="s">
        <v>139</v>
      </c>
    </row>
    <row r="51" spans="1:6" ht="45">
      <c r="A51" s="10" t="s">
        <v>137</v>
      </c>
      <c r="B51" s="10" t="s">
        <v>5</v>
      </c>
      <c r="C51" s="11" t="s">
        <v>893</v>
      </c>
      <c r="D51" s="12">
        <v>46271.916666666701</v>
      </c>
      <c r="E51" s="12">
        <v>46272.25</v>
      </c>
      <c r="F51" s="11" t="s">
        <v>139</v>
      </c>
    </row>
    <row r="52" spans="1:6" ht="60">
      <c r="A52" s="10" t="s">
        <v>137</v>
      </c>
      <c r="B52" s="10" t="s">
        <v>4</v>
      </c>
      <c r="C52" s="11" t="s">
        <v>900</v>
      </c>
      <c r="D52" s="12">
        <v>46271.833333333299</v>
      </c>
      <c r="E52" s="12">
        <v>46272.25</v>
      </c>
      <c r="F52" s="11" t="s">
        <v>901</v>
      </c>
    </row>
    <row r="53" spans="1:6" ht="60">
      <c r="A53" s="10" t="s">
        <v>891</v>
      </c>
      <c r="B53" s="10" t="s">
        <v>6</v>
      </c>
      <c r="C53" s="11" t="s">
        <v>892</v>
      </c>
      <c r="D53" s="12">
        <v>46271.916666666701</v>
      </c>
      <c r="E53" s="12">
        <v>46272.25</v>
      </c>
      <c r="F53" s="11" t="s">
        <v>139</v>
      </c>
    </row>
    <row r="54" spans="1:6" ht="60">
      <c r="A54" s="10" t="s">
        <v>763</v>
      </c>
      <c r="B54" s="10" t="s">
        <v>4</v>
      </c>
      <c r="C54" s="11" t="s">
        <v>946</v>
      </c>
      <c r="D54" s="12">
        <v>46271.833333333299</v>
      </c>
      <c r="E54" s="12">
        <v>46272.25</v>
      </c>
      <c r="F54" s="11" t="s">
        <v>947</v>
      </c>
    </row>
    <row r="55" spans="1:6" ht="45">
      <c r="A55" s="10" t="s">
        <v>415</v>
      </c>
      <c r="B55" s="10" t="s">
        <v>7</v>
      </c>
      <c r="C55" s="11" t="s">
        <v>873</v>
      </c>
      <c r="D55" s="12">
        <v>46271.9375</v>
      </c>
      <c r="E55" s="12">
        <v>46272.229166666701</v>
      </c>
      <c r="F55" s="11" t="s">
        <v>874</v>
      </c>
    </row>
    <row r="56" spans="1:6" ht="45">
      <c r="A56" s="10" t="s">
        <v>327</v>
      </c>
      <c r="B56" s="10" t="s">
        <v>2</v>
      </c>
      <c r="C56" s="11" t="s">
        <v>328</v>
      </c>
      <c r="D56" s="12">
        <v>46237.25</v>
      </c>
      <c r="E56" s="12">
        <v>46692.25</v>
      </c>
      <c r="F56" s="11" t="s">
        <v>329</v>
      </c>
    </row>
    <row r="57" spans="1:6" ht="45">
      <c r="A57" s="10" t="s">
        <v>327</v>
      </c>
      <c r="B57" s="10" t="s">
        <v>2</v>
      </c>
      <c r="C57" s="11" t="s">
        <v>362</v>
      </c>
      <c r="D57" s="12">
        <v>46271.875</v>
      </c>
      <c r="E57" s="12">
        <v>46272.25</v>
      </c>
      <c r="F57" s="11" t="s">
        <v>361</v>
      </c>
    </row>
    <row r="58" spans="1:6" ht="45">
      <c r="A58" s="10" t="s">
        <v>503</v>
      </c>
      <c r="B58" s="10" t="s">
        <v>2</v>
      </c>
      <c r="C58" s="11" t="s">
        <v>788</v>
      </c>
      <c r="D58" s="12">
        <v>46271.875</v>
      </c>
      <c r="E58" s="12">
        <v>46272.208333333299</v>
      </c>
      <c r="F58" s="11" t="s">
        <v>789</v>
      </c>
    </row>
    <row r="59" spans="1:6" ht="45">
      <c r="A59" s="10" t="s">
        <v>503</v>
      </c>
      <c r="B59" s="10" t="s">
        <v>6</v>
      </c>
      <c r="C59" s="11" t="s">
        <v>884</v>
      </c>
      <c r="D59" s="12">
        <v>46271.875</v>
      </c>
      <c r="E59" s="12">
        <v>46272.166666666701</v>
      </c>
      <c r="F59" s="11" t="s">
        <v>885</v>
      </c>
    </row>
    <row r="60" spans="1:6" ht="45">
      <c r="A60" s="10" t="s">
        <v>503</v>
      </c>
      <c r="B60" s="10" t="s">
        <v>2</v>
      </c>
      <c r="C60" s="11" t="s">
        <v>953</v>
      </c>
      <c r="D60" s="12">
        <v>46271.875</v>
      </c>
      <c r="E60" s="12">
        <v>46272.25</v>
      </c>
      <c r="F60" s="11" t="s">
        <v>954</v>
      </c>
    </row>
    <row r="61" spans="1:6" ht="45">
      <c r="A61" s="10" t="s">
        <v>240</v>
      </c>
      <c r="B61" s="10" t="s">
        <v>6</v>
      </c>
      <c r="C61" s="11" t="s">
        <v>830</v>
      </c>
      <c r="D61" s="12">
        <v>46271.875</v>
      </c>
      <c r="E61" s="12">
        <v>46272.25</v>
      </c>
      <c r="F61" s="11" t="s">
        <v>831</v>
      </c>
    </row>
    <row r="62" spans="1:6" ht="45">
      <c r="A62" s="10" t="s">
        <v>240</v>
      </c>
      <c r="B62" s="10" t="s">
        <v>2</v>
      </c>
      <c r="C62" s="11" t="s">
        <v>927</v>
      </c>
      <c r="D62" s="12">
        <v>46271.875</v>
      </c>
      <c r="E62" s="12">
        <v>46272.25</v>
      </c>
      <c r="F62" s="11" t="s">
        <v>928</v>
      </c>
    </row>
    <row r="63" spans="1:6" ht="45">
      <c r="A63" s="10" t="s">
        <v>240</v>
      </c>
      <c r="B63" s="10" t="s">
        <v>2</v>
      </c>
      <c r="C63" s="11" t="s">
        <v>929</v>
      </c>
      <c r="D63" s="12">
        <v>46271.875</v>
      </c>
      <c r="E63" s="12">
        <v>46272.25</v>
      </c>
      <c r="F63" s="11" t="s">
        <v>928</v>
      </c>
    </row>
    <row r="64" spans="1:6" ht="45">
      <c r="A64" s="10" t="s">
        <v>240</v>
      </c>
      <c r="B64" s="10" t="s">
        <v>2</v>
      </c>
      <c r="C64" s="11" t="s">
        <v>930</v>
      </c>
      <c r="D64" s="12">
        <v>46271.875</v>
      </c>
      <c r="E64" s="12">
        <v>46272.25</v>
      </c>
      <c r="F64" s="11" t="s">
        <v>928</v>
      </c>
    </row>
    <row r="65" spans="1:6" ht="45">
      <c r="A65" s="10" t="s">
        <v>240</v>
      </c>
      <c r="B65" s="10" t="s">
        <v>2</v>
      </c>
      <c r="C65" s="11" t="s">
        <v>931</v>
      </c>
      <c r="D65" s="12">
        <v>46271.875</v>
      </c>
      <c r="E65" s="12">
        <v>46272.25</v>
      </c>
      <c r="F65" s="11" t="s">
        <v>928</v>
      </c>
    </row>
    <row r="66" spans="1:6" ht="45">
      <c r="A66" s="10" t="s">
        <v>240</v>
      </c>
      <c r="B66" s="10" t="s">
        <v>2</v>
      </c>
      <c r="C66" s="11" t="s">
        <v>932</v>
      </c>
      <c r="D66" s="12">
        <v>46271.875</v>
      </c>
      <c r="E66" s="12">
        <v>46272.25</v>
      </c>
      <c r="F66" s="11" t="s">
        <v>928</v>
      </c>
    </row>
    <row r="67" spans="1:6" ht="45">
      <c r="A67" s="10" t="s">
        <v>240</v>
      </c>
      <c r="B67" s="10" t="s">
        <v>2</v>
      </c>
      <c r="C67" s="11" t="s">
        <v>933</v>
      </c>
      <c r="D67" s="12">
        <v>46271.875</v>
      </c>
      <c r="E67" s="12">
        <v>46272.25</v>
      </c>
      <c r="F67" s="11" t="s">
        <v>928</v>
      </c>
    </row>
    <row r="68" spans="1:6" ht="45">
      <c r="A68" s="10" t="s">
        <v>245</v>
      </c>
      <c r="B68" s="10" t="s">
        <v>5</v>
      </c>
      <c r="C68" s="11" t="s">
        <v>591</v>
      </c>
      <c r="D68" s="12">
        <v>46271.875</v>
      </c>
      <c r="E68" s="12">
        <v>46272.25</v>
      </c>
      <c r="F68" s="11" t="s">
        <v>247</v>
      </c>
    </row>
    <row r="69" spans="1:6" ht="45">
      <c r="A69" s="10" t="s">
        <v>245</v>
      </c>
      <c r="B69" s="10" t="s">
        <v>2</v>
      </c>
      <c r="C69" s="11" t="s">
        <v>850</v>
      </c>
      <c r="D69" s="12">
        <v>46271.875</v>
      </c>
      <c r="E69" s="12">
        <v>46272.25</v>
      </c>
      <c r="F69" s="11" t="s">
        <v>851</v>
      </c>
    </row>
    <row r="70" spans="1:6" ht="45">
      <c r="A70" s="10" t="s">
        <v>234</v>
      </c>
      <c r="B70" s="10" t="s">
        <v>6</v>
      </c>
      <c r="C70" s="11" t="s">
        <v>235</v>
      </c>
      <c r="D70" s="12">
        <v>45804.208333333299</v>
      </c>
      <c r="E70" s="12">
        <v>46418.208333333299</v>
      </c>
      <c r="F70" s="11" t="s">
        <v>236</v>
      </c>
    </row>
    <row r="71" spans="1:6" ht="45">
      <c r="A71" s="10" t="s">
        <v>234</v>
      </c>
      <c r="B71" s="10" t="s">
        <v>2</v>
      </c>
      <c r="C71" s="11" t="s">
        <v>280</v>
      </c>
      <c r="D71" s="12">
        <v>46267.833333333299</v>
      </c>
      <c r="E71" s="12">
        <v>46323.25</v>
      </c>
      <c r="F71" s="11" t="s">
        <v>281</v>
      </c>
    </row>
    <row r="72" spans="1:6" ht="60">
      <c r="A72" s="10" t="s">
        <v>234</v>
      </c>
      <c r="B72" s="10" t="s">
        <v>2</v>
      </c>
      <c r="C72" s="11" t="s">
        <v>846</v>
      </c>
      <c r="D72" s="12">
        <v>46271.875</v>
      </c>
      <c r="E72" s="12">
        <v>46272.208333333299</v>
      </c>
      <c r="F72" s="11" t="s">
        <v>847</v>
      </c>
    </row>
    <row r="73" spans="1:6" ht="60">
      <c r="A73" s="10" t="s">
        <v>234</v>
      </c>
      <c r="B73" s="10" t="s">
        <v>2</v>
      </c>
      <c r="C73" s="11" t="s">
        <v>848</v>
      </c>
      <c r="D73" s="12">
        <v>46271.875</v>
      </c>
      <c r="E73" s="12">
        <v>46272.208333333299</v>
      </c>
      <c r="F73" s="11" t="s">
        <v>847</v>
      </c>
    </row>
    <row r="74" spans="1:6" ht="45">
      <c r="A74" s="10" t="s">
        <v>234</v>
      </c>
      <c r="B74" s="10" t="s">
        <v>2</v>
      </c>
      <c r="C74" s="11" t="s">
        <v>849</v>
      </c>
      <c r="D74" s="12">
        <v>46271.875</v>
      </c>
      <c r="E74" s="12">
        <v>46272.208333333299</v>
      </c>
      <c r="F74" s="11" t="s">
        <v>847</v>
      </c>
    </row>
    <row r="75" spans="1:6" ht="45">
      <c r="A75" s="10" t="s">
        <v>105</v>
      </c>
      <c r="B75" s="10" t="s">
        <v>2</v>
      </c>
      <c r="C75" s="11" t="s">
        <v>852</v>
      </c>
      <c r="D75" s="12">
        <v>46271.875</v>
      </c>
      <c r="E75" s="12">
        <v>46272.25</v>
      </c>
      <c r="F75" s="11" t="s">
        <v>851</v>
      </c>
    </row>
    <row r="76" spans="1:6" ht="60">
      <c r="A76" s="10" t="s">
        <v>105</v>
      </c>
      <c r="B76" s="10" t="s">
        <v>2</v>
      </c>
      <c r="C76" s="11" t="s">
        <v>853</v>
      </c>
      <c r="D76" s="12">
        <v>46271.875</v>
      </c>
      <c r="E76" s="12">
        <v>46272.25</v>
      </c>
      <c r="F76" s="11" t="s">
        <v>851</v>
      </c>
    </row>
    <row r="77" spans="1:6" ht="45">
      <c r="A77" s="10" t="s">
        <v>105</v>
      </c>
      <c r="B77" s="10" t="s">
        <v>6</v>
      </c>
      <c r="C77" s="11" t="s">
        <v>938</v>
      </c>
      <c r="D77" s="12">
        <v>46271.875</v>
      </c>
      <c r="E77" s="12">
        <v>46272.208333333299</v>
      </c>
      <c r="F77" s="11" t="s">
        <v>939</v>
      </c>
    </row>
    <row r="78" spans="1:6" ht="30">
      <c r="A78" s="10" t="s">
        <v>105</v>
      </c>
      <c r="B78" s="10" t="s">
        <v>6</v>
      </c>
      <c r="C78" s="11" t="s">
        <v>615</v>
      </c>
      <c r="D78" s="12">
        <v>46271.833333333299</v>
      </c>
      <c r="E78" s="12">
        <v>46272.25</v>
      </c>
      <c r="F78" s="11" t="s">
        <v>616</v>
      </c>
    </row>
    <row r="79" spans="1:6" ht="60">
      <c r="A79" s="10" t="s">
        <v>105</v>
      </c>
      <c r="B79" s="10" t="s">
        <v>6</v>
      </c>
      <c r="C79" s="11" t="s">
        <v>617</v>
      </c>
      <c r="D79" s="12">
        <v>46271.833333333299</v>
      </c>
      <c r="E79" s="12">
        <v>46272.25</v>
      </c>
      <c r="F79" s="11" t="s">
        <v>616</v>
      </c>
    </row>
    <row r="80" spans="1:6" ht="60">
      <c r="A80" s="10" t="s">
        <v>105</v>
      </c>
      <c r="B80" s="10" t="s">
        <v>2</v>
      </c>
      <c r="C80" s="11" t="s">
        <v>325</v>
      </c>
      <c r="D80" s="12">
        <v>46271.916666666701</v>
      </c>
      <c r="E80" s="12">
        <v>46272.25</v>
      </c>
      <c r="F80" s="11" t="s">
        <v>326</v>
      </c>
    </row>
    <row r="81" spans="1:6" ht="45">
      <c r="A81" s="10" t="s">
        <v>271</v>
      </c>
      <c r="B81" s="10" t="s">
        <v>7</v>
      </c>
      <c r="C81" s="11" t="s">
        <v>921</v>
      </c>
      <c r="D81" s="12">
        <v>46271.958333333299</v>
      </c>
      <c r="E81" s="12">
        <v>46272.25</v>
      </c>
      <c r="F81" s="11" t="s">
        <v>922</v>
      </c>
    </row>
    <row r="82" spans="1:6" ht="30">
      <c r="A82" s="10" t="s">
        <v>271</v>
      </c>
      <c r="B82" s="10" t="s">
        <v>7</v>
      </c>
      <c r="C82" s="11" t="s">
        <v>924</v>
      </c>
      <c r="D82" s="12">
        <v>46271.958333333299</v>
      </c>
      <c r="E82" s="12">
        <v>46272.25</v>
      </c>
      <c r="F82" s="11" t="s">
        <v>922</v>
      </c>
    </row>
    <row r="83" spans="1:6" ht="60">
      <c r="A83" s="10" t="s">
        <v>925</v>
      </c>
      <c r="B83" s="10" t="s">
        <v>5</v>
      </c>
      <c r="C83" s="11" t="s">
        <v>926</v>
      </c>
      <c r="D83" s="12">
        <v>46271.999305555597</v>
      </c>
      <c r="E83" s="12">
        <v>46272.25</v>
      </c>
      <c r="F83" s="11" t="s">
        <v>922</v>
      </c>
    </row>
    <row r="84" spans="1:6" ht="60">
      <c r="A84" s="10" t="s">
        <v>159</v>
      </c>
      <c r="B84" s="10" t="s">
        <v>6</v>
      </c>
      <c r="C84" s="11" t="s">
        <v>894</v>
      </c>
      <c r="D84" s="12">
        <v>46271.833333333299</v>
      </c>
      <c r="E84" s="12">
        <v>46272.25</v>
      </c>
      <c r="F84" s="11" t="s">
        <v>895</v>
      </c>
    </row>
    <row r="85" spans="1:6" ht="75">
      <c r="A85" s="10" t="s">
        <v>237</v>
      </c>
      <c r="B85" s="10" t="s">
        <v>2</v>
      </c>
      <c r="C85" s="11" t="s">
        <v>823</v>
      </c>
      <c r="D85" s="12">
        <v>46271.875</v>
      </c>
      <c r="E85" s="12">
        <v>46272.25</v>
      </c>
      <c r="F85" s="11" t="s">
        <v>239</v>
      </c>
    </row>
    <row r="86" spans="1:6" ht="75">
      <c r="A86" s="10" t="s">
        <v>237</v>
      </c>
      <c r="B86" s="10" t="s">
        <v>6</v>
      </c>
      <c r="C86" s="11" t="s">
        <v>914</v>
      </c>
      <c r="D86" s="12">
        <v>46271.875</v>
      </c>
      <c r="E86" s="12">
        <v>46272.25</v>
      </c>
      <c r="F86" s="11" t="s">
        <v>239</v>
      </c>
    </row>
    <row r="87" spans="1:6" ht="60">
      <c r="A87" s="10" t="s">
        <v>237</v>
      </c>
      <c r="B87" s="10" t="s">
        <v>6</v>
      </c>
      <c r="C87" s="11" t="s">
        <v>915</v>
      </c>
      <c r="D87" s="12">
        <v>46271.875</v>
      </c>
      <c r="E87" s="12">
        <v>46272.25</v>
      </c>
      <c r="F87" s="11" t="s">
        <v>239</v>
      </c>
    </row>
    <row r="88" spans="1:6" ht="75">
      <c r="A88" s="10" t="s">
        <v>237</v>
      </c>
      <c r="B88" s="10" t="s">
        <v>6</v>
      </c>
      <c r="C88" s="11" t="s">
        <v>916</v>
      </c>
      <c r="D88" s="12">
        <v>46271.875</v>
      </c>
      <c r="E88" s="12">
        <v>46272.25</v>
      </c>
      <c r="F88" s="11" t="s">
        <v>239</v>
      </c>
    </row>
    <row r="89" spans="1:6" ht="75">
      <c r="A89" s="10" t="s">
        <v>127</v>
      </c>
      <c r="B89" s="10" t="s">
        <v>4</v>
      </c>
      <c r="C89" s="11" t="s">
        <v>896</v>
      </c>
      <c r="D89" s="12">
        <v>46271.833333333299</v>
      </c>
      <c r="E89" s="12">
        <v>46272.25</v>
      </c>
      <c r="F89" s="11" t="s">
        <v>895</v>
      </c>
    </row>
    <row r="90" spans="1:6" ht="45">
      <c r="A90" s="10" t="s">
        <v>127</v>
      </c>
      <c r="B90" s="10" t="s">
        <v>4</v>
      </c>
      <c r="C90" s="11" t="s">
        <v>898</v>
      </c>
      <c r="D90" s="12">
        <v>46271.833333333299</v>
      </c>
      <c r="E90" s="12">
        <v>46272.25</v>
      </c>
      <c r="F90" s="11" t="s">
        <v>895</v>
      </c>
    </row>
    <row r="91" spans="1:6" ht="105">
      <c r="A91" s="10" t="s">
        <v>127</v>
      </c>
      <c r="B91" s="10" t="s">
        <v>4</v>
      </c>
      <c r="C91" s="11" t="s">
        <v>899</v>
      </c>
      <c r="D91" s="12">
        <v>46271.833333333299</v>
      </c>
      <c r="E91" s="12">
        <v>46272.25</v>
      </c>
      <c r="F91" s="11" t="s">
        <v>895</v>
      </c>
    </row>
    <row r="92" spans="1:6" ht="75">
      <c r="A92" s="10" t="s">
        <v>127</v>
      </c>
      <c r="B92" s="10" t="s">
        <v>5</v>
      </c>
      <c r="C92" s="11" t="s">
        <v>906</v>
      </c>
      <c r="D92" s="12">
        <v>46271.833333333299</v>
      </c>
      <c r="E92" s="12">
        <v>46272.208333333299</v>
      </c>
      <c r="F92" s="11" t="s">
        <v>907</v>
      </c>
    </row>
    <row r="93" spans="1:6" ht="75">
      <c r="A93" s="10" t="s">
        <v>127</v>
      </c>
      <c r="B93" s="10" t="s">
        <v>5</v>
      </c>
      <c r="C93" s="11" t="s">
        <v>908</v>
      </c>
      <c r="D93" s="12">
        <v>46271.833333333299</v>
      </c>
      <c r="E93" s="12">
        <v>46272.208333333299</v>
      </c>
      <c r="F93" s="11" t="s">
        <v>907</v>
      </c>
    </row>
    <row r="94" spans="1:6" ht="105">
      <c r="A94" s="10" t="s">
        <v>127</v>
      </c>
      <c r="B94" s="10" t="s">
        <v>4</v>
      </c>
      <c r="C94" s="11" t="s">
        <v>814</v>
      </c>
      <c r="D94" s="12">
        <v>46271.916666666701</v>
      </c>
      <c r="E94" s="12">
        <v>46272.208333333299</v>
      </c>
      <c r="F94" s="11" t="s">
        <v>815</v>
      </c>
    </row>
    <row r="95" spans="1:6" ht="105">
      <c r="A95" s="10" t="s">
        <v>127</v>
      </c>
      <c r="B95" s="10" t="s">
        <v>4</v>
      </c>
      <c r="C95" s="11" t="s">
        <v>923</v>
      </c>
      <c r="D95" s="12">
        <v>46271.958333333299</v>
      </c>
      <c r="E95" s="12">
        <v>46272.25</v>
      </c>
      <c r="F95" s="11" t="s">
        <v>922</v>
      </c>
    </row>
    <row r="96" spans="1:6" ht="75">
      <c r="A96" s="10" t="s">
        <v>188</v>
      </c>
      <c r="B96" s="10" t="s">
        <v>7</v>
      </c>
      <c r="C96" s="11" t="s">
        <v>897</v>
      </c>
      <c r="D96" s="12">
        <v>46271.833333333299</v>
      </c>
      <c r="E96" s="12">
        <v>46272.25</v>
      </c>
      <c r="F96" s="11" t="s">
        <v>895</v>
      </c>
    </row>
    <row r="97" spans="1:6" ht="60">
      <c r="A97" s="10" t="s">
        <v>188</v>
      </c>
      <c r="B97" s="10" t="s">
        <v>8</v>
      </c>
      <c r="C97" s="11" t="s">
        <v>909</v>
      </c>
      <c r="D97" s="12">
        <v>46271.833333333299</v>
      </c>
      <c r="E97" s="12">
        <v>46272.208333333299</v>
      </c>
      <c r="F97" s="11" t="s">
        <v>907</v>
      </c>
    </row>
    <row r="98" spans="1:6" ht="75">
      <c r="A98" s="10" t="s">
        <v>258</v>
      </c>
      <c r="B98" s="10" t="s">
        <v>5</v>
      </c>
      <c r="C98" s="11" t="s">
        <v>940</v>
      </c>
      <c r="D98" s="12">
        <v>46271.875</v>
      </c>
      <c r="E98" s="12">
        <v>46272.208333333299</v>
      </c>
      <c r="F98" s="11" t="s">
        <v>941</v>
      </c>
    </row>
    <row r="99" spans="1:6" ht="90">
      <c r="A99" s="10" t="s">
        <v>258</v>
      </c>
      <c r="B99" s="10" t="s">
        <v>5</v>
      </c>
      <c r="C99" s="11" t="s">
        <v>942</v>
      </c>
      <c r="D99" s="12">
        <v>46271.875</v>
      </c>
      <c r="E99" s="12">
        <v>46272.208333333299</v>
      </c>
      <c r="F99" s="11" t="s">
        <v>941</v>
      </c>
    </row>
    <row r="100" spans="1:6" ht="75">
      <c r="A100" s="10" t="s">
        <v>258</v>
      </c>
      <c r="B100" s="10" t="s">
        <v>5</v>
      </c>
      <c r="C100" s="11" t="s">
        <v>943</v>
      </c>
      <c r="D100" s="12">
        <v>46271.875</v>
      </c>
      <c r="E100" s="12">
        <v>46272.208333333299</v>
      </c>
      <c r="F100" s="11" t="s">
        <v>941</v>
      </c>
    </row>
    <row r="101" spans="1:6" ht="60">
      <c r="A101" s="10" t="s">
        <v>258</v>
      </c>
      <c r="B101" s="10" t="s">
        <v>5</v>
      </c>
      <c r="C101" s="11" t="s">
        <v>598</v>
      </c>
      <c r="D101" s="12">
        <v>46271.875</v>
      </c>
      <c r="E101" s="12">
        <v>46272.208333333299</v>
      </c>
      <c r="F101" s="11" t="s">
        <v>941</v>
      </c>
    </row>
    <row r="102" spans="1:6">
      <c r="A102" s="10"/>
      <c r="B102" s="10"/>
      <c r="C102" s="11"/>
      <c r="D102" s="12"/>
      <c r="E102" s="12"/>
      <c r="F102" s="11"/>
    </row>
    <row r="103" spans="1:6">
      <c r="A103" s="10"/>
      <c r="B103" s="10"/>
      <c r="C103" s="11"/>
      <c r="D103" s="12"/>
      <c r="E103" s="12"/>
      <c r="F103" s="11"/>
    </row>
    <row r="104" spans="1:6">
      <c r="A104" s="10"/>
      <c r="B104" s="10"/>
      <c r="C104" s="11"/>
      <c r="D104" s="12"/>
      <c r="E104" s="12"/>
      <c r="F104" s="11"/>
    </row>
  </sheetData>
  <autoFilter ref="A2:F15" xr:uid="{91FAB155-F626-4AEE-B9D6-72222629C5EE}">
    <sortState xmlns:xlrd2="http://schemas.microsoft.com/office/spreadsheetml/2017/richdata2" ref="A3:F101">
      <sortCondition ref="A2:A15"/>
    </sortState>
  </autoFilter>
  <mergeCells count="1">
    <mergeCell ref="A1:F1"/>
  </mergeCells>
  <conditionalFormatting sqref="A102:F104">
    <cfRule type="expression" dxfId="8" priority="2">
      <formula>$J102="Over 12 hours"</formula>
    </cfRule>
  </conditionalFormatting>
  <conditionalFormatting sqref="A3:F101">
    <cfRule type="expression" dxfId="1"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97678-5D6C-4D77-8DD5-45C82ACA1909}">
  <sheetPr>
    <tabColor rgb="FFFFC000"/>
  </sheetPr>
  <dimension ref="A1:K320"/>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0.26953125" style="4" customWidth="1"/>
    <col min="4" max="4" width="15.7265625" style="4" customWidth="1"/>
    <col min="5" max="5" width="15.7265625" style="9" customWidth="1"/>
    <col min="6" max="6" width="47" style="9" customWidth="1"/>
    <col min="7" max="11" width="0" hidden="1" customWidth="1"/>
    <col min="12" max="16384" width="8.7265625" hidden="1"/>
  </cols>
  <sheetData>
    <row r="1" spans="1:6" ht="33">
      <c r="A1" s="28" t="str">
        <f>"Daily closure report: "&amp;'Front page'!A10</f>
        <v>Daily closure report: Monday, 7 September</v>
      </c>
      <c r="B1" s="28"/>
      <c r="C1" s="28"/>
      <c r="D1" s="28"/>
      <c r="E1" s="28"/>
      <c r="F1" s="28"/>
    </row>
    <row r="2" spans="1:6" s="3" customFormat="1" ht="27.6">
      <c r="A2" s="8" t="s">
        <v>9</v>
      </c>
      <c r="B2" s="8" t="s">
        <v>1</v>
      </c>
      <c r="C2" s="8" t="s">
        <v>0</v>
      </c>
      <c r="D2" s="7" t="s">
        <v>11</v>
      </c>
      <c r="E2" s="7" t="s">
        <v>12</v>
      </c>
      <c r="F2" s="8" t="s">
        <v>10</v>
      </c>
    </row>
    <row r="3" spans="1:6" s="3" customFormat="1" ht="60">
      <c r="A3" s="10" t="s">
        <v>42</v>
      </c>
      <c r="B3" s="10" t="s">
        <v>2</v>
      </c>
      <c r="C3" s="11" t="s">
        <v>962</v>
      </c>
      <c r="D3" s="12">
        <v>46272.833333333299</v>
      </c>
      <c r="E3" s="12">
        <v>46273.25</v>
      </c>
      <c r="F3" s="11" t="s">
        <v>963</v>
      </c>
    </row>
    <row r="4" spans="1:6" s="3" customFormat="1" ht="60">
      <c r="A4" s="10" t="s">
        <v>42</v>
      </c>
      <c r="B4" s="10" t="s">
        <v>6</v>
      </c>
      <c r="C4" s="11" t="s">
        <v>43</v>
      </c>
      <c r="D4" s="12">
        <v>46272.833333333299</v>
      </c>
      <c r="E4" s="12">
        <v>46273.208333333299</v>
      </c>
      <c r="F4" s="11" t="s">
        <v>44</v>
      </c>
    </row>
    <row r="5" spans="1:6" s="3" customFormat="1" ht="60">
      <c r="A5" s="10" t="s">
        <v>42</v>
      </c>
      <c r="B5" s="10" t="s">
        <v>23</v>
      </c>
      <c r="C5" s="11" t="s">
        <v>52</v>
      </c>
      <c r="D5" s="12">
        <v>45847.208333333299</v>
      </c>
      <c r="E5" s="12">
        <v>46507.999305555597</v>
      </c>
      <c r="F5" s="11" t="s">
        <v>53</v>
      </c>
    </row>
    <row r="6" spans="1:6" s="3" customFormat="1" ht="45">
      <c r="A6" s="10" t="s">
        <v>42</v>
      </c>
      <c r="B6" s="10" t="s">
        <v>2</v>
      </c>
      <c r="C6" s="11" t="s">
        <v>981</v>
      </c>
      <c r="D6" s="12">
        <v>46272.875</v>
      </c>
      <c r="E6" s="12">
        <v>46273.208333333299</v>
      </c>
      <c r="F6" s="11" t="s">
        <v>982</v>
      </c>
    </row>
    <row r="7" spans="1:6" s="3" customFormat="1" ht="45">
      <c r="A7" s="10" t="s">
        <v>42</v>
      </c>
      <c r="B7" s="10" t="s">
        <v>2</v>
      </c>
      <c r="C7" s="11" t="s">
        <v>1000</v>
      </c>
      <c r="D7" s="12">
        <v>46272.541666666701</v>
      </c>
      <c r="E7" s="12">
        <v>46277.25</v>
      </c>
      <c r="F7" s="11" t="s">
        <v>1001</v>
      </c>
    </row>
    <row r="8" spans="1:6" s="3" customFormat="1" ht="45">
      <c r="A8" s="10" t="s">
        <v>42</v>
      </c>
      <c r="B8" s="10" t="s">
        <v>2</v>
      </c>
      <c r="C8" s="11" t="s">
        <v>1002</v>
      </c>
      <c r="D8" s="12">
        <v>46272.833333333299</v>
      </c>
      <c r="E8" s="12">
        <v>46273.25</v>
      </c>
      <c r="F8" s="11" t="s">
        <v>1001</v>
      </c>
    </row>
    <row r="9" spans="1:6" s="3" customFormat="1" ht="45">
      <c r="A9" s="10" t="s">
        <v>42</v>
      </c>
      <c r="B9" s="10" t="s">
        <v>2</v>
      </c>
      <c r="C9" s="11" t="s">
        <v>1003</v>
      </c>
      <c r="D9" s="12">
        <v>46272.833333333299</v>
      </c>
      <c r="E9" s="12">
        <v>46273.25</v>
      </c>
      <c r="F9" s="11" t="s">
        <v>1001</v>
      </c>
    </row>
    <row r="10" spans="1:6" s="3" customFormat="1" ht="60">
      <c r="A10" s="10" t="s">
        <v>42</v>
      </c>
      <c r="B10" s="10" t="s">
        <v>2</v>
      </c>
      <c r="C10" s="11" t="s">
        <v>1004</v>
      </c>
      <c r="D10" s="12">
        <v>46272.833333333299</v>
      </c>
      <c r="E10" s="12">
        <v>46273.25</v>
      </c>
      <c r="F10" s="11" t="s">
        <v>1001</v>
      </c>
    </row>
    <row r="11" spans="1:6" s="3" customFormat="1" ht="60">
      <c r="A11" s="10" t="s">
        <v>42</v>
      </c>
      <c r="B11" s="10" t="s">
        <v>2</v>
      </c>
      <c r="C11" s="11" t="s">
        <v>1005</v>
      </c>
      <c r="D11" s="12">
        <v>46272.833333333299</v>
      </c>
      <c r="E11" s="12">
        <v>46273.25</v>
      </c>
      <c r="F11" s="11" t="s">
        <v>1001</v>
      </c>
    </row>
    <row r="12" spans="1:6" s="3" customFormat="1" ht="60">
      <c r="A12" s="10" t="s">
        <v>42</v>
      </c>
      <c r="B12" s="10" t="s">
        <v>2</v>
      </c>
      <c r="C12" s="11" t="s">
        <v>1006</v>
      </c>
      <c r="D12" s="12">
        <v>46272.833333333299</v>
      </c>
      <c r="E12" s="12">
        <v>46273.25</v>
      </c>
      <c r="F12" s="11" t="s">
        <v>1001</v>
      </c>
    </row>
    <row r="13" spans="1:6" s="3" customFormat="1" ht="75">
      <c r="A13" s="10" t="s">
        <v>42</v>
      </c>
      <c r="B13" s="10" t="s">
        <v>2</v>
      </c>
      <c r="C13" s="11" t="s">
        <v>1007</v>
      </c>
      <c r="D13" s="12">
        <v>46272.833333333299</v>
      </c>
      <c r="E13" s="12">
        <v>46273.25</v>
      </c>
      <c r="F13" s="11" t="s">
        <v>1001</v>
      </c>
    </row>
    <row r="14" spans="1:6" s="3" customFormat="1" ht="60">
      <c r="A14" s="10" t="s">
        <v>42</v>
      </c>
      <c r="B14" s="10" t="s">
        <v>2</v>
      </c>
      <c r="C14" s="11" t="s">
        <v>1008</v>
      </c>
      <c r="D14" s="12">
        <v>46272.833333333299</v>
      </c>
      <c r="E14" s="12">
        <v>46273.25</v>
      </c>
      <c r="F14" s="11" t="s">
        <v>1001</v>
      </c>
    </row>
    <row r="15" spans="1:6" s="3" customFormat="1" ht="60">
      <c r="A15" s="10" t="s">
        <v>42</v>
      </c>
      <c r="B15" s="10" t="s">
        <v>2</v>
      </c>
      <c r="C15" s="11" t="s">
        <v>1009</v>
      </c>
      <c r="D15" s="12">
        <v>46272.833333333299</v>
      </c>
      <c r="E15" s="12">
        <v>46273.25</v>
      </c>
      <c r="F15" s="11" t="s">
        <v>1001</v>
      </c>
    </row>
    <row r="16" spans="1:6" s="3" customFormat="1" ht="45">
      <c r="A16" s="10" t="s">
        <v>42</v>
      </c>
      <c r="B16" s="10" t="s">
        <v>2</v>
      </c>
      <c r="C16" s="11" t="s">
        <v>1010</v>
      </c>
      <c r="D16" s="12">
        <v>46272.833333333299</v>
      </c>
      <c r="E16" s="12">
        <v>46273.25</v>
      </c>
      <c r="F16" s="11" t="s">
        <v>1001</v>
      </c>
    </row>
    <row r="17" spans="1:6" s="3" customFormat="1" ht="45">
      <c r="A17" s="10" t="s">
        <v>42</v>
      </c>
      <c r="B17" s="10" t="s">
        <v>2</v>
      </c>
      <c r="C17" s="11" t="s">
        <v>1011</v>
      </c>
      <c r="D17" s="12">
        <v>46272.833333333299</v>
      </c>
      <c r="E17" s="12">
        <v>46273.25</v>
      </c>
      <c r="F17" s="11" t="s">
        <v>1001</v>
      </c>
    </row>
    <row r="18" spans="1:6" s="3" customFormat="1" ht="45">
      <c r="A18" s="10" t="s">
        <v>42</v>
      </c>
      <c r="B18" s="10" t="s">
        <v>2</v>
      </c>
      <c r="C18" s="11" t="s">
        <v>1012</v>
      </c>
      <c r="D18" s="12">
        <v>46272.833333333299</v>
      </c>
      <c r="E18" s="12">
        <v>46273.25</v>
      </c>
      <c r="F18" s="11" t="s">
        <v>1001</v>
      </c>
    </row>
    <row r="19" spans="1:6" s="3" customFormat="1" ht="60">
      <c r="A19" s="10" t="s">
        <v>42</v>
      </c>
      <c r="B19" s="10" t="s">
        <v>2</v>
      </c>
      <c r="C19" s="11" t="s">
        <v>1013</v>
      </c>
      <c r="D19" s="12">
        <v>46272.833333333299</v>
      </c>
      <c r="E19" s="12">
        <v>46273.25</v>
      </c>
      <c r="F19" s="11" t="s">
        <v>1001</v>
      </c>
    </row>
    <row r="20" spans="1:6" s="3" customFormat="1" ht="60">
      <c r="A20" s="10" t="s">
        <v>42</v>
      </c>
      <c r="B20" s="10" t="s">
        <v>2</v>
      </c>
      <c r="C20" s="11" t="s">
        <v>1014</v>
      </c>
      <c r="D20" s="12">
        <v>46272.833333333299</v>
      </c>
      <c r="E20" s="12">
        <v>46273.25</v>
      </c>
      <c r="F20" s="11" t="s">
        <v>1001</v>
      </c>
    </row>
    <row r="21" spans="1:6" s="3" customFormat="1" ht="60">
      <c r="A21" s="10" t="s">
        <v>42</v>
      </c>
      <c r="B21" s="10" t="s">
        <v>2</v>
      </c>
      <c r="C21" s="11" t="s">
        <v>1015</v>
      </c>
      <c r="D21" s="12">
        <v>46272.833333333299</v>
      </c>
      <c r="E21" s="12">
        <v>46273.25</v>
      </c>
      <c r="F21" s="11" t="s">
        <v>1001</v>
      </c>
    </row>
    <row r="22" spans="1:6" s="3" customFormat="1" ht="60">
      <c r="A22" s="10" t="s">
        <v>42</v>
      </c>
      <c r="B22" s="10" t="s">
        <v>2</v>
      </c>
      <c r="C22" s="11" t="s">
        <v>1016</v>
      </c>
      <c r="D22" s="12">
        <v>46272.833333333299</v>
      </c>
      <c r="E22" s="12">
        <v>46273.25</v>
      </c>
      <c r="F22" s="11" t="s">
        <v>1001</v>
      </c>
    </row>
    <row r="23" spans="1:6" s="3" customFormat="1" ht="45">
      <c r="A23" s="10" t="s">
        <v>42</v>
      </c>
      <c r="B23" s="10" t="s">
        <v>2</v>
      </c>
      <c r="C23" s="11" t="s">
        <v>1017</v>
      </c>
      <c r="D23" s="12">
        <v>46272.833333333299</v>
      </c>
      <c r="E23" s="12">
        <v>46273.25</v>
      </c>
      <c r="F23" s="11" t="s">
        <v>1001</v>
      </c>
    </row>
    <row r="24" spans="1:6" s="3" customFormat="1" ht="45">
      <c r="A24" s="10" t="s">
        <v>42</v>
      </c>
      <c r="B24" s="10" t="s">
        <v>2</v>
      </c>
      <c r="C24" s="11" t="s">
        <v>1018</v>
      </c>
      <c r="D24" s="12">
        <v>46272.833333333299</v>
      </c>
      <c r="E24" s="12">
        <v>46273.25</v>
      </c>
      <c r="F24" s="11" t="s">
        <v>1001</v>
      </c>
    </row>
    <row r="25" spans="1:6" s="3" customFormat="1" ht="45">
      <c r="A25" s="10" t="s">
        <v>42</v>
      </c>
      <c r="B25" s="10" t="s">
        <v>2</v>
      </c>
      <c r="C25" s="11" t="s">
        <v>1019</v>
      </c>
      <c r="D25" s="12">
        <v>46272.833333333299</v>
      </c>
      <c r="E25" s="12">
        <v>46273.25</v>
      </c>
      <c r="F25" s="11" t="s">
        <v>1001</v>
      </c>
    </row>
    <row r="26" spans="1:6" s="3" customFormat="1" ht="75">
      <c r="A26" s="10" t="s">
        <v>42</v>
      </c>
      <c r="B26" s="10" t="s">
        <v>2</v>
      </c>
      <c r="C26" s="11" t="s">
        <v>1020</v>
      </c>
      <c r="D26" s="12">
        <v>46272.833333333299</v>
      </c>
      <c r="E26" s="12">
        <v>46273.25</v>
      </c>
      <c r="F26" s="11" t="s">
        <v>1001</v>
      </c>
    </row>
    <row r="27" spans="1:6" s="3" customFormat="1" ht="60">
      <c r="A27" s="10" t="s">
        <v>60</v>
      </c>
      <c r="B27" s="10" t="s">
        <v>2</v>
      </c>
      <c r="C27" s="11" t="s">
        <v>61</v>
      </c>
      <c r="D27" s="12">
        <v>46272.875</v>
      </c>
      <c r="E27" s="12">
        <v>46273.208333333299</v>
      </c>
      <c r="F27" s="11" t="s">
        <v>62</v>
      </c>
    </row>
    <row r="28" spans="1:6" s="3" customFormat="1" ht="60">
      <c r="A28" s="10" t="s">
        <v>60</v>
      </c>
      <c r="B28" s="10" t="s">
        <v>2</v>
      </c>
      <c r="C28" s="11" t="s">
        <v>1050</v>
      </c>
      <c r="D28" s="12">
        <v>46272.833333333299</v>
      </c>
      <c r="E28" s="12">
        <v>46273.25</v>
      </c>
      <c r="F28" s="11" t="s">
        <v>1051</v>
      </c>
    </row>
    <row r="29" spans="1:6" s="3" customFormat="1" ht="60">
      <c r="A29" s="10" t="s">
        <v>60</v>
      </c>
      <c r="B29" s="10" t="s">
        <v>23</v>
      </c>
      <c r="C29" s="11" t="s">
        <v>1052</v>
      </c>
      <c r="D29" s="12">
        <v>46272.833333333299</v>
      </c>
      <c r="E29" s="12">
        <v>46273.25</v>
      </c>
      <c r="F29" s="11" t="s">
        <v>1051</v>
      </c>
    </row>
    <row r="30" spans="1:6" s="3" customFormat="1" ht="60">
      <c r="A30" s="10" t="s">
        <v>60</v>
      </c>
      <c r="B30" s="10" t="s">
        <v>6</v>
      </c>
      <c r="C30" s="11" t="s">
        <v>1053</v>
      </c>
      <c r="D30" s="12">
        <v>46272.833333333299</v>
      </c>
      <c r="E30" s="12">
        <v>46273.25</v>
      </c>
      <c r="F30" s="11" t="s">
        <v>1051</v>
      </c>
    </row>
    <row r="31" spans="1:6" s="3" customFormat="1" ht="45">
      <c r="A31" s="10" t="s">
        <v>1043</v>
      </c>
      <c r="B31" s="10" t="s">
        <v>4</v>
      </c>
      <c r="C31" s="11" t="s">
        <v>1044</v>
      </c>
      <c r="D31" s="12">
        <v>46272.833333333299</v>
      </c>
      <c r="E31" s="12">
        <v>46273.25</v>
      </c>
      <c r="F31" s="11" t="s">
        <v>1045</v>
      </c>
    </row>
    <row r="32" spans="1:6" s="3" customFormat="1" ht="75">
      <c r="A32" s="10" t="s">
        <v>1043</v>
      </c>
      <c r="B32" s="10" t="s">
        <v>5</v>
      </c>
      <c r="C32" s="11" t="s">
        <v>1046</v>
      </c>
      <c r="D32" s="12">
        <v>46272.833333333299</v>
      </c>
      <c r="E32" s="12">
        <v>46273.25</v>
      </c>
      <c r="F32" s="11" t="s">
        <v>1045</v>
      </c>
    </row>
    <row r="33" spans="1:6" s="3" customFormat="1" ht="45">
      <c r="A33" s="10" t="s">
        <v>1043</v>
      </c>
      <c r="B33" s="10" t="s">
        <v>5</v>
      </c>
      <c r="C33" s="11" t="s">
        <v>1047</v>
      </c>
      <c r="D33" s="12">
        <v>46272.833333333299</v>
      </c>
      <c r="E33" s="12">
        <v>46273.25</v>
      </c>
      <c r="F33" s="11" t="s">
        <v>1045</v>
      </c>
    </row>
    <row r="34" spans="1:6" s="3" customFormat="1" ht="45">
      <c r="A34" s="10" t="s">
        <v>442</v>
      </c>
      <c r="B34" s="10" t="s">
        <v>23</v>
      </c>
      <c r="C34" s="11" t="s">
        <v>1141</v>
      </c>
      <c r="D34" s="12">
        <v>46272.833333333299</v>
      </c>
      <c r="E34" s="12">
        <v>46273.166666666701</v>
      </c>
      <c r="F34" s="11" t="s">
        <v>1142</v>
      </c>
    </row>
    <row r="35" spans="1:6" s="3" customFormat="1" ht="75">
      <c r="A35" s="10" t="s">
        <v>442</v>
      </c>
      <c r="B35" s="10" t="s">
        <v>2</v>
      </c>
      <c r="C35" s="11" t="s">
        <v>1143</v>
      </c>
      <c r="D35" s="12">
        <v>46272.833333333299</v>
      </c>
      <c r="E35" s="12">
        <v>46273.166666666701</v>
      </c>
      <c r="F35" s="11" t="s">
        <v>1142</v>
      </c>
    </row>
    <row r="36" spans="1:6" s="3" customFormat="1" ht="75">
      <c r="A36" s="10" t="s">
        <v>32</v>
      </c>
      <c r="B36" s="10" t="s">
        <v>2</v>
      </c>
      <c r="C36" s="11" t="s">
        <v>33</v>
      </c>
      <c r="D36" s="12">
        <v>46272.895833333299</v>
      </c>
      <c r="E36" s="12">
        <v>46273.1875</v>
      </c>
      <c r="F36" s="11" t="s">
        <v>34</v>
      </c>
    </row>
    <row r="37" spans="1:6" s="3" customFormat="1" ht="75">
      <c r="A37" s="10" t="s">
        <v>32</v>
      </c>
      <c r="B37" s="10" t="s">
        <v>6</v>
      </c>
      <c r="C37" s="11" t="s">
        <v>35</v>
      </c>
      <c r="D37" s="12">
        <v>46272.895833333299</v>
      </c>
      <c r="E37" s="12">
        <v>46273.1875</v>
      </c>
      <c r="F37" s="11" t="s">
        <v>34</v>
      </c>
    </row>
    <row r="38" spans="1:6" s="3" customFormat="1" ht="75">
      <c r="A38" s="10" t="s">
        <v>32</v>
      </c>
      <c r="B38" s="10" t="s">
        <v>6</v>
      </c>
      <c r="C38" s="11" t="s">
        <v>960</v>
      </c>
      <c r="D38" s="12">
        <v>46272.833333333299</v>
      </c>
      <c r="E38" s="12">
        <v>46273.25</v>
      </c>
      <c r="F38" s="11" t="s">
        <v>961</v>
      </c>
    </row>
    <row r="39" spans="1:6" s="3" customFormat="1" ht="75">
      <c r="A39" s="10" t="s">
        <v>17</v>
      </c>
      <c r="B39" s="10" t="s">
        <v>2</v>
      </c>
      <c r="C39" s="11" t="s">
        <v>956</v>
      </c>
      <c r="D39" s="12">
        <v>46272.875</v>
      </c>
      <c r="E39" s="12">
        <v>46273.208333333299</v>
      </c>
      <c r="F39" s="11" t="s">
        <v>957</v>
      </c>
    </row>
    <row r="40" spans="1:6" s="3" customFormat="1" ht="60">
      <c r="A40" s="10" t="s">
        <v>17</v>
      </c>
      <c r="B40" s="10" t="s">
        <v>6</v>
      </c>
      <c r="C40" s="11" t="s">
        <v>958</v>
      </c>
      <c r="D40" s="12">
        <v>46272.875</v>
      </c>
      <c r="E40" s="12">
        <v>46273.208333333299</v>
      </c>
      <c r="F40" s="11" t="s">
        <v>959</v>
      </c>
    </row>
    <row r="41" spans="1:6" s="3" customFormat="1" ht="75">
      <c r="A41" s="10" t="s">
        <v>17</v>
      </c>
      <c r="B41" s="10" t="s">
        <v>2</v>
      </c>
      <c r="C41" s="11" t="s">
        <v>969</v>
      </c>
      <c r="D41" s="12">
        <v>46272.875</v>
      </c>
      <c r="E41" s="12">
        <v>46273.208333333299</v>
      </c>
      <c r="F41" s="11" t="s">
        <v>970</v>
      </c>
    </row>
    <row r="42" spans="1:6" s="3" customFormat="1" ht="75">
      <c r="A42" s="10" t="s">
        <v>29</v>
      </c>
      <c r="B42" s="10" t="s">
        <v>4</v>
      </c>
      <c r="C42" s="11" t="s">
        <v>955</v>
      </c>
      <c r="D42" s="12">
        <v>46272.833333333299</v>
      </c>
      <c r="E42" s="12">
        <v>46273.25</v>
      </c>
      <c r="F42" s="11" t="s">
        <v>669</v>
      </c>
    </row>
    <row r="43" spans="1:6" s="3" customFormat="1" ht="75">
      <c r="A43" s="10" t="s">
        <v>29</v>
      </c>
      <c r="B43" s="10" t="s">
        <v>5</v>
      </c>
      <c r="C43" s="11" t="s">
        <v>670</v>
      </c>
      <c r="D43" s="12">
        <v>46272.895833333299</v>
      </c>
      <c r="E43" s="12">
        <v>46273.25</v>
      </c>
      <c r="F43" s="11" t="s">
        <v>31</v>
      </c>
    </row>
    <row r="44" spans="1:6" s="3" customFormat="1" ht="90">
      <c r="A44" s="10" t="s">
        <v>29</v>
      </c>
      <c r="B44" s="10" t="s">
        <v>4</v>
      </c>
      <c r="C44" s="11" t="s">
        <v>967</v>
      </c>
      <c r="D44" s="12">
        <v>46272.833333333299</v>
      </c>
      <c r="E44" s="12">
        <v>46273.25</v>
      </c>
      <c r="F44" s="11" t="s">
        <v>968</v>
      </c>
    </row>
    <row r="45" spans="1:6" s="3" customFormat="1" ht="75">
      <c r="A45" s="10" t="s">
        <v>29</v>
      </c>
      <c r="B45" s="10" t="s">
        <v>5</v>
      </c>
      <c r="C45" s="11" t="s">
        <v>93</v>
      </c>
      <c r="D45" s="12">
        <v>46272.541666666701</v>
      </c>
      <c r="E45" s="12">
        <v>46277.25</v>
      </c>
      <c r="F45" s="11" t="s">
        <v>94</v>
      </c>
    </row>
    <row r="46" spans="1:6" s="3" customFormat="1" ht="75">
      <c r="A46" s="10" t="s">
        <v>29</v>
      </c>
      <c r="B46" s="10" t="s">
        <v>5</v>
      </c>
      <c r="C46" s="11" t="s">
        <v>95</v>
      </c>
      <c r="D46" s="12">
        <v>46272.833333333299</v>
      </c>
      <c r="E46" s="12">
        <v>46273.25</v>
      </c>
      <c r="F46" s="11" t="s">
        <v>94</v>
      </c>
    </row>
    <row r="47" spans="1:6" s="3" customFormat="1" ht="75">
      <c r="A47" s="10" t="s">
        <v>29</v>
      </c>
      <c r="B47" s="10" t="s">
        <v>5</v>
      </c>
      <c r="C47" s="11" t="s">
        <v>96</v>
      </c>
      <c r="D47" s="12">
        <v>46272.833333333299</v>
      </c>
      <c r="E47" s="12">
        <v>46273.25</v>
      </c>
      <c r="F47" s="11" t="s">
        <v>94</v>
      </c>
    </row>
    <row r="48" spans="1:6" s="3" customFormat="1" ht="75">
      <c r="A48" s="10" t="s">
        <v>29</v>
      </c>
      <c r="B48" s="10" t="s">
        <v>5</v>
      </c>
      <c r="C48" s="11" t="s">
        <v>97</v>
      </c>
      <c r="D48" s="12">
        <v>46272.833333333299</v>
      </c>
      <c r="E48" s="12">
        <v>46273.25</v>
      </c>
      <c r="F48" s="11" t="s">
        <v>94</v>
      </c>
    </row>
    <row r="49" spans="1:6" s="3" customFormat="1" ht="90">
      <c r="A49" s="10" t="s">
        <v>29</v>
      </c>
      <c r="B49" s="10" t="s">
        <v>5</v>
      </c>
      <c r="C49" s="11" t="s">
        <v>98</v>
      </c>
      <c r="D49" s="12">
        <v>46272.833333333299</v>
      </c>
      <c r="E49" s="12">
        <v>46273.25</v>
      </c>
      <c r="F49" s="11" t="s">
        <v>94</v>
      </c>
    </row>
    <row r="50" spans="1:6" s="3" customFormat="1" ht="90">
      <c r="A50" s="10" t="s">
        <v>29</v>
      </c>
      <c r="B50" s="10" t="s">
        <v>5</v>
      </c>
      <c r="C50" s="11" t="s">
        <v>99</v>
      </c>
      <c r="D50" s="12">
        <v>46272.833333333299</v>
      </c>
      <c r="E50" s="12">
        <v>46273.25</v>
      </c>
      <c r="F50" s="11" t="s">
        <v>94</v>
      </c>
    </row>
    <row r="51" spans="1:6" s="3" customFormat="1" ht="90">
      <c r="A51" s="10" t="s">
        <v>29</v>
      </c>
      <c r="B51" s="10" t="s">
        <v>5</v>
      </c>
      <c r="C51" s="11" t="s">
        <v>100</v>
      </c>
      <c r="D51" s="12">
        <v>46272.833333333299</v>
      </c>
      <c r="E51" s="12">
        <v>46273.25</v>
      </c>
      <c r="F51" s="11" t="s">
        <v>94</v>
      </c>
    </row>
    <row r="52" spans="1:6" s="3" customFormat="1" ht="90">
      <c r="A52" s="10" t="s">
        <v>29</v>
      </c>
      <c r="B52" s="10" t="s">
        <v>5</v>
      </c>
      <c r="C52" s="11" t="s">
        <v>101</v>
      </c>
      <c r="D52" s="12">
        <v>46272.833333333299</v>
      </c>
      <c r="E52" s="12">
        <v>46273.25</v>
      </c>
      <c r="F52" s="11" t="s">
        <v>94</v>
      </c>
    </row>
    <row r="53" spans="1:6" s="3" customFormat="1" ht="90">
      <c r="A53" s="10" t="s">
        <v>705</v>
      </c>
      <c r="B53" s="10" t="s">
        <v>5</v>
      </c>
      <c r="C53" s="11" t="s">
        <v>1033</v>
      </c>
      <c r="D53" s="12">
        <v>46272.833333333299</v>
      </c>
      <c r="E53" s="12">
        <v>46273.25</v>
      </c>
      <c r="F53" s="11" t="s">
        <v>1034</v>
      </c>
    </row>
    <row r="54" spans="1:6" s="3" customFormat="1" ht="90">
      <c r="A54" s="10" t="s">
        <v>705</v>
      </c>
      <c r="B54" s="10" t="s">
        <v>5</v>
      </c>
      <c r="C54" s="11" t="s">
        <v>1035</v>
      </c>
      <c r="D54" s="12">
        <v>46272.833333333299</v>
      </c>
      <c r="E54" s="12">
        <v>46273.25</v>
      </c>
      <c r="F54" s="11" t="s">
        <v>1034</v>
      </c>
    </row>
    <row r="55" spans="1:6" s="3" customFormat="1" ht="90">
      <c r="A55" s="10" t="s">
        <v>705</v>
      </c>
      <c r="B55" s="10" t="s">
        <v>5</v>
      </c>
      <c r="C55" s="11" t="s">
        <v>1036</v>
      </c>
      <c r="D55" s="12">
        <v>46272.833333333299</v>
      </c>
      <c r="E55" s="12">
        <v>46273.25</v>
      </c>
      <c r="F55" s="11" t="s">
        <v>1034</v>
      </c>
    </row>
    <row r="56" spans="1:6" s="3" customFormat="1" ht="90">
      <c r="A56" s="10" t="s">
        <v>228</v>
      </c>
      <c r="B56" s="10" t="s">
        <v>23</v>
      </c>
      <c r="C56" s="11" t="s">
        <v>229</v>
      </c>
      <c r="D56" s="12">
        <v>46272.833333333299</v>
      </c>
      <c r="E56" s="12">
        <v>46273.25</v>
      </c>
      <c r="F56" s="11" t="s">
        <v>226</v>
      </c>
    </row>
    <row r="57" spans="1:6" s="3" customFormat="1" ht="90">
      <c r="A57" s="10" t="s">
        <v>228</v>
      </c>
      <c r="B57" s="10" t="s">
        <v>4</v>
      </c>
      <c r="C57" s="11" t="s">
        <v>230</v>
      </c>
      <c r="D57" s="12">
        <v>46272.833333333299</v>
      </c>
      <c r="E57" s="12">
        <v>46273.25</v>
      </c>
      <c r="F57" s="11" t="s">
        <v>226</v>
      </c>
    </row>
    <row r="58" spans="1:6" s="3" customFormat="1" ht="60">
      <c r="A58" s="10" t="s">
        <v>228</v>
      </c>
      <c r="B58" s="10" t="s">
        <v>5</v>
      </c>
      <c r="C58" s="11" t="s">
        <v>231</v>
      </c>
      <c r="D58" s="12">
        <v>46272.833333333299</v>
      </c>
      <c r="E58" s="12">
        <v>46273.25</v>
      </c>
      <c r="F58" s="11" t="s">
        <v>226</v>
      </c>
    </row>
    <row r="59" spans="1:6" s="3" customFormat="1" ht="75">
      <c r="A59" s="10" t="s">
        <v>566</v>
      </c>
      <c r="B59" s="10" t="s">
        <v>4</v>
      </c>
      <c r="C59" s="11" t="s">
        <v>1025</v>
      </c>
      <c r="D59" s="12">
        <v>46272.833333333299</v>
      </c>
      <c r="E59" s="12">
        <v>46273.25</v>
      </c>
      <c r="F59" s="11" t="s">
        <v>1026</v>
      </c>
    </row>
    <row r="60" spans="1:6" s="3" customFormat="1" ht="90">
      <c r="A60" s="10" t="s">
        <v>566</v>
      </c>
      <c r="B60" s="10" t="s">
        <v>4</v>
      </c>
      <c r="C60" s="11" t="s">
        <v>1027</v>
      </c>
      <c r="D60" s="12">
        <v>46272.833333333299</v>
      </c>
      <c r="E60" s="12">
        <v>46273.25</v>
      </c>
      <c r="F60" s="11" t="s">
        <v>1026</v>
      </c>
    </row>
    <row r="61" spans="1:6" s="3" customFormat="1" ht="90">
      <c r="A61" s="10" t="s">
        <v>566</v>
      </c>
      <c r="B61" s="10" t="s">
        <v>4</v>
      </c>
      <c r="C61" s="11" t="s">
        <v>1028</v>
      </c>
      <c r="D61" s="12">
        <v>46272.833333333299</v>
      </c>
      <c r="E61" s="12">
        <v>46273.25</v>
      </c>
      <c r="F61" s="11" t="s">
        <v>1026</v>
      </c>
    </row>
    <row r="62" spans="1:6" s="3" customFormat="1" ht="90">
      <c r="A62" s="10" t="s">
        <v>566</v>
      </c>
      <c r="B62" s="10" t="s">
        <v>4</v>
      </c>
      <c r="C62" s="11" t="s">
        <v>1029</v>
      </c>
      <c r="D62" s="12">
        <v>46272.833333333299</v>
      </c>
      <c r="E62" s="12">
        <v>46273.25</v>
      </c>
      <c r="F62" s="11" t="s">
        <v>1026</v>
      </c>
    </row>
    <row r="63" spans="1:6" s="3" customFormat="1" ht="90">
      <c r="A63" s="10" t="s">
        <v>221</v>
      </c>
      <c r="B63" s="10" t="s">
        <v>6</v>
      </c>
      <c r="C63" s="11" t="s">
        <v>1054</v>
      </c>
      <c r="D63" s="12">
        <v>46272.833333333299</v>
      </c>
      <c r="E63" s="12">
        <v>46273.25</v>
      </c>
      <c r="F63" s="11" t="s">
        <v>1055</v>
      </c>
    </row>
    <row r="64" spans="1:6" s="3" customFormat="1" ht="90">
      <c r="A64" s="10" t="s">
        <v>221</v>
      </c>
      <c r="B64" s="10" t="s">
        <v>6</v>
      </c>
      <c r="C64" s="11" t="s">
        <v>1056</v>
      </c>
      <c r="D64" s="12">
        <v>46272.833333333299</v>
      </c>
      <c r="E64" s="12">
        <v>46273.25</v>
      </c>
      <c r="F64" s="11" t="s">
        <v>1055</v>
      </c>
    </row>
    <row r="65" spans="1:6" s="3" customFormat="1" ht="90">
      <c r="A65" s="10" t="s">
        <v>221</v>
      </c>
      <c r="B65" s="10" t="s">
        <v>2</v>
      </c>
      <c r="C65" s="11" t="s">
        <v>222</v>
      </c>
      <c r="D65" s="12">
        <v>46272.833333333299</v>
      </c>
      <c r="E65" s="12">
        <v>46273.25</v>
      </c>
      <c r="F65" s="11" t="s">
        <v>223</v>
      </c>
    </row>
    <row r="66" spans="1:6" s="3" customFormat="1" ht="90">
      <c r="A66" s="10" t="s">
        <v>221</v>
      </c>
      <c r="B66" s="10" t="s">
        <v>6</v>
      </c>
      <c r="C66" s="11" t="s">
        <v>224</v>
      </c>
      <c r="D66" s="12">
        <v>46272.833333333299</v>
      </c>
      <c r="E66" s="12">
        <v>46273.25</v>
      </c>
      <c r="F66" s="11" t="s">
        <v>223</v>
      </c>
    </row>
    <row r="67" spans="1:6" s="3" customFormat="1" ht="90">
      <c r="A67" s="10" t="s">
        <v>221</v>
      </c>
      <c r="B67" s="10" t="s">
        <v>6</v>
      </c>
      <c r="C67" s="11" t="s">
        <v>225</v>
      </c>
      <c r="D67" s="12">
        <v>46272.833333333299</v>
      </c>
      <c r="E67" s="12">
        <v>46273.25</v>
      </c>
      <c r="F67" s="11" t="s">
        <v>226</v>
      </c>
    </row>
    <row r="68" spans="1:6" s="3" customFormat="1" ht="90">
      <c r="A68" s="10" t="s">
        <v>221</v>
      </c>
      <c r="B68" s="10" t="s">
        <v>2</v>
      </c>
      <c r="C68" s="11" t="s">
        <v>227</v>
      </c>
      <c r="D68" s="12">
        <v>46272.833333333299</v>
      </c>
      <c r="E68" s="12">
        <v>46273.25</v>
      </c>
      <c r="F68" s="11" t="s">
        <v>226</v>
      </c>
    </row>
    <row r="69" spans="1:6" s="3" customFormat="1" ht="90">
      <c r="A69" s="10" t="s">
        <v>221</v>
      </c>
      <c r="B69" s="10" t="s">
        <v>2</v>
      </c>
      <c r="C69" s="11" t="s">
        <v>232</v>
      </c>
      <c r="D69" s="12">
        <v>46272.833333333299</v>
      </c>
      <c r="E69" s="12">
        <v>46273.25</v>
      </c>
      <c r="F69" s="11" t="s">
        <v>233</v>
      </c>
    </row>
    <row r="70" spans="1:6" s="3" customFormat="1" ht="90">
      <c r="A70" s="10" t="s">
        <v>392</v>
      </c>
      <c r="B70" s="10" t="s">
        <v>5</v>
      </c>
      <c r="C70" s="11" t="s">
        <v>1124</v>
      </c>
      <c r="D70" s="12">
        <v>46272.833333333299</v>
      </c>
      <c r="E70" s="12">
        <v>46273.25</v>
      </c>
      <c r="F70" s="11" t="s">
        <v>1125</v>
      </c>
    </row>
    <row r="71" spans="1:6" s="3" customFormat="1" ht="90">
      <c r="A71" s="10" t="s">
        <v>392</v>
      </c>
      <c r="B71" s="10" t="s">
        <v>4</v>
      </c>
      <c r="C71" s="11" t="s">
        <v>761</v>
      </c>
      <c r="D71" s="12">
        <v>46272.875</v>
      </c>
      <c r="E71" s="12">
        <v>46273.25</v>
      </c>
      <c r="F71" s="11" t="s">
        <v>762</v>
      </c>
    </row>
    <row r="72" spans="1:6" s="3" customFormat="1" ht="90">
      <c r="A72" s="10" t="s">
        <v>392</v>
      </c>
      <c r="B72" s="10" t="s">
        <v>5</v>
      </c>
      <c r="C72" s="11" t="s">
        <v>1153</v>
      </c>
      <c r="D72" s="12">
        <v>46272.916666666701</v>
      </c>
      <c r="E72" s="12">
        <v>46273.229166666701</v>
      </c>
      <c r="F72" s="11" t="s">
        <v>1154</v>
      </c>
    </row>
    <row r="73" spans="1:6" s="3" customFormat="1" ht="90">
      <c r="A73" s="10" t="s">
        <v>380</v>
      </c>
      <c r="B73" s="10" t="s">
        <v>2</v>
      </c>
      <c r="C73" s="11" t="s">
        <v>1132</v>
      </c>
      <c r="D73" s="12">
        <v>46272.833333333299</v>
      </c>
      <c r="E73" s="12">
        <v>46273.25</v>
      </c>
      <c r="F73" s="11" t="s">
        <v>1133</v>
      </c>
    </row>
    <row r="74" spans="1:6" s="3" customFormat="1" ht="90">
      <c r="A74" s="10" t="s">
        <v>380</v>
      </c>
      <c r="B74" s="10" t="s">
        <v>2</v>
      </c>
      <c r="C74" s="11" t="s">
        <v>396</v>
      </c>
      <c r="D74" s="12">
        <v>46272.833333333299</v>
      </c>
      <c r="E74" s="12">
        <v>46273.25</v>
      </c>
      <c r="F74" s="11" t="s">
        <v>397</v>
      </c>
    </row>
    <row r="75" spans="1:6" s="3" customFormat="1" ht="90">
      <c r="A75" s="10" t="s">
        <v>380</v>
      </c>
      <c r="B75" s="10" t="s">
        <v>6</v>
      </c>
      <c r="C75" s="11" t="s">
        <v>398</v>
      </c>
      <c r="D75" s="12">
        <v>46272.833333333299</v>
      </c>
      <c r="E75" s="12">
        <v>46273.25</v>
      </c>
      <c r="F75" s="11" t="s">
        <v>397</v>
      </c>
    </row>
    <row r="76" spans="1:6" s="3" customFormat="1" ht="90">
      <c r="A76" s="10" t="s">
        <v>383</v>
      </c>
      <c r="B76" s="10" t="s">
        <v>2</v>
      </c>
      <c r="C76" s="11" t="s">
        <v>1128</v>
      </c>
      <c r="D76" s="12">
        <v>46272.875</v>
      </c>
      <c r="E76" s="12">
        <v>46273.25</v>
      </c>
      <c r="F76" s="11" t="s">
        <v>1127</v>
      </c>
    </row>
    <row r="77" spans="1:6" s="3" customFormat="1" ht="90">
      <c r="A77" s="10" t="s">
        <v>383</v>
      </c>
      <c r="B77" s="10" t="s">
        <v>4</v>
      </c>
      <c r="C77" s="11" t="s">
        <v>1134</v>
      </c>
      <c r="D77" s="12">
        <v>46272.875</v>
      </c>
      <c r="E77" s="12">
        <v>46273.25</v>
      </c>
      <c r="F77" s="11" t="s">
        <v>1135</v>
      </c>
    </row>
    <row r="78" spans="1:6" s="3" customFormat="1" ht="90">
      <c r="A78" s="10" t="s">
        <v>383</v>
      </c>
      <c r="B78" s="10" t="s">
        <v>2</v>
      </c>
      <c r="C78" s="11" t="s">
        <v>404</v>
      </c>
      <c r="D78" s="12">
        <v>46272.833333333299</v>
      </c>
      <c r="E78" s="12">
        <v>46273.25</v>
      </c>
      <c r="F78" s="11" t="s">
        <v>405</v>
      </c>
    </row>
    <row r="79" spans="1:6" s="3" customFormat="1" ht="90">
      <c r="A79" s="10" t="s">
        <v>383</v>
      </c>
      <c r="B79" s="10" t="s">
        <v>2</v>
      </c>
      <c r="C79" s="11" t="s">
        <v>406</v>
      </c>
      <c r="D79" s="12">
        <v>46272.833333333299</v>
      </c>
      <c r="E79" s="12">
        <v>46273.25</v>
      </c>
      <c r="F79" s="11" t="s">
        <v>405</v>
      </c>
    </row>
    <row r="80" spans="1:6" s="3" customFormat="1" ht="60">
      <c r="A80" s="10" t="s">
        <v>376</v>
      </c>
      <c r="B80" s="10" t="s">
        <v>5</v>
      </c>
      <c r="C80" s="11" t="s">
        <v>629</v>
      </c>
      <c r="D80" s="12">
        <v>46272.875</v>
      </c>
      <c r="E80" s="12">
        <v>46273.25</v>
      </c>
      <c r="F80" s="11" t="s">
        <v>630</v>
      </c>
    </row>
    <row r="81" spans="1:6" s="3" customFormat="1" ht="90">
      <c r="A81" s="10" t="s">
        <v>376</v>
      </c>
      <c r="B81" s="10" t="s">
        <v>4</v>
      </c>
      <c r="C81" s="11" t="s">
        <v>377</v>
      </c>
      <c r="D81" s="12">
        <v>46272.833333333299</v>
      </c>
      <c r="E81" s="12">
        <v>46273.25</v>
      </c>
      <c r="F81" s="11" t="s">
        <v>378</v>
      </c>
    </row>
    <row r="82" spans="1:6" s="3" customFormat="1" ht="90">
      <c r="A82" s="10" t="s">
        <v>376</v>
      </c>
      <c r="B82" s="10" t="s">
        <v>5</v>
      </c>
      <c r="C82" s="11" t="s">
        <v>379</v>
      </c>
      <c r="D82" s="12">
        <v>46272.833333333299</v>
      </c>
      <c r="E82" s="12">
        <v>46273.25</v>
      </c>
      <c r="F82" s="11" t="s">
        <v>378</v>
      </c>
    </row>
    <row r="83" spans="1:6" s="3" customFormat="1" ht="45">
      <c r="A83" s="10" t="s">
        <v>376</v>
      </c>
      <c r="B83" s="10" t="s">
        <v>2</v>
      </c>
      <c r="C83" s="11" t="s">
        <v>1126</v>
      </c>
      <c r="D83" s="12">
        <v>46272.875</v>
      </c>
      <c r="E83" s="12">
        <v>46273.25</v>
      </c>
      <c r="F83" s="11" t="s">
        <v>1127</v>
      </c>
    </row>
    <row r="84" spans="1:6" s="3" customFormat="1" ht="60">
      <c r="A84" s="10" t="s">
        <v>420</v>
      </c>
      <c r="B84" s="10" t="s">
        <v>2</v>
      </c>
      <c r="C84" s="11" t="s">
        <v>421</v>
      </c>
      <c r="D84" s="12">
        <v>46272.875</v>
      </c>
      <c r="E84" s="12">
        <v>46273.229166666701</v>
      </c>
      <c r="F84" s="11" t="s">
        <v>422</v>
      </c>
    </row>
    <row r="85" spans="1:6" s="3" customFormat="1" ht="60">
      <c r="A85" s="10" t="s">
        <v>420</v>
      </c>
      <c r="B85" s="10" t="s">
        <v>2</v>
      </c>
      <c r="C85" s="11" t="s">
        <v>423</v>
      </c>
      <c r="D85" s="12">
        <v>46272.875</v>
      </c>
      <c r="E85" s="12">
        <v>46273.229166666701</v>
      </c>
      <c r="F85" s="11" t="s">
        <v>422</v>
      </c>
    </row>
    <row r="86" spans="1:6" s="3" customFormat="1" ht="60">
      <c r="A86" s="10" t="s">
        <v>420</v>
      </c>
      <c r="B86" s="10" t="s">
        <v>6</v>
      </c>
      <c r="C86" s="11" t="s">
        <v>436</v>
      </c>
      <c r="D86" s="12">
        <v>46272.916666666701</v>
      </c>
      <c r="E86" s="12">
        <v>46273.229166666701</v>
      </c>
      <c r="F86" s="11" t="s">
        <v>768</v>
      </c>
    </row>
    <row r="87" spans="1:6" s="3" customFormat="1" ht="60">
      <c r="A87" s="10" t="s">
        <v>420</v>
      </c>
      <c r="B87" s="10" t="s">
        <v>6</v>
      </c>
      <c r="C87" s="11" t="s">
        <v>769</v>
      </c>
      <c r="D87" s="12">
        <v>46272.916666666701</v>
      </c>
      <c r="E87" s="12">
        <v>46273.229166666701</v>
      </c>
      <c r="F87" s="11" t="s">
        <v>768</v>
      </c>
    </row>
    <row r="88" spans="1:6" s="3" customFormat="1" ht="60">
      <c r="A88" s="10" t="s">
        <v>357</v>
      </c>
      <c r="B88" s="10" t="s">
        <v>2</v>
      </c>
      <c r="C88" s="11" t="s">
        <v>1104</v>
      </c>
      <c r="D88" s="12">
        <v>46272.875</v>
      </c>
      <c r="E88" s="12">
        <v>46273.25</v>
      </c>
      <c r="F88" s="11" t="s">
        <v>1105</v>
      </c>
    </row>
    <row r="89" spans="1:6" s="3" customFormat="1" ht="60">
      <c r="A89" s="10" t="s">
        <v>357</v>
      </c>
      <c r="B89" s="10" t="s">
        <v>2</v>
      </c>
      <c r="C89" s="11" t="s">
        <v>1106</v>
      </c>
      <c r="D89" s="12">
        <v>46272.875</v>
      </c>
      <c r="E89" s="12">
        <v>46273.25</v>
      </c>
      <c r="F89" s="11" t="s">
        <v>1105</v>
      </c>
    </row>
    <row r="90" spans="1:6" s="3" customFormat="1" ht="60">
      <c r="A90" s="10" t="s">
        <v>357</v>
      </c>
      <c r="B90" s="10" t="s">
        <v>2</v>
      </c>
      <c r="C90" s="11" t="s">
        <v>1151</v>
      </c>
      <c r="D90" s="12">
        <v>46272.916666666701</v>
      </c>
      <c r="E90" s="12">
        <v>46273.229166666701</v>
      </c>
      <c r="F90" s="11" t="s">
        <v>1152</v>
      </c>
    </row>
    <row r="91" spans="1:6" s="3" customFormat="1" ht="60">
      <c r="A91" s="10" t="s">
        <v>452</v>
      </c>
      <c r="B91" s="10" t="s">
        <v>4</v>
      </c>
      <c r="C91" s="11" t="s">
        <v>460</v>
      </c>
      <c r="D91" s="12">
        <v>46272.833333333299</v>
      </c>
      <c r="E91" s="12">
        <v>46273.25</v>
      </c>
      <c r="F91" s="11" t="s">
        <v>461</v>
      </c>
    </row>
    <row r="92" spans="1:6" s="3" customFormat="1" ht="75">
      <c r="A92" s="10" t="s">
        <v>452</v>
      </c>
      <c r="B92" s="10" t="s">
        <v>5</v>
      </c>
      <c r="C92" s="11" t="s">
        <v>881</v>
      </c>
      <c r="D92" s="12">
        <v>46272.875</v>
      </c>
      <c r="E92" s="12">
        <v>46273.25</v>
      </c>
      <c r="F92" s="11" t="s">
        <v>882</v>
      </c>
    </row>
    <row r="93" spans="1:6" ht="75">
      <c r="A93" s="10" t="s">
        <v>452</v>
      </c>
      <c r="B93" s="10" t="s">
        <v>4</v>
      </c>
      <c r="C93" s="11" t="s">
        <v>883</v>
      </c>
      <c r="D93" s="12">
        <v>46272.875</v>
      </c>
      <c r="E93" s="12">
        <v>46273.25</v>
      </c>
      <c r="F93" s="11" t="s">
        <v>882</v>
      </c>
    </row>
    <row r="94" spans="1:6" ht="75">
      <c r="A94" s="10" t="s">
        <v>452</v>
      </c>
      <c r="B94" s="10" t="s">
        <v>4</v>
      </c>
      <c r="C94" s="11" t="s">
        <v>949</v>
      </c>
      <c r="D94" s="12">
        <v>46272.25</v>
      </c>
      <c r="E94" s="12">
        <v>46341.833333333299</v>
      </c>
      <c r="F94" s="11" t="s">
        <v>950</v>
      </c>
    </row>
    <row r="95" spans="1:6" ht="75">
      <c r="A95" s="10" t="s">
        <v>452</v>
      </c>
      <c r="B95" s="10" t="s">
        <v>4</v>
      </c>
      <c r="C95" s="11" t="s">
        <v>1159</v>
      </c>
      <c r="D95" s="12">
        <v>46272.875</v>
      </c>
      <c r="E95" s="12">
        <v>46273.25</v>
      </c>
      <c r="F95" s="11" t="s">
        <v>1160</v>
      </c>
    </row>
    <row r="96" spans="1:6" ht="105">
      <c r="A96" s="10" t="s">
        <v>452</v>
      </c>
      <c r="B96" s="10" t="s">
        <v>4</v>
      </c>
      <c r="C96" s="11" t="s">
        <v>1163</v>
      </c>
      <c r="D96" s="12">
        <v>46272.833333333299</v>
      </c>
      <c r="E96" s="12">
        <v>46273.25</v>
      </c>
      <c r="F96" s="11" t="s">
        <v>1164</v>
      </c>
    </row>
    <row r="97" spans="1:6" ht="105">
      <c r="A97" s="10" t="s">
        <v>345</v>
      </c>
      <c r="B97" s="10" t="s">
        <v>5</v>
      </c>
      <c r="C97" s="11" t="s">
        <v>346</v>
      </c>
      <c r="D97" s="12">
        <v>46272.875</v>
      </c>
      <c r="E97" s="12">
        <v>46273.25</v>
      </c>
      <c r="F97" s="11" t="s">
        <v>347</v>
      </c>
    </row>
    <row r="98" spans="1:6" ht="105">
      <c r="A98" s="10" t="s">
        <v>345</v>
      </c>
      <c r="B98" s="10" t="s">
        <v>4</v>
      </c>
      <c r="C98" s="11" t="s">
        <v>348</v>
      </c>
      <c r="D98" s="12">
        <v>46272.875</v>
      </c>
      <c r="E98" s="12">
        <v>46273.25</v>
      </c>
      <c r="F98" s="11" t="s">
        <v>347</v>
      </c>
    </row>
    <row r="99" spans="1:6" ht="75">
      <c r="A99" s="10" t="s">
        <v>345</v>
      </c>
      <c r="B99" s="10" t="s">
        <v>23</v>
      </c>
      <c r="C99" s="11" t="s">
        <v>468</v>
      </c>
      <c r="D99" s="12">
        <v>46272.875</v>
      </c>
      <c r="E99" s="12">
        <v>46273.25</v>
      </c>
      <c r="F99" s="11" t="s">
        <v>469</v>
      </c>
    </row>
    <row r="100" spans="1:6" ht="75">
      <c r="A100" s="10" t="s">
        <v>371</v>
      </c>
      <c r="B100" s="10" t="s">
        <v>4</v>
      </c>
      <c r="C100" s="11" t="s">
        <v>372</v>
      </c>
      <c r="D100" s="12">
        <v>46272.875</v>
      </c>
      <c r="E100" s="12">
        <v>46273.25</v>
      </c>
      <c r="F100" s="11" t="s">
        <v>373</v>
      </c>
    </row>
    <row r="101" spans="1:6" ht="75">
      <c r="A101" s="10" t="s">
        <v>371</v>
      </c>
      <c r="B101" s="10" t="s">
        <v>4</v>
      </c>
      <c r="C101" s="11" t="s">
        <v>374</v>
      </c>
      <c r="D101" s="12">
        <v>46272.875</v>
      </c>
      <c r="E101" s="12">
        <v>46273.25</v>
      </c>
      <c r="F101" s="11" t="s">
        <v>373</v>
      </c>
    </row>
    <row r="102" spans="1:6" ht="75">
      <c r="A102" s="10" t="s">
        <v>330</v>
      </c>
      <c r="B102" s="10" t="s">
        <v>2</v>
      </c>
      <c r="C102" s="11" t="s">
        <v>331</v>
      </c>
      <c r="D102" s="12">
        <v>46272.875</v>
      </c>
      <c r="E102" s="12">
        <v>46273.25</v>
      </c>
      <c r="F102" s="11" t="s">
        <v>332</v>
      </c>
    </row>
    <row r="103" spans="1:6" ht="75">
      <c r="A103" s="10" t="s">
        <v>330</v>
      </c>
      <c r="B103" s="10" t="s">
        <v>6</v>
      </c>
      <c r="C103" s="11" t="s">
        <v>1107</v>
      </c>
      <c r="D103" s="12">
        <v>46272.875</v>
      </c>
      <c r="E103" s="12">
        <v>46273.25</v>
      </c>
      <c r="F103" s="11" t="s">
        <v>1108</v>
      </c>
    </row>
    <row r="104" spans="1:6" ht="75">
      <c r="A104" s="10" t="s">
        <v>330</v>
      </c>
      <c r="B104" s="10" t="s">
        <v>6</v>
      </c>
      <c r="C104" s="11" t="s">
        <v>1109</v>
      </c>
      <c r="D104" s="12">
        <v>46272.875</v>
      </c>
      <c r="E104" s="12">
        <v>46273.25</v>
      </c>
      <c r="F104" s="11" t="s">
        <v>1110</v>
      </c>
    </row>
    <row r="105" spans="1:6" ht="75">
      <c r="A105" s="10" t="s">
        <v>330</v>
      </c>
      <c r="B105" s="10" t="s">
        <v>2</v>
      </c>
      <c r="C105" s="11" t="s">
        <v>1111</v>
      </c>
      <c r="D105" s="12">
        <v>46272.875</v>
      </c>
      <c r="E105" s="12">
        <v>46273.25</v>
      </c>
      <c r="F105" s="11" t="s">
        <v>1112</v>
      </c>
    </row>
    <row r="106" spans="1:6" ht="75">
      <c r="A106" s="10" t="s">
        <v>330</v>
      </c>
      <c r="B106" s="10" t="s">
        <v>2</v>
      </c>
      <c r="C106" s="11" t="s">
        <v>1115</v>
      </c>
      <c r="D106" s="12">
        <v>46272.875</v>
      </c>
      <c r="E106" s="12">
        <v>46273.25</v>
      </c>
      <c r="F106" s="11" t="s">
        <v>1116</v>
      </c>
    </row>
    <row r="107" spans="1:6" ht="75">
      <c r="A107" s="10" t="s">
        <v>487</v>
      </c>
      <c r="B107" s="10" t="s">
        <v>23</v>
      </c>
      <c r="C107" s="11" t="s">
        <v>1171</v>
      </c>
      <c r="D107" s="12">
        <v>46272.833333333299</v>
      </c>
      <c r="E107" s="12">
        <v>46273.25</v>
      </c>
      <c r="F107" s="11" t="s">
        <v>1172</v>
      </c>
    </row>
    <row r="108" spans="1:6" ht="75">
      <c r="A108" s="10" t="s">
        <v>473</v>
      </c>
      <c r="B108" s="10" t="s">
        <v>23</v>
      </c>
      <c r="C108" s="11" t="s">
        <v>474</v>
      </c>
      <c r="D108" s="12">
        <v>46272.833333333299</v>
      </c>
      <c r="E108" s="12">
        <v>46273.25</v>
      </c>
      <c r="F108" s="11" t="s">
        <v>475</v>
      </c>
    </row>
    <row r="109" spans="1:6" ht="90">
      <c r="A109" s="10" t="s">
        <v>102</v>
      </c>
      <c r="B109" s="10" t="s">
        <v>23</v>
      </c>
      <c r="C109" s="11" t="s">
        <v>997</v>
      </c>
      <c r="D109" s="12">
        <v>46272.833333333299</v>
      </c>
      <c r="E109" s="12">
        <v>46273.25</v>
      </c>
      <c r="F109" s="11" t="s">
        <v>104</v>
      </c>
    </row>
    <row r="110" spans="1:6" ht="45">
      <c r="A110" s="10" t="s">
        <v>102</v>
      </c>
      <c r="B110" s="10" t="s">
        <v>4</v>
      </c>
      <c r="C110" s="11" t="s">
        <v>456</v>
      </c>
      <c r="D110" s="12">
        <v>46272.8125</v>
      </c>
      <c r="E110" s="12">
        <v>46273.25</v>
      </c>
      <c r="F110" s="11" t="s">
        <v>457</v>
      </c>
    </row>
    <row r="111" spans="1:6" ht="75">
      <c r="A111" s="10" t="s">
        <v>102</v>
      </c>
      <c r="B111" s="10" t="s">
        <v>5</v>
      </c>
      <c r="C111" s="11" t="s">
        <v>458</v>
      </c>
      <c r="D111" s="12">
        <v>46272.8125</v>
      </c>
      <c r="E111" s="12">
        <v>46273.25</v>
      </c>
      <c r="F111" s="11" t="s">
        <v>459</v>
      </c>
    </row>
    <row r="112" spans="1:6" ht="75">
      <c r="A112" s="10" t="s">
        <v>102</v>
      </c>
      <c r="B112" s="10" t="s">
        <v>5</v>
      </c>
      <c r="C112" s="11" t="s">
        <v>462</v>
      </c>
      <c r="D112" s="12">
        <v>46272.875</v>
      </c>
      <c r="E112" s="12">
        <v>46273.25</v>
      </c>
      <c r="F112" s="11" t="s">
        <v>463</v>
      </c>
    </row>
    <row r="113" spans="1:6" ht="75">
      <c r="A113" s="10" t="s">
        <v>102</v>
      </c>
      <c r="B113" s="10" t="s">
        <v>4</v>
      </c>
      <c r="C113" s="11" t="s">
        <v>464</v>
      </c>
      <c r="D113" s="12">
        <v>46272.833333333299</v>
      </c>
      <c r="E113" s="12">
        <v>46273.25</v>
      </c>
      <c r="F113" s="11" t="s">
        <v>465</v>
      </c>
    </row>
    <row r="114" spans="1:6" ht="75">
      <c r="A114" s="10" t="s">
        <v>102</v>
      </c>
      <c r="B114" s="10" t="s">
        <v>5</v>
      </c>
      <c r="C114" s="11" t="s">
        <v>1161</v>
      </c>
      <c r="D114" s="12">
        <v>46272.833333333299</v>
      </c>
      <c r="E114" s="12">
        <v>46273.25</v>
      </c>
      <c r="F114" s="11" t="s">
        <v>1162</v>
      </c>
    </row>
    <row r="115" spans="1:6" ht="75">
      <c r="A115" s="10" t="s">
        <v>102</v>
      </c>
      <c r="B115" s="10" t="s">
        <v>5</v>
      </c>
      <c r="C115" s="11" t="s">
        <v>466</v>
      </c>
      <c r="D115" s="12">
        <v>46272.875</v>
      </c>
      <c r="E115" s="12">
        <v>46273.25</v>
      </c>
      <c r="F115" s="11" t="s">
        <v>467</v>
      </c>
    </row>
    <row r="116" spans="1:6" ht="90">
      <c r="A116" s="10" t="s">
        <v>102</v>
      </c>
      <c r="B116" s="10" t="s">
        <v>6</v>
      </c>
      <c r="C116" s="11" t="s">
        <v>495</v>
      </c>
      <c r="D116" s="12">
        <v>46202.875</v>
      </c>
      <c r="E116" s="12">
        <v>46508.208333333299</v>
      </c>
      <c r="F116" s="11" t="s">
        <v>496</v>
      </c>
    </row>
    <row r="117" spans="1:6" ht="90">
      <c r="A117" s="10" t="s">
        <v>102</v>
      </c>
      <c r="B117" s="10" t="s">
        <v>2</v>
      </c>
      <c r="C117" s="11" t="s">
        <v>497</v>
      </c>
      <c r="D117" s="12">
        <v>46266.333333333299</v>
      </c>
      <c r="E117" s="12">
        <v>46477</v>
      </c>
      <c r="F117" s="11" t="s">
        <v>496</v>
      </c>
    </row>
    <row r="118" spans="1:6" ht="90">
      <c r="A118" s="10" t="s">
        <v>341</v>
      </c>
      <c r="B118" s="10" t="s">
        <v>2</v>
      </c>
      <c r="C118" s="11" t="s">
        <v>1117</v>
      </c>
      <c r="D118" s="12">
        <v>46272.875</v>
      </c>
      <c r="E118" s="12">
        <v>46273.25</v>
      </c>
      <c r="F118" s="11" t="s">
        <v>1118</v>
      </c>
    </row>
    <row r="119" spans="1:6" ht="90">
      <c r="A119" s="10" t="s">
        <v>490</v>
      </c>
      <c r="B119" s="10" t="s">
        <v>2</v>
      </c>
      <c r="C119" s="11" t="s">
        <v>491</v>
      </c>
      <c r="D119" s="12">
        <v>46272.875</v>
      </c>
      <c r="E119" s="12">
        <v>46273.25</v>
      </c>
      <c r="F119" s="11" t="s">
        <v>492</v>
      </c>
    </row>
    <row r="120" spans="1:6" ht="90">
      <c r="A120" s="10" t="s">
        <v>490</v>
      </c>
      <c r="B120" s="10" t="s">
        <v>6</v>
      </c>
      <c r="C120" s="11" t="s">
        <v>493</v>
      </c>
      <c r="D120" s="12">
        <v>46272.875</v>
      </c>
      <c r="E120" s="12">
        <v>46273.25</v>
      </c>
      <c r="F120" s="11" t="s">
        <v>494</v>
      </c>
    </row>
    <row r="121" spans="1:6" ht="90">
      <c r="A121" s="10" t="s">
        <v>121</v>
      </c>
      <c r="B121" s="10" t="s">
        <v>2</v>
      </c>
      <c r="C121" s="11" t="s">
        <v>122</v>
      </c>
      <c r="D121" s="12">
        <v>46272.833333333299</v>
      </c>
      <c r="E121" s="12">
        <v>46273.25</v>
      </c>
      <c r="F121" s="11" t="s">
        <v>120</v>
      </c>
    </row>
    <row r="122" spans="1:6" ht="60">
      <c r="A122" s="10" t="s">
        <v>68</v>
      </c>
      <c r="B122" s="10" t="s">
        <v>4</v>
      </c>
      <c r="C122" s="11" t="s">
        <v>983</v>
      </c>
      <c r="D122" s="12">
        <v>46272.833333333299</v>
      </c>
      <c r="E122" s="12">
        <v>46273.25</v>
      </c>
      <c r="F122" s="11" t="s">
        <v>77</v>
      </c>
    </row>
    <row r="123" spans="1:6" ht="60">
      <c r="A123" s="10" t="s">
        <v>516</v>
      </c>
      <c r="B123" s="10" t="s">
        <v>2</v>
      </c>
      <c r="C123" s="11" t="s">
        <v>992</v>
      </c>
      <c r="D123" s="12">
        <v>46272.541666666701</v>
      </c>
      <c r="E123" s="12">
        <v>46273.25</v>
      </c>
      <c r="F123" s="11" t="s">
        <v>993</v>
      </c>
    </row>
    <row r="124" spans="1:6" ht="60">
      <c r="A124" s="10" t="s">
        <v>516</v>
      </c>
      <c r="B124" s="10" t="s">
        <v>6</v>
      </c>
      <c r="C124" s="11" t="s">
        <v>994</v>
      </c>
      <c r="D124" s="12">
        <v>46272.541666666701</v>
      </c>
      <c r="E124" s="12">
        <v>46273.25</v>
      </c>
      <c r="F124" s="11" t="s">
        <v>993</v>
      </c>
    </row>
    <row r="125" spans="1:6" ht="60">
      <c r="A125" s="10" t="s">
        <v>516</v>
      </c>
      <c r="B125" s="10" t="s">
        <v>23</v>
      </c>
      <c r="C125" s="11" t="s">
        <v>995</v>
      </c>
      <c r="D125" s="12">
        <v>46272.833333333299</v>
      </c>
      <c r="E125" s="12">
        <v>46273.25</v>
      </c>
      <c r="F125" s="11" t="s">
        <v>993</v>
      </c>
    </row>
    <row r="126" spans="1:6" ht="45">
      <c r="A126" s="10" t="s">
        <v>516</v>
      </c>
      <c r="B126" s="10" t="s">
        <v>2</v>
      </c>
      <c r="C126" s="11" t="s">
        <v>517</v>
      </c>
      <c r="D126" s="12">
        <v>46217.625</v>
      </c>
      <c r="E126" s="12">
        <v>46387.875</v>
      </c>
      <c r="F126" s="11" t="s">
        <v>518</v>
      </c>
    </row>
    <row r="127" spans="1:6" ht="60">
      <c r="A127" s="10" t="s">
        <v>519</v>
      </c>
      <c r="B127" s="10" t="s">
        <v>23</v>
      </c>
      <c r="C127" s="11" t="s">
        <v>990</v>
      </c>
      <c r="D127" s="12">
        <v>46272.833333333299</v>
      </c>
      <c r="E127" s="12">
        <v>46273.25</v>
      </c>
      <c r="F127" s="11" t="s">
        <v>991</v>
      </c>
    </row>
    <row r="128" spans="1:6" ht="60">
      <c r="A128" s="10" t="s">
        <v>20</v>
      </c>
      <c r="B128" s="10" t="s">
        <v>4</v>
      </c>
      <c r="C128" s="11" t="s">
        <v>21</v>
      </c>
      <c r="D128" s="12">
        <v>46272.833333333299</v>
      </c>
      <c r="E128" s="12">
        <v>46273.25</v>
      </c>
      <c r="F128" s="11" t="s">
        <v>22</v>
      </c>
    </row>
    <row r="129" spans="1:6" ht="60">
      <c r="A129" s="10" t="s">
        <v>20</v>
      </c>
      <c r="B129" s="10" t="s">
        <v>23</v>
      </c>
      <c r="C129" s="11" t="s">
        <v>24</v>
      </c>
      <c r="D129" s="12">
        <v>46272.833333333299</v>
      </c>
      <c r="E129" s="12">
        <v>46273.25</v>
      </c>
      <c r="F129" s="11" t="s">
        <v>22</v>
      </c>
    </row>
    <row r="130" spans="1:6" ht="60">
      <c r="A130" s="10" t="s">
        <v>20</v>
      </c>
      <c r="B130" s="10" t="s">
        <v>4</v>
      </c>
      <c r="C130" s="11" t="s">
        <v>25</v>
      </c>
      <c r="D130" s="12">
        <v>46272.833333333299</v>
      </c>
      <c r="E130" s="12">
        <v>46273.25</v>
      </c>
      <c r="F130" s="11" t="s">
        <v>22</v>
      </c>
    </row>
    <row r="131" spans="1:6" ht="60">
      <c r="A131" s="10" t="s">
        <v>20</v>
      </c>
      <c r="B131" s="10" t="s">
        <v>5</v>
      </c>
      <c r="C131" s="11" t="s">
        <v>971</v>
      </c>
      <c r="D131" s="12">
        <v>46272.833333333299</v>
      </c>
      <c r="E131" s="12">
        <v>46273.25</v>
      </c>
      <c r="F131" s="11" t="s">
        <v>672</v>
      </c>
    </row>
    <row r="132" spans="1:6" ht="60">
      <c r="A132" s="10" t="s">
        <v>20</v>
      </c>
      <c r="B132" s="10" t="s">
        <v>5</v>
      </c>
      <c r="C132" s="11" t="s">
        <v>972</v>
      </c>
      <c r="D132" s="12">
        <v>46272.833333333299</v>
      </c>
      <c r="E132" s="12">
        <v>46273.25</v>
      </c>
      <c r="F132" s="11" t="s">
        <v>672</v>
      </c>
    </row>
    <row r="133" spans="1:6" ht="60">
      <c r="A133" s="10" t="s">
        <v>20</v>
      </c>
      <c r="B133" s="10" t="s">
        <v>5</v>
      </c>
      <c r="C133" s="11" t="s">
        <v>973</v>
      </c>
      <c r="D133" s="12">
        <v>46272.833333333299</v>
      </c>
      <c r="E133" s="12">
        <v>46273.25</v>
      </c>
      <c r="F133" s="11" t="s">
        <v>672</v>
      </c>
    </row>
    <row r="134" spans="1:6" ht="60">
      <c r="A134" s="10" t="s">
        <v>20</v>
      </c>
      <c r="B134" s="10" t="s">
        <v>4</v>
      </c>
      <c r="C134" s="11" t="s">
        <v>974</v>
      </c>
      <c r="D134" s="12">
        <v>46272.833333333299</v>
      </c>
      <c r="E134" s="12">
        <v>46273.25</v>
      </c>
      <c r="F134" s="11" t="s">
        <v>672</v>
      </c>
    </row>
    <row r="135" spans="1:6" ht="45">
      <c r="A135" s="10" t="s">
        <v>71</v>
      </c>
      <c r="B135" s="10" t="s">
        <v>6</v>
      </c>
      <c r="C135" s="11" t="s">
        <v>549</v>
      </c>
      <c r="D135" s="12">
        <v>46272.833333333299</v>
      </c>
      <c r="E135" s="12">
        <v>46273.25</v>
      </c>
      <c r="F135" s="11" t="s">
        <v>73</v>
      </c>
    </row>
    <row r="136" spans="1:6" ht="45">
      <c r="A136" s="10" t="s">
        <v>71</v>
      </c>
      <c r="B136" s="10" t="s">
        <v>23</v>
      </c>
      <c r="C136" s="11" t="s">
        <v>996</v>
      </c>
      <c r="D136" s="12">
        <v>46272.833333333299</v>
      </c>
      <c r="E136" s="12">
        <v>46273.25</v>
      </c>
      <c r="F136" s="11" t="s">
        <v>558</v>
      </c>
    </row>
    <row r="137" spans="1:6" ht="45">
      <c r="A137" s="10" t="s">
        <v>71</v>
      </c>
      <c r="B137" s="10" t="s">
        <v>2</v>
      </c>
      <c r="C137" s="11" t="s">
        <v>1179</v>
      </c>
      <c r="D137" s="12">
        <v>46272.875</v>
      </c>
      <c r="E137" s="12">
        <v>46273.25</v>
      </c>
      <c r="F137" s="11" t="s">
        <v>1180</v>
      </c>
    </row>
    <row r="138" spans="1:6" ht="45">
      <c r="A138" s="10" t="s">
        <v>533</v>
      </c>
      <c r="B138" s="10" t="s">
        <v>4</v>
      </c>
      <c r="C138" s="11" t="s">
        <v>1173</v>
      </c>
      <c r="D138" s="12">
        <v>46272.833333333299</v>
      </c>
      <c r="E138" s="12">
        <v>46273.25</v>
      </c>
      <c r="F138" s="11" t="s">
        <v>1174</v>
      </c>
    </row>
    <row r="139" spans="1:6" ht="75">
      <c r="A139" s="10" t="s">
        <v>533</v>
      </c>
      <c r="B139" s="10" t="s">
        <v>5</v>
      </c>
      <c r="C139" s="11" t="s">
        <v>1175</v>
      </c>
      <c r="D139" s="12">
        <v>46272.833333333299</v>
      </c>
      <c r="E139" s="12">
        <v>46273.25</v>
      </c>
      <c r="F139" s="11" t="s">
        <v>1174</v>
      </c>
    </row>
    <row r="140" spans="1:6" ht="75">
      <c r="A140" s="10" t="s">
        <v>533</v>
      </c>
      <c r="B140" s="10" t="s">
        <v>5</v>
      </c>
      <c r="C140" s="11" t="s">
        <v>1176</v>
      </c>
      <c r="D140" s="12">
        <v>46272.833333333299</v>
      </c>
      <c r="E140" s="12">
        <v>46273.25</v>
      </c>
      <c r="F140" s="11" t="s">
        <v>1174</v>
      </c>
    </row>
    <row r="141" spans="1:6" ht="75">
      <c r="A141" s="10" t="s">
        <v>533</v>
      </c>
      <c r="B141" s="10" t="s">
        <v>4</v>
      </c>
      <c r="C141" s="11" t="s">
        <v>534</v>
      </c>
      <c r="D141" s="12">
        <v>46272.833333333299</v>
      </c>
      <c r="E141" s="12">
        <v>46273.208333333299</v>
      </c>
      <c r="F141" s="11" t="s">
        <v>535</v>
      </c>
    </row>
    <row r="142" spans="1:6" ht="75">
      <c r="A142" s="10" t="s">
        <v>533</v>
      </c>
      <c r="B142" s="10" t="s">
        <v>4</v>
      </c>
      <c r="C142" s="11" t="s">
        <v>1302</v>
      </c>
      <c r="D142" s="12">
        <v>46272.833333333299</v>
      </c>
      <c r="E142" s="12">
        <v>46273.208333333299</v>
      </c>
      <c r="F142" s="11" t="s">
        <v>535</v>
      </c>
    </row>
    <row r="143" spans="1:6" ht="75">
      <c r="A143" s="10" t="s">
        <v>533</v>
      </c>
      <c r="B143" s="10" t="s">
        <v>4</v>
      </c>
      <c r="C143" s="11" t="s">
        <v>1191</v>
      </c>
      <c r="D143" s="12">
        <v>46272.833333333299</v>
      </c>
      <c r="E143" s="12">
        <v>46273.208333333299</v>
      </c>
      <c r="F143" s="11" t="s">
        <v>1192</v>
      </c>
    </row>
    <row r="144" spans="1:6" ht="45">
      <c r="A144" s="10" t="s">
        <v>509</v>
      </c>
      <c r="B144" s="10" t="s">
        <v>23</v>
      </c>
      <c r="C144" s="11" t="s">
        <v>510</v>
      </c>
      <c r="D144" s="12">
        <v>46230.833333333299</v>
      </c>
      <c r="E144" s="12">
        <v>46403.25</v>
      </c>
      <c r="F144" s="11" t="s">
        <v>511</v>
      </c>
    </row>
    <row r="145" spans="1:6" ht="45">
      <c r="A145" s="10" t="s">
        <v>509</v>
      </c>
      <c r="B145" s="10" t="s">
        <v>2</v>
      </c>
      <c r="C145" s="11" t="s">
        <v>1181</v>
      </c>
      <c r="D145" s="12">
        <v>46272.833333333299</v>
      </c>
      <c r="E145" s="12">
        <v>46273.25</v>
      </c>
      <c r="F145" s="11" t="s">
        <v>1182</v>
      </c>
    </row>
    <row r="146" spans="1:6" ht="45">
      <c r="A146" s="10" t="s">
        <v>509</v>
      </c>
      <c r="B146" s="10" t="s">
        <v>2</v>
      </c>
      <c r="C146" s="11" t="s">
        <v>1183</v>
      </c>
      <c r="D146" s="12">
        <v>46272.833333333299</v>
      </c>
      <c r="E146" s="12">
        <v>46273.25</v>
      </c>
      <c r="F146" s="11" t="s">
        <v>1182</v>
      </c>
    </row>
    <row r="147" spans="1:6" ht="45">
      <c r="A147" s="10" t="s">
        <v>561</v>
      </c>
      <c r="B147" s="10" t="s">
        <v>4</v>
      </c>
      <c r="C147" s="11" t="s">
        <v>1023</v>
      </c>
      <c r="D147" s="12">
        <v>46272.916666666701</v>
      </c>
      <c r="E147" s="12">
        <v>46273.25</v>
      </c>
      <c r="F147" s="11" t="s">
        <v>1024</v>
      </c>
    </row>
    <row r="148" spans="1:6" ht="45">
      <c r="A148" s="10" t="s">
        <v>177</v>
      </c>
      <c r="B148" s="10" t="s">
        <v>6</v>
      </c>
      <c r="C148" s="11" t="s">
        <v>178</v>
      </c>
      <c r="D148" s="12">
        <v>46237.833333333299</v>
      </c>
      <c r="E148" s="12">
        <v>46326.25</v>
      </c>
      <c r="F148" s="11" t="s">
        <v>179</v>
      </c>
    </row>
    <row r="149" spans="1:6" ht="45">
      <c r="A149" s="10" t="s">
        <v>177</v>
      </c>
      <c r="B149" s="10" t="s">
        <v>2</v>
      </c>
      <c r="C149" s="11" t="s">
        <v>180</v>
      </c>
      <c r="D149" s="12">
        <v>46237.833333333299</v>
      </c>
      <c r="E149" s="12">
        <v>46326.25</v>
      </c>
      <c r="F149" s="11" t="s">
        <v>179</v>
      </c>
    </row>
    <row r="150" spans="1:6" ht="45">
      <c r="A150" s="10" t="s">
        <v>170</v>
      </c>
      <c r="B150" s="10" t="s">
        <v>5</v>
      </c>
      <c r="C150" s="11" t="s">
        <v>171</v>
      </c>
      <c r="D150" s="12">
        <v>46272.833333333299</v>
      </c>
      <c r="E150" s="12">
        <v>46273.25</v>
      </c>
      <c r="F150" s="11" t="s">
        <v>172</v>
      </c>
    </row>
    <row r="151" spans="1:6" ht="45">
      <c r="A151" s="10" t="s">
        <v>202</v>
      </c>
      <c r="B151" s="10" t="s">
        <v>5</v>
      </c>
      <c r="C151" s="11" t="s">
        <v>203</v>
      </c>
      <c r="D151" s="12">
        <v>46272.833333333299</v>
      </c>
      <c r="E151" s="12">
        <v>46273.25</v>
      </c>
      <c r="F151" s="11" t="s">
        <v>204</v>
      </c>
    </row>
    <row r="152" spans="1:6" ht="45">
      <c r="A152" s="10" t="s">
        <v>202</v>
      </c>
      <c r="B152" s="10" t="s">
        <v>5</v>
      </c>
      <c r="C152" s="11" t="s">
        <v>205</v>
      </c>
      <c r="D152" s="12">
        <v>46272.833333333299</v>
      </c>
      <c r="E152" s="12">
        <v>46273.25</v>
      </c>
      <c r="F152" s="11" t="s">
        <v>204</v>
      </c>
    </row>
    <row r="153" spans="1:6" ht="60">
      <c r="A153" s="10" t="s">
        <v>202</v>
      </c>
      <c r="B153" s="10" t="s">
        <v>5</v>
      </c>
      <c r="C153" s="11" t="s">
        <v>206</v>
      </c>
      <c r="D153" s="12">
        <v>46272.833333333299</v>
      </c>
      <c r="E153" s="12">
        <v>46273.25</v>
      </c>
      <c r="F153" s="11" t="s">
        <v>204</v>
      </c>
    </row>
    <row r="154" spans="1:6" ht="45">
      <c r="A154" s="10" t="s">
        <v>202</v>
      </c>
      <c r="B154" s="10" t="s">
        <v>5</v>
      </c>
      <c r="C154" s="11" t="s">
        <v>207</v>
      </c>
      <c r="D154" s="12">
        <v>46272.833333333299</v>
      </c>
      <c r="E154" s="12">
        <v>46273.25</v>
      </c>
      <c r="F154" s="11" t="s">
        <v>204</v>
      </c>
    </row>
    <row r="155" spans="1:6" ht="45">
      <c r="A155" s="10" t="s">
        <v>202</v>
      </c>
      <c r="B155" s="10" t="s">
        <v>5</v>
      </c>
      <c r="C155" s="11" t="s">
        <v>208</v>
      </c>
      <c r="D155" s="12">
        <v>46272.833333333299</v>
      </c>
      <c r="E155" s="12">
        <v>46273.25</v>
      </c>
      <c r="F155" s="11" t="s">
        <v>204</v>
      </c>
    </row>
    <row r="156" spans="1:6" ht="45">
      <c r="A156" s="10" t="s">
        <v>1073</v>
      </c>
      <c r="B156" s="10" t="s">
        <v>6</v>
      </c>
      <c r="C156" s="11" t="s">
        <v>1074</v>
      </c>
      <c r="D156" s="12">
        <v>46272.875</v>
      </c>
      <c r="E156" s="12">
        <v>46273.25</v>
      </c>
      <c r="F156" s="11" t="s">
        <v>1075</v>
      </c>
    </row>
    <row r="157" spans="1:6" ht="45">
      <c r="A157" s="10" t="s">
        <v>57</v>
      </c>
      <c r="B157" s="10" t="s">
        <v>2</v>
      </c>
      <c r="C157" s="11" t="s">
        <v>58</v>
      </c>
      <c r="D157" s="12">
        <v>46272.916666666701</v>
      </c>
      <c r="E157" s="12">
        <v>46273.208333333299</v>
      </c>
      <c r="F157" s="11" t="s">
        <v>59</v>
      </c>
    </row>
    <row r="158" spans="1:6" ht="45">
      <c r="A158" s="10" t="s">
        <v>57</v>
      </c>
      <c r="B158" s="10" t="s">
        <v>2</v>
      </c>
      <c r="C158" s="11" t="s">
        <v>63</v>
      </c>
      <c r="D158" s="12">
        <v>46272.875</v>
      </c>
      <c r="E158" s="12">
        <v>46273.208333333299</v>
      </c>
      <c r="F158" s="11" t="s">
        <v>64</v>
      </c>
    </row>
    <row r="159" spans="1:6" ht="45">
      <c r="A159" s="10" t="s">
        <v>57</v>
      </c>
      <c r="B159" s="10" t="s">
        <v>2</v>
      </c>
      <c r="C159" s="11" t="s">
        <v>988</v>
      </c>
      <c r="D159" s="12">
        <v>46272.833333333299</v>
      </c>
      <c r="E159" s="12">
        <v>46273.25</v>
      </c>
      <c r="F159" s="11" t="s">
        <v>692</v>
      </c>
    </row>
    <row r="160" spans="1:6" ht="45">
      <c r="A160" s="10" t="s">
        <v>57</v>
      </c>
      <c r="B160" s="10" t="s">
        <v>2</v>
      </c>
      <c r="C160" s="11" t="s">
        <v>989</v>
      </c>
      <c r="D160" s="12">
        <v>46272.833333333299</v>
      </c>
      <c r="E160" s="12">
        <v>46273.25</v>
      </c>
      <c r="F160" s="11" t="s">
        <v>692</v>
      </c>
    </row>
    <row r="161" spans="1:6" ht="45">
      <c r="A161" s="10" t="s">
        <v>57</v>
      </c>
      <c r="B161" s="10" t="s">
        <v>2</v>
      </c>
      <c r="C161" s="11" t="s">
        <v>998</v>
      </c>
      <c r="D161" s="12">
        <v>46272.833333333299</v>
      </c>
      <c r="E161" s="12">
        <v>46273.25</v>
      </c>
      <c r="F161" s="11" t="s">
        <v>999</v>
      </c>
    </row>
    <row r="162" spans="1:6" ht="45">
      <c r="A162" s="10" t="s">
        <v>57</v>
      </c>
      <c r="B162" s="10" t="s">
        <v>6</v>
      </c>
      <c r="C162" s="11" t="s">
        <v>1021</v>
      </c>
      <c r="D162" s="12">
        <v>46272.875</v>
      </c>
      <c r="E162" s="12">
        <v>46273.208333333299</v>
      </c>
      <c r="F162" s="11" t="s">
        <v>1022</v>
      </c>
    </row>
    <row r="163" spans="1:6" ht="45">
      <c r="A163" s="10" t="s">
        <v>57</v>
      </c>
      <c r="B163" s="10" t="s">
        <v>2</v>
      </c>
      <c r="C163" s="11" t="s">
        <v>119</v>
      </c>
      <c r="D163" s="12">
        <v>46272.833333333299</v>
      </c>
      <c r="E163" s="12">
        <v>46273.25</v>
      </c>
      <c r="F163" s="11" t="s">
        <v>120</v>
      </c>
    </row>
    <row r="164" spans="1:6" ht="45">
      <c r="A164" s="10" t="s">
        <v>57</v>
      </c>
      <c r="B164" s="10" t="s">
        <v>2</v>
      </c>
      <c r="C164" s="11" t="s">
        <v>1030</v>
      </c>
      <c r="D164" s="12">
        <v>46272.875</v>
      </c>
      <c r="E164" s="12">
        <v>46273.25</v>
      </c>
      <c r="F164" s="11" t="s">
        <v>1031</v>
      </c>
    </row>
    <row r="165" spans="1:6" ht="45">
      <c r="A165" s="10" t="s">
        <v>57</v>
      </c>
      <c r="B165" s="10" t="s">
        <v>2</v>
      </c>
      <c r="C165" s="11" t="s">
        <v>1032</v>
      </c>
      <c r="D165" s="12">
        <v>46272.875</v>
      </c>
      <c r="E165" s="12">
        <v>46273.25</v>
      </c>
      <c r="F165" s="11" t="s">
        <v>1031</v>
      </c>
    </row>
    <row r="166" spans="1:6" ht="45">
      <c r="A166" s="10" t="s">
        <v>57</v>
      </c>
      <c r="B166" s="10" t="s">
        <v>2</v>
      </c>
      <c r="C166" s="11" t="s">
        <v>1041</v>
      </c>
      <c r="D166" s="12">
        <v>46272.833333333299</v>
      </c>
      <c r="E166" s="12">
        <v>46273.25</v>
      </c>
      <c r="F166" s="11" t="s">
        <v>1042</v>
      </c>
    </row>
    <row r="167" spans="1:6" ht="45">
      <c r="A167" s="10" t="s">
        <v>26</v>
      </c>
      <c r="B167" s="10" t="s">
        <v>2</v>
      </c>
      <c r="C167" s="11" t="s">
        <v>964</v>
      </c>
      <c r="D167" s="12">
        <v>46272.875</v>
      </c>
      <c r="E167" s="12">
        <v>46273.041666666701</v>
      </c>
      <c r="F167" s="11" t="s">
        <v>965</v>
      </c>
    </row>
    <row r="168" spans="1:6" ht="45">
      <c r="A168" s="10" t="s">
        <v>26</v>
      </c>
      <c r="B168" s="10" t="s">
        <v>6</v>
      </c>
      <c r="C168" s="11" t="s">
        <v>966</v>
      </c>
      <c r="D168" s="12">
        <v>46273.041666666701</v>
      </c>
      <c r="E168" s="12">
        <v>46273.208333333299</v>
      </c>
      <c r="F168" s="11" t="s">
        <v>965</v>
      </c>
    </row>
    <row r="169" spans="1:6" ht="45">
      <c r="A169" s="10" t="s">
        <v>26</v>
      </c>
      <c r="B169" s="10" t="s">
        <v>6</v>
      </c>
      <c r="C169" s="11" t="s">
        <v>975</v>
      </c>
      <c r="D169" s="12">
        <v>46272.875</v>
      </c>
      <c r="E169" s="12">
        <v>46273.208333333299</v>
      </c>
      <c r="F169" s="11" t="s">
        <v>976</v>
      </c>
    </row>
    <row r="170" spans="1:6" ht="45">
      <c r="A170" s="10" t="s">
        <v>26</v>
      </c>
      <c r="B170" s="10" t="s">
        <v>2</v>
      </c>
      <c r="C170" s="11" t="s">
        <v>977</v>
      </c>
      <c r="D170" s="12">
        <v>46272.875</v>
      </c>
      <c r="E170" s="12">
        <v>46273.208333333299</v>
      </c>
      <c r="F170" s="11" t="s">
        <v>978</v>
      </c>
    </row>
    <row r="171" spans="1:6" ht="45">
      <c r="A171" s="10" t="s">
        <v>26</v>
      </c>
      <c r="B171" s="10" t="s">
        <v>2</v>
      </c>
      <c r="C171" s="11" t="s">
        <v>979</v>
      </c>
      <c r="D171" s="12">
        <v>46272.875</v>
      </c>
      <c r="E171" s="12">
        <v>46273.208333333299</v>
      </c>
      <c r="F171" s="11" t="s">
        <v>546</v>
      </c>
    </row>
    <row r="172" spans="1:6" ht="45">
      <c r="A172" s="10" t="s">
        <v>26</v>
      </c>
      <c r="B172" s="10" t="s">
        <v>6</v>
      </c>
      <c r="C172" s="11" t="s">
        <v>980</v>
      </c>
      <c r="D172" s="12">
        <v>46272.875</v>
      </c>
      <c r="E172" s="12">
        <v>46273.208333333299</v>
      </c>
      <c r="F172" s="11" t="s">
        <v>546</v>
      </c>
    </row>
    <row r="173" spans="1:6" ht="45">
      <c r="A173" s="10" t="s">
        <v>26</v>
      </c>
      <c r="B173" s="10" t="s">
        <v>6</v>
      </c>
      <c r="C173" s="11" t="s">
        <v>984</v>
      </c>
      <c r="D173" s="12">
        <v>46272.875</v>
      </c>
      <c r="E173" s="12">
        <v>46273.208333333299</v>
      </c>
      <c r="F173" s="11" t="s">
        <v>985</v>
      </c>
    </row>
    <row r="174" spans="1:6" ht="45">
      <c r="A174" s="10" t="s">
        <v>26</v>
      </c>
      <c r="B174" s="10" t="s">
        <v>2</v>
      </c>
      <c r="C174" s="11" t="s">
        <v>1149</v>
      </c>
      <c r="D174" s="12">
        <v>46272.916666666701</v>
      </c>
      <c r="E174" s="12">
        <v>46273.229166666701</v>
      </c>
      <c r="F174" s="11" t="s">
        <v>1150</v>
      </c>
    </row>
    <row r="175" spans="1:6" ht="45">
      <c r="A175" s="10" t="s">
        <v>145</v>
      </c>
      <c r="B175" s="10" t="s">
        <v>6</v>
      </c>
      <c r="C175" s="11" t="s">
        <v>157</v>
      </c>
      <c r="D175" s="12">
        <v>46272.833333333299</v>
      </c>
      <c r="E175" s="12">
        <v>46273.25</v>
      </c>
      <c r="F175" s="11" t="s">
        <v>155</v>
      </c>
    </row>
    <row r="176" spans="1:6" ht="45">
      <c r="A176" s="10" t="s">
        <v>145</v>
      </c>
      <c r="B176" s="10" t="s">
        <v>6</v>
      </c>
      <c r="C176" s="11" t="s">
        <v>158</v>
      </c>
      <c r="D176" s="12">
        <v>46272.833333333299</v>
      </c>
      <c r="E176" s="12">
        <v>46273.25</v>
      </c>
      <c r="F176" s="11" t="s">
        <v>155</v>
      </c>
    </row>
    <row r="177" spans="1:6" ht="45">
      <c r="A177" s="10" t="s">
        <v>145</v>
      </c>
      <c r="B177" s="10" t="s">
        <v>2</v>
      </c>
      <c r="C177" s="11" t="s">
        <v>1048</v>
      </c>
      <c r="D177" s="12">
        <v>46272.875</v>
      </c>
      <c r="E177" s="12">
        <v>46273.25</v>
      </c>
      <c r="F177" s="11" t="s">
        <v>1049</v>
      </c>
    </row>
    <row r="178" spans="1:6" ht="45">
      <c r="A178" s="10" t="s">
        <v>137</v>
      </c>
      <c r="B178" s="10" t="s">
        <v>5</v>
      </c>
      <c r="C178" s="11" t="s">
        <v>890</v>
      </c>
      <c r="D178" s="12">
        <v>46272.833333333299</v>
      </c>
      <c r="E178" s="12">
        <v>46273.25</v>
      </c>
      <c r="F178" s="11" t="s">
        <v>139</v>
      </c>
    </row>
    <row r="179" spans="1:6" ht="45">
      <c r="A179" s="10" t="s">
        <v>137</v>
      </c>
      <c r="B179" s="10" t="s">
        <v>5</v>
      </c>
      <c r="C179" s="11" t="s">
        <v>893</v>
      </c>
      <c r="D179" s="12">
        <v>46272.833333333299</v>
      </c>
      <c r="E179" s="12">
        <v>46273.25</v>
      </c>
      <c r="F179" s="11" t="s">
        <v>139</v>
      </c>
    </row>
    <row r="180" spans="1:6" ht="45">
      <c r="A180" s="10" t="s">
        <v>137</v>
      </c>
      <c r="B180" s="10" t="s">
        <v>4</v>
      </c>
      <c r="C180" s="11" t="s">
        <v>900</v>
      </c>
      <c r="D180" s="12">
        <v>46272.833333333299</v>
      </c>
      <c r="E180" s="12">
        <v>46273.25</v>
      </c>
      <c r="F180" s="11" t="s">
        <v>901</v>
      </c>
    </row>
    <row r="181" spans="1:6" ht="45">
      <c r="A181" s="10" t="s">
        <v>891</v>
      </c>
      <c r="B181" s="10" t="s">
        <v>6</v>
      </c>
      <c r="C181" s="11" t="s">
        <v>892</v>
      </c>
      <c r="D181" s="12">
        <v>46272.833333333299</v>
      </c>
      <c r="E181" s="12">
        <v>46273.25</v>
      </c>
      <c r="F181" s="11" t="s">
        <v>139</v>
      </c>
    </row>
    <row r="182" spans="1:6" ht="45">
      <c r="A182" s="10" t="s">
        <v>389</v>
      </c>
      <c r="B182" s="10" t="s">
        <v>4</v>
      </c>
      <c r="C182" s="11" t="s">
        <v>390</v>
      </c>
      <c r="D182" s="12">
        <v>46272.833333333299</v>
      </c>
      <c r="E182" s="12">
        <v>46273.25</v>
      </c>
      <c r="F182" s="11" t="s">
        <v>391</v>
      </c>
    </row>
    <row r="183" spans="1:6" ht="45">
      <c r="A183" s="10" t="s">
        <v>389</v>
      </c>
      <c r="B183" s="10" t="s">
        <v>4</v>
      </c>
      <c r="C183" s="11" t="s">
        <v>1129</v>
      </c>
      <c r="D183" s="12">
        <v>46272.833333333299</v>
      </c>
      <c r="E183" s="12">
        <v>46273.25</v>
      </c>
      <c r="F183" s="11" t="s">
        <v>1130</v>
      </c>
    </row>
    <row r="184" spans="1:6" ht="45">
      <c r="A184" s="10" t="s">
        <v>389</v>
      </c>
      <c r="B184" s="10" t="s">
        <v>5</v>
      </c>
      <c r="C184" s="11" t="s">
        <v>1131</v>
      </c>
      <c r="D184" s="12">
        <v>46272.833333333299</v>
      </c>
      <c r="E184" s="12">
        <v>46273.25</v>
      </c>
      <c r="F184" s="11" t="s">
        <v>1130</v>
      </c>
    </row>
    <row r="185" spans="1:6" ht="45">
      <c r="A185" s="10" t="s">
        <v>1136</v>
      </c>
      <c r="B185" s="10" t="s">
        <v>2</v>
      </c>
      <c r="C185" s="11" t="s">
        <v>1137</v>
      </c>
      <c r="D185" s="12">
        <v>46272.875</v>
      </c>
      <c r="E185" s="12">
        <v>46273.25</v>
      </c>
      <c r="F185" s="11" t="s">
        <v>1138</v>
      </c>
    </row>
    <row r="186" spans="1:6" ht="30">
      <c r="A186" s="10" t="s">
        <v>415</v>
      </c>
      <c r="B186" s="10" t="s">
        <v>7</v>
      </c>
      <c r="C186" s="11" t="s">
        <v>1139</v>
      </c>
      <c r="D186" s="12">
        <v>46272.916666666701</v>
      </c>
      <c r="E186" s="12">
        <v>46273.229166666701</v>
      </c>
      <c r="F186" s="11" t="s">
        <v>1140</v>
      </c>
    </row>
    <row r="187" spans="1:6" ht="45">
      <c r="A187" s="10" t="s">
        <v>415</v>
      </c>
      <c r="B187" s="10" t="s">
        <v>7</v>
      </c>
      <c r="C187" s="11" t="s">
        <v>1144</v>
      </c>
      <c r="D187" s="12">
        <v>46272.916666666701</v>
      </c>
      <c r="E187" s="12">
        <v>46273.229166666701</v>
      </c>
      <c r="F187" s="11" t="s">
        <v>1145</v>
      </c>
    </row>
    <row r="188" spans="1:6" ht="45">
      <c r="A188" s="10" t="s">
        <v>415</v>
      </c>
      <c r="B188" s="10" t="s">
        <v>8</v>
      </c>
      <c r="C188" s="11" t="s">
        <v>1148</v>
      </c>
      <c r="D188" s="12">
        <v>46272.916666666701</v>
      </c>
      <c r="E188" s="12">
        <v>46273.229166666701</v>
      </c>
      <c r="F188" s="11" t="s">
        <v>1147</v>
      </c>
    </row>
    <row r="189" spans="1:6" ht="45">
      <c r="A189" s="10" t="s">
        <v>415</v>
      </c>
      <c r="B189" s="10" t="s">
        <v>8</v>
      </c>
      <c r="C189" s="11" t="s">
        <v>1155</v>
      </c>
      <c r="D189" s="12">
        <v>46272.916666666701</v>
      </c>
      <c r="E189" s="12">
        <v>46273.229166666701</v>
      </c>
      <c r="F189" s="11" t="s">
        <v>1156</v>
      </c>
    </row>
    <row r="190" spans="1:6" ht="45">
      <c r="A190" s="10" t="s">
        <v>415</v>
      </c>
      <c r="B190" s="10" t="s">
        <v>7</v>
      </c>
      <c r="C190" s="11" t="s">
        <v>1157</v>
      </c>
      <c r="D190" s="12">
        <v>46272.916666666701</v>
      </c>
      <c r="E190" s="12">
        <v>46273.229166666701</v>
      </c>
      <c r="F190" s="11" t="s">
        <v>1158</v>
      </c>
    </row>
    <row r="191" spans="1:6" ht="30">
      <c r="A191" s="10" t="s">
        <v>333</v>
      </c>
      <c r="B191" s="10" t="s">
        <v>5</v>
      </c>
      <c r="C191" s="11" t="s">
        <v>334</v>
      </c>
      <c r="D191" s="12">
        <v>46272.875</v>
      </c>
      <c r="E191" s="12">
        <v>46273.25</v>
      </c>
      <c r="F191" s="11" t="s">
        <v>335</v>
      </c>
    </row>
    <row r="192" spans="1:6" ht="45">
      <c r="A192" s="10" t="s">
        <v>333</v>
      </c>
      <c r="B192" s="10" t="s">
        <v>2</v>
      </c>
      <c r="C192" s="11" t="s">
        <v>1113</v>
      </c>
      <c r="D192" s="12">
        <v>46272.875</v>
      </c>
      <c r="E192" s="12">
        <v>46273.25</v>
      </c>
      <c r="F192" s="11" t="s">
        <v>1114</v>
      </c>
    </row>
    <row r="193" spans="1:6" ht="45">
      <c r="A193" s="10" t="s">
        <v>333</v>
      </c>
      <c r="B193" s="10" t="s">
        <v>4</v>
      </c>
      <c r="C193" s="11" t="s">
        <v>363</v>
      </c>
      <c r="D193" s="12">
        <v>46272.833333333299</v>
      </c>
      <c r="E193" s="12">
        <v>46273.25</v>
      </c>
      <c r="F193" s="11" t="s">
        <v>364</v>
      </c>
    </row>
    <row r="194" spans="1:6" ht="45">
      <c r="A194" s="10" t="s">
        <v>333</v>
      </c>
      <c r="B194" s="10" t="s">
        <v>5</v>
      </c>
      <c r="C194" s="11" t="s">
        <v>375</v>
      </c>
      <c r="D194" s="12">
        <v>46272.875</v>
      </c>
      <c r="E194" s="12">
        <v>46273.25</v>
      </c>
      <c r="F194" s="11" t="s">
        <v>373</v>
      </c>
    </row>
    <row r="195" spans="1:6" ht="45">
      <c r="A195" s="10" t="s">
        <v>365</v>
      </c>
      <c r="B195" s="10" t="s">
        <v>6</v>
      </c>
      <c r="C195" s="11" t="s">
        <v>366</v>
      </c>
      <c r="D195" s="12">
        <v>46272.833333333299</v>
      </c>
      <c r="E195" s="12">
        <v>46273.25</v>
      </c>
      <c r="F195" s="11" t="s">
        <v>364</v>
      </c>
    </row>
    <row r="196" spans="1:6" ht="45">
      <c r="A196" s="10" t="s">
        <v>327</v>
      </c>
      <c r="B196" s="10" t="s">
        <v>2</v>
      </c>
      <c r="C196" s="11" t="s">
        <v>328</v>
      </c>
      <c r="D196" s="12">
        <v>46237.25</v>
      </c>
      <c r="E196" s="12">
        <v>46692.25</v>
      </c>
      <c r="F196" s="11" t="s">
        <v>329</v>
      </c>
    </row>
    <row r="197" spans="1:6" ht="45">
      <c r="A197" s="10" t="s">
        <v>327</v>
      </c>
      <c r="B197" s="10" t="s">
        <v>6</v>
      </c>
      <c r="C197" s="11" t="s">
        <v>1119</v>
      </c>
      <c r="D197" s="12">
        <v>46272.875</v>
      </c>
      <c r="E197" s="12">
        <v>46272.999305555597</v>
      </c>
      <c r="F197" s="11" t="s">
        <v>1120</v>
      </c>
    </row>
    <row r="198" spans="1:6" ht="45">
      <c r="A198" s="10" t="s">
        <v>327</v>
      </c>
      <c r="B198" s="10" t="s">
        <v>6</v>
      </c>
      <c r="C198" s="11" t="s">
        <v>1121</v>
      </c>
      <c r="D198" s="12">
        <v>46272.875</v>
      </c>
      <c r="E198" s="12">
        <v>46272.999305555597</v>
      </c>
      <c r="F198" s="11" t="s">
        <v>1120</v>
      </c>
    </row>
    <row r="199" spans="1:6" ht="45">
      <c r="A199" s="10" t="s">
        <v>327</v>
      </c>
      <c r="B199" s="10" t="s">
        <v>2</v>
      </c>
      <c r="C199" s="11" t="s">
        <v>1122</v>
      </c>
      <c r="D199" s="12">
        <v>46272.999305555597</v>
      </c>
      <c r="E199" s="12">
        <v>46273.25</v>
      </c>
      <c r="F199" s="11" t="s">
        <v>1120</v>
      </c>
    </row>
    <row r="200" spans="1:6" ht="45">
      <c r="A200" s="10" t="s">
        <v>327</v>
      </c>
      <c r="B200" s="10" t="s">
        <v>2</v>
      </c>
      <c r="C200" s="11" t="s">
        <v>1123</v>
      </c>
      <c r="D200" s="12">
        <v>46272.999305555597</v>
      </c>
      <c r="E200" s="12">
        <v>46273.25</v>
      </c>
      <c r="F200" s="11" t="s">
        <v>1120</v>
      </c>
    </row>
    <row r="201" spans="1:6" ht="45">
      <c r="A201" s="10" t="s">
        <v>327</v>
      </c>
      <c r="B201" s="10" t="s">
        <v>4</v>
      </c>
      <c r="C201" s="11" t="s">
        <v>1146</v>
      </c>
      <c r="D201" s="12">
        <v>46272.916666666701</v>
      </c>
      <c r="E201" s="12">
        <v>46273.229166666701</v>
      </c>
      <c r="F201" s="11" t="s">
        <v>1147</v>
      </c>
    </row>
    <row r="202" spans="1:6" ht="45">
      <c r="A202" s="10" t="s">
        <v>354</v>
      </c>
      <c r="B202" s="10" t="s">
        <v>5</v>
      </c>
      <c r="C202" s="11" t="s">
        <v>782</v>
      </c>
      <c r="D202" s="12">
        <v>46272.875</v>
      </c>
      <c r="E202" s="12">
        <v>46273.25</v>
      </c>
      <c r="F202" s="11" t="s">
        <v>783</v>
      </c>
    </row>
    <row r="203" spans="1:6" ht="45">
      <c r="A203" s="10" t="s">
        <v>78</v>
      </c>
      <c r="B203" s="10" t="s">
        <v>2</v>
      </c>
      <c r="C203" s="11" t="s">
        <v>79</v>
      </c>
      <c r="D203" s="12">
        <v>46272.927083333299</v>
      </c>
      <c r="E203" s="12">
        <v>46273.25</v>
      </c>
      <c r="F203" s="11" t="s">
        <v>80</v>
      </c>
    </row>
    <row r="204" spans="1:6" ht="45">
      <c r="A204" s="10" t="s">
        <v>78</v>
      </c>
      <c r="B204" s="10" t="s">
        <v>2</v>
      </c>
      <c r="C204" s="11" t="s">
        <v>81</v>
      </c>
      <c r="D204" s="12">
        <v>46272.927083333299</v>
      </c>
      <c r="E204" s="12">
        <v>46273.25</v>
      </c>
      <c r="F204" s="11" t="s">
        <v>80</v>
      </c>
    </row>
    <row r="205" spans="1:6" ht="45">
      <c r="A205" s="10" t="s">
        <v>78</v>
      </c>
      <c r="B205" s="10" t="s">
        <v>2</v>
      </c>
      <c r="C205" s="11" t="s">
        <v>82</v>
      </c>
      <c r="D205" s="12">
        <v>46272.927083333299</v>
      </c>
      <c r="E205" s="12">
        <v>46273.25</v>
      </c>
      <c r="F205" s="11" t="s">
        <v>80</v>
      </c>
    </row>
    <row r="206" spans="1:6" ht="45">
      <c r="A206" s="10" t="s">
        <v>78</v>
      </c>
      <c r="B206" s="10" t="s">
        <v>6</v>
      </c>
      <c r="C206" s="11" t="s">
        <v>83</v>
      </c>
      <c r="D206" s="12">
        <v>46272.927083333299</v>
      </c>
      <c r="E206" s="12">
        <v>46273.25</v>
      </c>
      <c r="F206" s="11" t="s">
        <v>84</v>
      </c>
    </row>
    <row r="207" spans="1:6" ht="45">
      <c r="A207" s="10" t="s">
        <v>78</v>
      </c>
      <c r="B207" s="10" t="s">
        <v>6</v>
      </c>
      <c r="C207" s="11" t="s">
        <v>85</v>
      </c>
      <c r="D207" s="12">
        <v>46272.927083333299</v>
      </c>
      <c r="E207" s="12">
        <v>46273.25</v>
      </c>
      <c r="F207" s="11" t="s">
        <v>84</v>
      </c>
    </row>
    <row r="208" spans="1:6" ht="45">
      <c r="A208" s="10" t="s">
        <v>78</v>
      </c>
      <c r="B208" s="10" t="s">
        <v>6</v>
      </c>
      <c r="C208" s="11" t="s">
        <v>986</v>
      </c>
      <c r="D208" s="12">
        <v>46272.927083333299</v>
      </c>
      <c r="E208" s="12">
        <v>46273.25</v>
      </c>
      <c r="F208" s="11" t="s">
        <v>987</v>
      </c>
    </row>
    <row r="209" spans="1:6" ht="45">
      <c r="A209" s="10" t="s">
        <v>78</v>
      </c>
      <c r="B209" s="10" t="s">
        <v>2</v>
      </c>
      <c r="C209" s="11" t="s">
        <v>88</v>
      </c>
      <c r="D209" s="12">
        <v>46272.927083333299</v>
      </c>
      <c r="E209" s="12">
        <v>46273.25</v>
      </c>
      <c r="F209" s="11" t="s">
        <v>89</v>
      </c>
    </row>
    <row r="210" spans="1:6" ht="45">
      <c r="A210" s="10" t="s">
        <v>503</v>
      </c>
      <c r="B210" s="10" t="s">
        <v>2</v>
      </c>
      <c r="C210" s="11" t="s">
        <v>788</v>
      </c>
      <c r="D210" s="12">
        <v>46272.875</v>
      </c>
      <c r="E210" s="12">
        <v>46273.208333333299</v>
      </c>
      <c r="F210" s="11" t="s">
        <v>789</v>
      </c>
    </row>
    <row r="211" spans="1:6" ht="45">
      <c r="A211" s="10" t="s">
        <v>503</v>
      </c>
      <c r="B211" s="10" t="s">
        <v>2</v>
      </c>
      <c r="C211" s="11" t="s">
        <v>504</v>
      </c>
      <c r="D211" s="12">
        <v>46272.875</v>
      </c>
      <c r="E211" s="12">
        <v>46273.25</v>
      </c>
      <c r="F211" s="11" t="s">
        <v>502</v>
      </c>
    </row>
    <row r="212" spans="1:6" ht="60">
      <c r="A212" s="10" t="s">
        <v>503</v>
      </c>
      <c r="B212" s="10" t="s">
        <v>2</v>
      </c>
      <c r="C212" s="11" t="s">
        <v>1184</v>
      </c>
      <c r="D212" s="12">
        <v>46272.875</v>
      </c>
      <c r="E212" s="12">
        <v>46273.25</v>
      </c>
      <c r="F212" s="11" t="s">
        <v>1185</v>
      </c>
    </row>
    <row r="213" spans="1:6" ht="60">
      <c r="A213" s="10" t="s">
        <v>503</v>
      </c>
      <c r="B213" s="10" t="s">
        <v>6</v>
      </c>
      <c r="C213" s="11" t="s">
        <v>1186</v>
      </c>
      <c r="D213" s="12">
        <v>46272.875</v>
      </c>
      <c r="E213" s="12">
        <v>46273.25</v>
      </c>
      <c r="F213" s="11" t="s">
        <v>1185</v>
      </c>
    </row>
    <row r="214" spans="1:6" ht="45">
      <c r="A214" s="10" t="s">
        <v>503</v>
      </c>
      <c r="B214" s="10" t="s">
        <v>6</v>
      </c>
      <c r="C214" s="11" t="s">
        <v>1187</v>
      </c>
      <c r="D214" s="12">
        <v>46272.875</v>
      </c>
      <c r="E214" s="12">
        <v>46273.25</v>
      </c>
      <c r="F214" s="11" t="s">
        <v>1188</v>
      </c>
    </row>
    <row r="215" spans="1:6" ht="45">
      <c r="A215" s="10" t="s">
        <v>503</v>
      </c>
      <c r="B215" s="10" t="s">
        <v>2</v>
      </c>
      <c r="C215" s="11" t="s">
        <v>1300</v>
      </c>
      <c r="D215" s="12">
        <v>46272.875</v>
      </c>
      <c r="E215" s="12">
        <v>46273.25</v>
      </c>
      <c r="F215" s="11" t="s">
        <v>1188</v>
      </c>
    </row>
    <row r="216" spans="1:6" ht="45">
      <c r="A216" s="10" t="s">
        <v>470</v>
      </c>
      <c r="B216" s="10" t="s">
        <v>6</v>
      </c>
      <c r="C216" s="11" t="s">
        <v>1165</v>
      </c>
      <c r="D216" s="12">
        <v>46272.875</v>
      </c>
      <c r="E216" s="12">
        <v>46273.25</v>
      </c>
      <c r="F216" s="11" t="s">
        <v>1166</v>
      </c>
    </row>
    <row r="217" spans="1:6" ht="45">
      <c r="A217" s="10" t="s">
        <v>470</v>
      </c>
      <c r="B217" s="10" t="s">
        <v>2</v>
      </c>
      <c r="C217" s="11" t="s">
        <v>1167</v>
      </c>
      <c r="D217" s="12">
        <v>46272.875</v>
      </c>
      <c r="E217" s="12">
        <v>46273.208333333299</v>
      </c>
      <c r="F217" s="11" t="s">
        <v>1168</v>
      </c>
    </row>
    <row r="218" spans="1:6" ht="60">
      <c r="A218" s="10" t="s">
        <v>470</v>
      </c>
      <c r="B218" s="10" t="s">
        <v>2</v>
      </c>
      <c r="C218" s="11" t="s">
        <v>1169</v>
      </c>
      <c r="D218" s="12">
        <v>46272.875</v>
      </c>
      <c r="E218" s="12">
        <v>46273.25</v>
      </c>
      <c r="F218" s="11" t="s">
        <v>1170</v>
      </c>
    </row>
    <row r="219" spans="1:6" ht="45">
      <c r="A219" s="10" t="s">
        <v>470</v>
      </c>
      <c r="B219" s="10" t="s">
        <v>2</v>
      </c>
      <c r="C219" s="11" t="s">
        <v>1177</v>
      </c>
      <c r="D219" s="12">
        <v>46272.875</v>
      </c>
      <c r="E219" s="12">
        <v>46273.25</v>
      </c>
      <c r="F219" s="11" t="s">
        <v>1178</v>
      </c>
    </row>
    <row r="220" spans="1:6" ht="30">
      <c r="A220" s="10" t="s">
        <v>240</v>
      </c>
      <c r="B220" s="10" t="s">
        <v>2</v>
      </c>
      <c r="C220" s="11" t="s">
        <v>1274</v>
      </c>
      <c r="D220" s="12">
        <v>46272.833333333299</v>
      </c>
      <c r="E220" s="12">
        <v>46273.25</v>
      </c>
      <c r="F220" s="11" t="s">
        <v>1289</v>
      </c>
    </row>
    <row r="221" spans="1:6" ht="45">
      <c r="A221" s="10" t="s">
        <v>240</v>
      </c>
      <c r="B221" s="10" t="s">
        <v>2</v>
      </c>
      <c r="C221" s="11" t="s">
        <v>1273</v>
      </c>
      <c r="D221" s="12">
        <v>46272.833333333299</v>
      </c>
      <c r="E221" s="12">
        <v>46273.25</v>
      </c>
      <c r="F221" s="11" t="s">
        <v>1289</v>
      </c>
    </row>
    <row r="222" spans="1:6" ht="45">
      <c r="A222" s="10" t="s">
        <v>240</v>
      </c>
      <c r="B222" s="10" t="s">
        <v>2</v>
      </c>
      <c r="C222" s="11" t="s">
        <v>1278</v>
      </c>
      <c r="D222" s="12">
        <v>46272.833333333299</v>
      </c>
      <c r="E222" s="12">
        <v>46273.25</v>
      </c>
      <c r="F222" s="11" t="s">
        <v>1289</v>
      </c>
    </row>
    <row r="223" spans="1:6" ht="30">
      <c r="A223" s="10" t="s">
        <v>240</v>
      </c>
      <c r="B223" s="10" t="s">
        <v>2</v>
      </c>
      <c r="C223" s="11" t="s">
        <v>1277</v>
      </c>
      <c r="D223" s="12">
        <v>46272.833333333299</v>
      </c>
      <c r="E223" s="12">
        <v>46273.25</v>
      </c>
      <c r="F223" s="11" t="s">
        <v>1289</v>
      </c>
    </row>
    <row r="224" spans="1:6" ht="45">
      <c r="A224" s="10" t="s">
        <v>240</v>
      </c>
      <c r="B224" s="10" t="s">
        <v>2</v>
      </c>
      <c r="C224" s="11" t="s">
        <v>1276</v>
      </c>
      <c r="D224" s="12">
        <v>46272.833333333299</v>
      </c>
      <c r="E224" s="12">
        <v>46273.25</v>
      </c>
      <c r="F224" s="11" t="s">
        <v>1289</v>
      </c>
    </row>
    <row r="225" spans="1:6" ht="45">
      <c r="A225" s="10" t="s">
        <v>240</v>
      </c>
      <c r="B225" s="10" t="s">
        <v>2</v>
      </c>
      <c r="C225" s="11" t="s">
        <v>1275</v>
      </c>
      <c r="D225" s="12">
        <v>46272.833333333299</v>
      </c>
      <c r="E225" s="12">
        <v>46273.25</v>
      </c>
      <c r="F225" s="11" t="s">
        <v>1289</v>
      </c>
    </row>
    <row r="226" spans="1:6" ht="45">
      <c r="A226" s="10" t="s">
        <v>240</v>
      </c>
      <c r="B226" s="10" t="s">
        <v>6</v>
      </c>
      <c r="C226" s="11" t="s">
        <v>241</v>
      </c>
      <c r="D226" s="12">
        <v>46272.833333333299</v>
      </c>
      <c r="E226" s="12">
        <v>46273.25</v>
      </c>
      <c r="F226" s="11" t="s">
        <v>242</v>
      </c>
    </row>
    <row r="227" spans="1:6" ht="30">
      <c r="A227" s="10" t="s">
        <v>240</v>
      </c>
      <c r="B227" s="10" t="s">
        <v>6</v>
      </c>
      <c r="C227" s="11" t="s">
        <v>243</v>
      </c>
      <c r="D227" s="12">
        <v>46272.833333333299</v>
      </c>
      <c r="E227" s="12">
        <v>46273.25</v>
      </c>
      <c r="F227" s="11" t="s">
        <v>242</v>
      </c>
    </row>
    <row r="228" spans="1:6" ht="30">
      <c r="A228" s="10" t="s">
        <v>240</v>
      </c>
      <c r="B228" s="10" t="s">
        <v>6</v>
      </c>
      <c r="C228" s="11" t="s">
        <v>244</v>
      </c>
      <c r="D228" s="12">
        <v>46272.833333333299</v>
      </c>
      <c r="E228" s="12">
        <v>46273.25</v>
      </c>
      <c r="F228" s="11" t="s">
        <v>242</v>
      </c>
    </row>
    <row r="229" spans="1:6" ht="45">
      <c r="A229" s="10" t="s">
        <v>524</v>
      </c>
      <c r="B229" s="10" t="s">
        <v>2</v>
      </c>
      <c r="C229" s="11" t="s">
        <v>1301</v>
      </c>
      <c r="D229" s="12">
        <v>46272.875</v>
      </c>
      <c r="E229" s="12">
        <v>46273.25</v>
      </c>
      <c r="F229" s="11" t="s">
        <v>1189</v>
      </c>
    </row>
    <row r="230" spans="1:6" ht="60">
      <c r="A230" s="10" t="s">
        <v>524</v>
      </c>
      <c r="B230" s="10" t="s">
        <v>5</v>
      </c>
      <c r="C230" s="11" t="s">
        <v>1190</v>
      </c>
      <c r="D230" s="12">
        <v>46272.875</v>
      </c>
      <c r="E230" s="12">
        <v>46273.25</v>
      </c>
      <c r="F230" s="11" t="s">
        <v>1189</v>
      </c>
    </row>
    <row r="231" spans="1:6" ht="60">
      <c r="A231" s="10" t="s">
        <v>1099</v>
      </c>
      <c r="B231" s="10" t="s">
        <v>4</v>
      </c>
      <c r="C231" s="11" t="s">
        <v>1100</v>
      </c>
      <c r="D231" s="12">
        <v>46272.875</v>
      </c>
      <c r="E231" s="12">
        <v>46273.25</v>
      </c>
      <c r="F231" s="11" t="s">
        <v>326</v>
      </c>
    </row>
    <row r="232" spans="1:6" ht="45">
      <c r="A232" s="10" t="s">
        <v>245</v>
      </c>
      <c r="B232" s="10" t="s">
        <v>2</v>
      </c>
      <c r="C232" s="11" t="s">
        <v>250</v>
      </c>
      <c r="D232" s="12">
        <v>46272.833333333299</v>
      </c>
      <c r="E232" s="12">
        <v>46273.25</v>
      </c>
      <c r="F232" s="11" t="s">
        <v>1289</v>
      </c>
    </row>
    <row r="233" spans="1:6" ht="30">
      <c r="A233" s="10" t="s">
        <v>245</v>
      </c>
      <c r="B233" s="10" t="s">
        <v>4</v>
      </c>
      <c r="C233" s="11" t="s">
        <v>256</v>
      </c>
      <c r="D233" s="12">
        <v>46272.875</v>
      </c>
      <c r="E233" s="12">
        <v>46273.25</v>
      </c>
      <c r="F233" s="11" t="s">
        <v>247</v>
      </c>
    </row>
    <row r="234" spans="1:6" ht="45">
      <c r="A234" s="10" t="s">
        <v>245</v>
      </c>
      <c r="B234" s="10" t="s">
        <v>5</v>
      </c>
      <c r="C234" s="11" t="s">
        <v>591</v>
      </c>
      <c r="D234" s="12">
        <v>46272.875</v>
      </c>
      <c r="E234" s="12">
        <v>46273.25</v>
      </c>
      <c r="F234" s="11" t="s">
        <v>247</v>
      </c>
    </row>
    <row r="235" spans="1:6" ht="45">
      <c r="A235" s="10" t="s">
        <v>245</v>
      </c>
      <c r="B235" s="10" t="s">
        <v>5</v>
      </c>
      <c r="C235" s="11" t="s">
        <v>917</v>
      </c>
      <c r="D235" s="12">
        <v>46272.875</v>
      </c>
      <c r="E235" s="12">
        <v>46273.166666666701</v>
      </c>
      <c r="F235" s="11" t="s">
        <v>918</v>
      </c>
    </row>
    <row r="236" spans="1:6" ht="45">
      <c r="A236" s="10" t="s">
        <v>245</v>
      </c>
      <c r="B236" s="10" t="s">
        <v>5</v>
      </c>
      <c r="C236" s="11" t="s">
        <v>919</v>
      </c>
      <c r="D236" s="12">
        <v>46272.875</v>
      </c>
      <c r="E236" s="12">
        <v>46273.166666666701</v>
      </c>
      <c r="F236" s="11" t="s">
        <v>918</v>
      </c>
    </row>
    <row r="237" spans="1:6" ht="45">
      <c r="A237" s="10" t="s">
        <v>245</v>
      </c>
      <c r="B237" s="10" t="s">
        <v>5</v>
      </c>
      <c r="C237" s="11" t="s">
        <v>920</v>
      </c>
      <c r="D237" s="12">
        <v>46272.875</v>
      </c>
      <c r="E237" s="12">
        <v>46273.166666666701</v>
      </c>
      <c r="F237" s="11" t="s">
        <v>918</v>
      </c>
    </row>
    <row r="238" spans="1:6" ht="45">
      <c r="A238" s="10" t="s">
        <v>234</v>
      </c>
      <c r="B238" s="10" t="s">
        <v>6</v>
      </c>
      <c r="C238" s="11" t="s">
        <v>235</v>
      </c>
      <c r="D238" s="12">
        <v>45804.208333333299</v>
      </c>
      <c r="E238" s="12">
        <v>46418.208333333299</v>
      </c>
      <c r="F238" s="11" t="s">
        <v>236</v>
      </c>
    </row>
    <row r="239" spans="1:6" ht="45">
      <c r="A239" s="10" t="s">
        <v>234</v>
      </c>
      <c r="B239" s="10" t="s">
        <v>2</v>
      </c>
      <c r="C239" s="11" t="s">
        <v>280</v>
      </c>
      <c r="D239" s="12">
        <v>46267.833333333299</v>
      </c>
      <c r="E239" s="12">
        <v>46323.25</v>
      </c>
      <c r="F239" s="11" t="s">
        <v>281</v>
      </c>
    </row>
    <row r="240" spans="1:6" ht="45">
      <c r="A240" s="10" t="s">
        <v>234</v>
      </c>
      <c r="B240" s="10" t="s">
        <v>6</v>
      </c>
      <c r="C240" s="11" t="s">
        <v>1090</v>
      </c>
      <c r="D240" s="12">
        <v>46272.875</v>
      </c>
      <c r="E240" s="12">
        <v>46273.25</v>
      </c>
      <c r="F240" s="11" t="s">
        <v>1091</v>
      </c>
    </row>
    <row r="241" spans="1:6" ht="45">
      <c r="A241" s="10" t="s">
        <v>105</v>
      </c>
      <c r="B241" s="10" t="s">
        <v>6</v>
      </c>
      <c r="C241" s="11" t="s">
        <v>106</v>
      </c>
      <c r="D241" s="12">
        <v>46272.833333333299</v>
      </c>
      <c r="E241" s="12">
        <v>46273.25</v>
      </c>
      <c r="F241" s="11" t="s">
        <v>107</v>
      </c>
    </row>
    <row r="242" spans="1:6" ht="45">
      <c r="A242" s="10" t="s">
        <v>105</v>
      </c>
      <c r="B242" s="10" t="s">
        <v>2</v>
      </c>
      <c r="C242" s="11" t="s">
        <v>853</v>
      </c>
      <c r="D242" s="12">
        <v>46272.875</v>
      </c>
      <c r="E242" s="12">
        <v>46273.25</v>
      </c>
      <c r="F242" s="11" t="s">
        <v>1059</v>
      </c>
    </row>
    <row r="243" spans="1:6" ht="30">
      <c r="A243" s="10" t="s">
        <v>105</v>
      </c>
      <c r="B243" s="10" t="s">
        <v>2</v>
      </c>
      <c r="C243" s="11" t="s">
        <v>1060</v>
      </c>
      <c r="D243" s="12">
        <v>46272.875</v>
      </c>
      <c r="E243" s="12">
        <v>46273.25</v>
      </c>
      <c r="F243" s="11" t="s">
        <v>1059</v>
      </c>
    </row>
    <row r="244" spans="1:6" ht="45">
      <c r="A244" s="10" t="s">
        <v>105</v>
      </c>
      <c r="B244" s="10" t="s">
        <v>6</v>
      </c>
      <c r="C244" s="11" t="s">
        <v>268</v>
      </c>
      <c r="D244" s="12">
        <v>46272.875</v>
      </c>
      <c r="E244" s="12">
        <v>46273.208333333299</v>
      </c>
      <c r="F244" s="11" t="s">
        <v>269</v>
      </c>
    </row>
    <row r="245" spans="1:6" ht="75">
      <c r="A245" s="10" t="s">
        <v>105</v>
      </c>
      <c r="B245" s="10" t="s">
        <v>6</v>
      </c>
      <c r="C245" s="11" t="s">
        <v>270</v>
      </c>
      <c r="D245" s="12">
        <v>46272.875</v>
      </c>
      <c r="E245" s="12">
        <v>46273.208333333299</v>
      </c>
      <c r="F245" s="11" t="s">
        <v>269</v>
      </c>
    </row>
    <row r="246" spans="1:6" ht="75">
      <c r="A246" s="10" t="s">
        <v>105</v>
      </c>
      <c r="B246" s="10" t="s">
        <v>6</v>
      </c>
      <c r="C246" s="11" t="s">
        <v>1064</v>
      </c>
      <c r="D246" s="12">
        <v>46272.916666666701</v>
      </c>
      <c r="E246" s="12">
        <v>46273.25</v>
      </c>
      <c r="F246" s="11" t="s">
        <v>1065</v>
      </c>
    </row>
    <row r="247" spans="1:6" ht="45">
      <c r="A247" s="10" t="s">
        <v>105</v>
      </c>
      <c r="B247" s="10" t="s">
        <v>6</v>
      </c>
      <c r="C247" s="11" t="s">
        <v>1088</v>
      </c>
      <c r="D247" s="12">
        <v>46272.875</v>
      </c>
      <c r="E247" s="12">
        <v>46273.208333333299</v>
      </c>
      <c r="F247" s="11" t="s">
        <v>1089</v>
      </c>
    </row>
    <row r="248" spans="1:6" ht="45">
      <c r="A248" s="10" t="s">
        <v>105</v>
      </c>
      <c r="B248" s="10" t="s">
        <v>6</v>
      </c>
      <c r="C248" s="11" t="s">
        <v>1092</v>
      </c>
      <c r="D248" s="12">
        <v>46272.875</v>
      </c>
      <c r="E248" s="12">
        <v>46273.25</v>
      </c>
      <c r="F248" s="11" t="s">
        <v>1093</v>
      </c>
    </row>
    <row r="249" spans="1:6" ht="30">
      <c r="A249" s="10" t="s">
        <v>105</v>
      </c>
      <c r="B249" s="10" t="s">
        <v>6</v>
      </c>
      <c r="C249" s="11" t="s">
        <v>615</v>
      </c>
      <c r="D249" s="12">
        <v>46272.833333333299</v>
      </c>
      <c r="E249" s="12">
        <v>46273.25</v>
      </c>
      <c r="F249" s="11" t="s">
        <v>616</v>
      </c>
    </row>
    <row r="250" spans="1:6" ht="45">
      <c r="A250" s="10" t="s">
        <v>105</v>
      </c>
      <c r="B250" s="10" t="s">
        <v>6</v>
      </c>
      <c r="C250" s="11" t="s">
        <v>617</v>
      </c>
      <c r="D250" s="12">
        <v>46272.833333333299</v>
      </c>
      <c r="E250" s="12">
        <v>46273.25</v>
      </c>
      <c r="F250" s="11" t="s">
        <v>616</v>
      </c>
    </row>
    <row r="251" spans="1:6" ht="45">
      <c r="A251" s="10" t="s">
        <v>105</v>
      </c>
      <c r="B251" s="10" t="s">
        <v>6</v>
      </c>
      <c r="C251" s="11" t="s">
        <v>1101</v>
      </c>
      <c r="D251" s="12">
        <v>46272.875</v>
      </c>
      <c r="E251" s="12">
        <v>46273.25</v>
      </c>
      <c r="F251" s="11" t="s">
        <v>326</v>
      </c>
    </row>
    <row r="252" spans="1:6" ht="45">
      <c r="A252" s="10" t="s">
        <v>105</v>
      </c>
      <c r="B252" s="10" t="s">
        <v>2</v>
      </c>
      <c r="C252" s="11" t="s">
        <v>1102</v>
      </c>
      <c r="D252" s="12">
        <v>46272.916666666701</v>
      </c>
      <c r="E252" s="12">
        <v>46273.25</v>
      </c>
      <c r="F252" s="11" t="s">
        <v>326</v>
      </c>
    </row>
    <row r="253" spans="1:6" ht="30">
      <c r="A253" s="10" t="s">
        <v>105</v>
      </c>
      <c r="B253" s="10" t="s">
        <v>2</v>
      </c>
      <c r="C253" s="11" t="s">
        <v>1103</v>
      </c>
      <c r="D253" s="12">
        <v>46272.916666666701</v>
      </c>
      <c r="E253" s="12">
        <v>46273.25</v>
      </c>
      <c r="F253" s="11" t="s">
        <v>326</v>
      </c>
    </row>
    <row r="254" spans="1:6" ht="45">
      <c r="A254" s="10" t="s">
        <v>105</v>
      </c>
      <c r="B254" s="10" t="s">
        <v>2</v>
      </c>
      <c r="C254" s="11" t="s">
        <v>498</v>
      </c>
      <c r="D254" s="12">
        <v>46272.875</v>
      </c>
      <c r="E254" s="12">
        <v>46273.25</v>
      </c>
      <c r="F254" s="11" t="s">
        <v>499</v>
      </c>
    </row>
    <row r="255" spans="1:6" ht="45">
      <c r="A255" s="10" t="s">
        <v>105</v>
      </c>
      <c r="B255" s="10" t="s">
        <v>6</v>
      </c>
      <c r="C255" s="11" t="s">
        <v>500</v>
      </c>
      <c r="D255" s="12">
        <v>46272.875</v>
      </c>
      <c r="E255" s="12">
        <v>46273.25</v>
      </c>
      <c r="F255" s="11" t="s">
        <v>499</v>
      </c>
    </row>
    <row r="256" spans="1:6" ht="45">
      <c r="A256" s="10" t="s">
        <v>105</v>
      </c>
      <c r="B256" s="10" t="s">
        <v>2</v>
      </c>
      <c r="C256" s="11" t="s">
        <v>657</v>
      </c>
      <c r="D256" s="12">
        <v>46272.875</v>
      </c>
      <c r="E256" s="12">
        <v>46273.25</v>
      </c>
      <c r="F256" s="11" t="s">
        <v>658</v>
      </c>
    </row>
    <row r="257" spans="1:6" ht="75">
      <c r="A257" s="10" t="s">
        <v>105</v>
      </c>
      <c r="B257" s="10" t="s">
        <v>6</v>
      </c>
      <c r="C257" s="11" t="s">
        <v>501</v>
      </c>
      <c r="D257" s="12">
        <v>46272.875</v>
      </c>
      <c r="E257" s="12">
        <v>46273.25</v>
      </c>
      <c r="F257" s="11" t="s">
        <v>502</v>
      </c>
    </row>
    <row r="258" spans="1:6" ht="60">
      <c r="A258" s="10" t="s">
        <v>105</v>
      </c>
      <c r="B258" s="10" t="s">
        <v>6</v>
      </c>
      <c r="C258" s="11" t="s">
        <v>505</v>
      </c>
      <c r="D258" s="12">
        <v>46272.875</v>
      </c>
      <c r="E258" s="12">
        <v>46273.25</v>
      </c>
      <c r="F258" s="11" t="s">
        <v>502</v>
      </c>
    </row>
    <row r="259" spans="1:6" ht="60">
      <c r="A259" s="10" t="s">
        <v>105</v>
      </c>
      <c r="B259" s="10" t="s">
        <v>6</v>
      </c>
      <c r="C259" s="11" t="s">
        <v>506</v>
      </c>
      <c r="D259" s="12">
        <v>46272.875</v>
      </c>
      <c r="E259" s="12">
        <v>46273.25</v>
      </c>
      <c r="F259" s="11" t="s">
        <v>502</v>
      </c>
    </row>
    <row r="260" spans="1:6" ht="90">
      <c r="A260" s="10" t="s">
        <v>271</v>
      </c>
      <c r="B260" s="10" t="s">
        <v>7</v>
      </c>
      <c r="C260" s="11" t="s">
        <v>1057</v>
      </c>
      <c r="D260" s="12">
        <v>46272.875</v>
      </c>
      <c r="E260" s="12">
        <v>46273.25</v>
      </c>
      <c r="F260" s="11" t="s">
        <v>1058</v>
      </c>
    </row>
    <row r="261" spans="1:6" ht="90">
      <c r="A261" s="10" t="s">
        <v>271</v>
      </c>
      <c r="B261" s="10" t="s">
        <v>7</v>
      </c>
      <c r="C261" s="11" t="s">
        <v>1068</v>
      </c>
      <c r="D261" s="12">
        <v>46272.875</v>
      </c>
      <c r="E261" s="12">
        <v>46273.25</v>
      </c>
      <c r="F261" s="11" t="s">
        <v>1069</v>
      </c>
    </row>
    <row r="262" spans="1:6" ht="60">
      <c r="A262" s="10" t="s">
        <v>271</v>
      </c>
      <c r="B262" s="10" t="s">
        <v>7</v>
      </c>
      <c r="C262" s="11" t="s">
        <v>1070</v>
      </c>
      <c r="D262" s="12">
        <v>46272.875</v>
      </c>
      <c r="E262" s="12">
        <v>46273.25</v>
      </c>
      <c r="F262" s="11" t="s">
        <v>1069</v>
      </c>
    </row>
    <row r="263" spans="1:6" ht="90">
      <c r="A263" s="10" t="s">
        <v>271</v>
      </c>
      <c r="B263" s="10" t="s">
        <v>7</v>
      </c>
      <c r="C263" s="11" t="s">
        <v>1071</v>
      </c>
      <c r="D263" s="12">
        <v>46272.875</v>
      </c>
      <c r="E263" s="12">
        <v>46273.208333333299</v>
      </c>
      <c r="F263" s="11" t="s">
        <v>1069</v>
      </c>
    </row>
    <row r="264" spans="1:6" ht="90">
      <c r="A264" s="10" t="s">
        <v>271</v>
      </c>
      <c r="B264" s="10" t="s">
        <v>8</v>
      </c>
      <c r="C264" s="11" t="s">
        <v>1072</v>
      </c>
      <c r="D264" s="12">
        <v>46272.875</v>
      </c>
      <c r="E264" s="12">
        <v>46273.25</v>
      </c>
      <c r="F264" s="11" t="s">
        <v>1069</v>
      </c>
    </row>
    <row r="265" spans="1:6" ht="90">
      <c r="A265" s="10" t="s">
        <v>271</v>
      </c>
      <c r="B265" s="10" t="s">
        <v>7</v>
      </c>
      <c r="C265" s="11" t="s">
        <v>1076</v>
      </c>
      <c r="D265" s="12">
        <v>46272.875</v>
      </c>
      <c r="E265" s="12">
        <v>46273.25</v>
      </c>
      <c r="F265" s="11" t="s">
        <v>1077</v>
      </c>
    </row>
    <row r="266" spans="1:6" ht="90">
      <c r="A266" s="10" t="s">
        <v>271</v>
      </c>
      <c r="B266" s="10" t="s">
        <v>7</v>
      </c>
      <c r="C266" s="11" t="s">
        <v>1078</v>
      </c>
      <c r="D266" s="12">
        <v>46272.875</v>
      </c>
      <c r="E266" s="12">
        <v>46273.25</v>
      </c>
      <c r="F266" s="11" t="s">
        <v>1077</v>
      </c>
    </row>
    <row r="267" spans="1:6" ht="60">
      <c r="A267" s="10" t="s">
        <v>271</v>
      </c>
      <c r="B267" s="10" t="s">
        <v>7</v>
      </c>
      <c r="C267" s="11" t="s">
        <v>1079</v>
      </c>
      <c r="D267" s="12">
        <v>46272.875</v>
      </c>
      <c r="E267" s="12">
        <v>46273.25</v>
      </c>
      <c r="F267" s="11" t="s">
        <v>1077</v>
      </c>
    </row>
    <row r="268" spans="1:6" ht="45">
      <c r="A268" s="10" t="s">
        <v>271</v>
      </c>
      <c r="B268" s="10" t="s">
        <v>7</v>
      </c>
      <c r="C268" s="11" t="s">
        <v>1080</v>
      </c>
      <c r="D268" s="12">
        <v>46272.875</v>
      </c>
      <c r="E268" s="12">
        <v>46273.25</v>
      </c>
      <c r="F268" s="11" t="s">
        <v>1077</v>
      </c>
    </row>
    <row r="269" spans="1:6" ht="60">
      <c r="A269" s="10" t="s">
        <v>271</v>
      </c>
      <c r="B269" s="10" t="s">
        <v>7</v>
      </c>
      <c r="C269" s="11" t="s">
        <v>1081</v>
      </c>
      <c r="D269" s="12">
        <v>46272.875</v>
      </c>
      <c r="E269" s="12">
        <v>46273.25</v>
      </c>
      <c r="F269" s="11" t="s">
        <v>1077</v>
      </c>
    </row>
    <row r="270" spans="1:6" ht="90">
      <c r="A270" s="10" t="s">
        <v>271</v>
      </c>
      <c r="B270" s="10" t="s">
        <v>2</v>
      </c>
      <c r="C270" s="11" t="s">
        <v>1098</v>
      </c>
      <c r="D270" s="12">
        <v>46272.875</v>
      </c>
      <c r="E270" s="12">
        <v>46273.25</v>
      </c>
      <c r="F270" s="11" t="s">
        <v>315</v>
      </c>
    </row>
    <row r="271" spans="1:6" ht="75">
      <c r="A271" s="10" t="s">
        <v>159</v>
      </c>
      <c r="B271" s="10" t="s">
        <v>6</v>
      </c>
      <c r="C271" s="11" t="s">
        <v>160</v>
      </c>
      <c r="D271" s="12">
        <v>46272.833333333299</v>
      </c>
      <c r="E271" s="12">
        <v>46273.25</v>
      </c>
      <c r="F271" s="11" t="s">
        <v>161</v>
      </c>
    </row>
    <row r="272" spans="1:6" ht="45">
      <c r="A272" s="10" t="s">
        <v>159</v>
      </c>
      <c r="B272" s="10" t="s">
        <v>6</v>
      </c>
      <c r="C272" s="11" t="s">
        <v>162</v>
      </c>
      <c r="D272" s="12">
        <v>46272.833333333299</v>
      </c>
      <c r="E272" s="12">
        <v>46273.25</v>
      </c>
      <c r="F272" s="11" t="s">
        <v>161</v>
      </c>
    </row>
    <row r="273" spans="1:6" ht="60">
      <c r="A273" s="10" t="s">
        <v>159</v>
      </c>
      <c r="B273" s="10" t="s">
        <v>6</v>
      </c>
      <c r="C273" s="11" t="s">
        <v>163</v>
      </c>
      <c r="D273" s="12">
        <v>46272.833333333299</v>
      </c>
      <c r="E273" s="12">
        <v>46273.25</v>
      </c>
      <c r="F273" s="11" t="s">
        <v>161</v>
      </c>
    </row>
    <row r="274" spans="1:6" ht="105">
      <c r="A274" s="10" t="s">
        <v>159</v>
      </c>
      <c r="B274" s="10" t="s">
        <v>6</v>
      </c>
      <c r="C274" s="11" t="s">
        <v>164</v>
      </c>
      <c r="D274" s="12">
        <v>46272.833333333299</v>
      </c>
      <c r="E274" s="12">
        <v>46273.25</v>
      </c>
      <c r="F274" s="11" t="s">
        <v>161</v>
      </c>
    </row>
    <row r="275" spans="1:6" ht="90">
      <c r="A275" s="10" t="s">
        <v>159</v>
      </c>
      <c r="B275" s="10" t="s">
        <v>6</v>
      </c>
      <c r="C275" s="11" t="s">
        <v>165</v>
      </c>
      <c r="D275" s="12">
        <v>46272.833333333299</v>
      </c>
      <c r="E275" s="12">
        <v>46273.25</v>
      </c>
      <c r="F275" s="11" t="s">
        <v>161</v>
      </c>
    </row>
    <row r="276" spans="1:6" ht="75">
      <c r="A276" s="10" t="s">
        <v>159</v>
      </c>
      <c r="B276" s="10" t="s">
        <v>6</v>
      </c>
      <c r="C276" s="11" t="s">
        <v>166</v>
      </c>
      <c r="D276" s="12">
        <v>46272.833333333299</v>
      </c>
      <c r="E276" s="12">
        <v>46273.25</v>
      </c>
      <c r="F276" s="11" t="s">
        <v>161</v>
      </c>
    </row>
    <row r="277" spans="1:6" ht="75">
      <c r="A277" s="10" t="s">
        <v>237</v>
      </c>
      <c r="B277" s="10" t="s">
        <v>6</v>
      </c>
      <c r="C277" s="11" t="s">
        <v>1061</v>
      </c>
      <c r="D277" s="12">
        <v>46272.916666666701</v>
      </c>
      <c r="E277" s="12">
        <v>46273.208333333299</v>
      </c>
      <c r="F277" s="11" t="s">
        <v>1062</v>
      </c>
    </row>
    <row r="278" spans="1:6" ht="45">
      <c r="A278" s="10" t="s">
        <v>237</v>
      </c>
      <c r="B278" s="10" t="s">
        <v>6</v>
      </c>
      <c r="C278" s="11" t="s">
        <v>1063</v>
      </c>
      <c r="D278" s="12">
        <v>46272.916666666701</v>
      </c>
      <c r="E278" s="12">
        <v>46273.208333333299</v>
      </c>
      <c r="F278" s="11" t="s">
        <v>1062</v>
      </c>
    </row>
    <row r="279" spans="1:6" ht="45">
      <c r="A279" s="10" t="s">
        <v>237</v>
      </c>
      <c r="B279" s="10" t="s">
        <v>6</v>
      </c>
      <c r="C279" s="11" t="s">
        <v>1066</v>
      </c>
      <c r="D279" s="12">
        <v>46272.916666666701</v>
      </c>
      <c r="E279" s="12">
        <v>46273.25</v>
      </c>
      <c r="F279" s="11" t="s">
        <v>1065</v>
      </c>
    </row>
    <row r="280" spans="1:6" ht="45">
      <c r="A280" s="10" t="s">
        <v>237</v>
      </c>
      <c r="B280" s="10" t="s">
        <v>6</v>
      </c>
      <c r="C280" s="11" t="s">
        <v>1067</v>
      </c>
      <c r="D280" s="12">
        <v>46272.916666666701</v>
      </c>
      <c r="E280" s="12">
        <v>46273.25</v>
      </c>
      <c r="F280" s="11" t="s">
        <v>1065</v>
      </c>
    </row>
    <row r="281" spans="1:6" ht="45">
      <c r="A281" s="10" t="s">
        <v>127</v>
      </c>
      <c r="B281" s="10" t="s">
        <v>4</v>
      </c>
      <c r="C281" s="11" t="s">
        <v>128</v>
      </c>
      <c r="D281" s="12">
        <v>46272.833333333299</v>
      </c>
      <c r="E281" s="12">
        <v>46273.25</v>
      </c>
      <c r="F281" s="11" t="s">
        <v>129</v>
      </c>
    </row>
    <row r="282" spans="1:6" ht="75">
      <c r="A282" s="10" t="s">
        <v>127</v>
      </c>
      <c r="B282" s="10" t="s">
        <v>4</v>
      </c>
      <c r="C282" s="11" t="s">
        <v>130</v>
      </c>
      <c r="D282" s="12">
        <v>46272.833333333299</v>
      </c>
      <c r="E282" s="12">
        <v>46273.25</v>
      </c>
      <c r="F282" s="11" t="s">
        <v>129</v>
      </c>
    </row>
    <row r="283" spans="1:6" ht="90">
      <c r="A283" s="10" t="s">
        <v>127</v>
      </c>
      <c r="B283" s="10" t="s">
        <v>4</v>
      </c>
      <c r="C283" s="11" t="s">
        <v>131</v>
      </c>
      <c r="D283" s="12">
        <v>46272.833333333299</v>
      </c>
      <c r="E283" s="12">
        <v>46273.25</v>
      </c>
      <c r="F283" s="11" t="s">
        <v>129</v>
      </c>
    </row>
    <row r="284" spans="1:6" ht="105">
      <c r="A284" s="10" t="s">
        <v>127</v>
      </c>
      <c r="B284" s="10" t="s">
        <v>4</v>
      </c>
      <c r="C284" s="11" t="s">
        <v>132</v>
      </c>
      <c r="D284" s="12">
        <v>46272.833333333299</v>
      </c>
      <c r="E284" s="12">
        <v>46273.25</v>
      </c>
      <c r="F284" s="11" t="s">
        <v>129</v>
      </c>
    </row>
    <row r="285" spans="1:6" ht="135">
      <c r="A285" s="10" t="s">
        <v>127</v>
      </c>
      <c r="B285" s="10" t="s">
        <v>5</v>
      </c>
      <c r="C285" s="11" t="s">
        <v>133</v>
      </c>
      <c r="D285" s="12">
        <v>46272.916666666701</v>
      </c>
      <c r="E285" s="12">
        <v>46273.25</v>
      </c>
      <c r="F285" s="11" t="s">
        <v>129</v>
      </c>
    </row>
    <row r="286" spans="1:6" ht="45">
      <c r="A286" s="10" t="s">
        <v>127</v>
      </c>
      <c r="B286" s="10" t="s">
        <v>5</v>
      </c>
      <c r="C286" s="11" t="s">
        <v>134</v>
      </c>
      <c r="D286" s="12">
        <v>46272.916666666701</v>
      </c>
      <c r="E286" s="12">
        <v>46273.25</v>
      </c>
      <c r="F286" s="11" t="s">
        <v>129</v>
      </c>
    </row>
    <row r="287" spans="1:6" ht="45">
      <c r="A287" s="10" t="s">
        <v>127</v>
      </c>
      <c r="B287" s="10" t="s">
        <v>5</v>
      </c>
      <c r="C287" s="11" t="s">
        <v>135</v>
      </c>
      <c r="D287" s="12">
        <v>46272.916666666701</v>
      </c>
      <c r="E287" s="12">
        <v>46273.25</v>
      </c>
      <c r="F287" s="11" t="s">
        <v>129</v>
      </c>
    </row>
    <row r="288" spans="1:6" ht="45">
      <c r="A288" s="10" t="s">
        <v>127</v>
      </c>
      <c r="B288" s="10" t="s">
        <v>5</v>
      </c>
      <c r="C288" s="11" t="s">
        <v>136</v>
      </c>
      <c r="D288" s="12">
        <v>46272.916666666701</v>
      </c>
      <c r="E288" s="12">
        <v>46273.25</v>
      </c>
      <c r="F288" s="11" t="s">
        <v>129</v>
      </c>
    </row>
    <row r="289" spans="1:6" ht="45">
      <c r="A289" s="10" t="s">
        <v>127</v>
      </c>
      <c r="B289" s="10" t="s">
        <v>6</v>
      </c>
      <c r="C289" s="11" t="s">
        <v>154</v>
      </c>
      <c r="D289" s="12">
        <v>46272.833333333299</v>
      </c>
      <c r="E289" s="12">
        <v>46273.25</v>
      </c>
      <c r="F289" s="11" t="s">
        <v>155</v>
      </c>
    </row>
    <row r="290" spans="1:6" ht="30">
      <c r="A290" s="10" t="s">
        <v>127</v>
      </c>
      <c r="B290" s="10" t="s">
        <v>6</v>
      </c>
      <c r="C290" s="11" t="s">
        <v>156</v>
      </c>
      <c r="D290" s="12">
        <v>46272.833333333299</v>
      </c>
      <c r="E290" s="12">
        <v>46273.25</v>
      </c>
      <c r="F290" s="11" t="s">
        <v>155</v>
      </c>
    </row>
    <row r="291" spans="1:6" ht="75">
      <c r="A291" s="10" t="s">
        <v>127</v>
      </c>
      <c r="B291" s="10" t="s">
        <v>23</v>
      </c>
      <c r="C291" s="11" t="s">
        <v>574</v>
      </c>
      <c r="D291" s="12">
        <v>46272.833333333299</v>
      </c>
      <c r="E291" s="12">
        <v>46273.25</v>
      </c>
      <c r="F291" s="11" t="s">
        <v>169</v>
      </c>
    </row>
    <row r="292" spans="1:6" ht="75">
      <c r="A292" s="10" t="s">
        <v>127</v>
      </c>
      <c r="B292" s="10" t="s">
        <v>5</v>
      </c>
      <c r="C292" s="11" t="s">
        <v>173</v>
      </c>
      <c r="D292" s="12">
        <v>46272.833333333299</v>
      </c>
      <c r="E292" s="12">
        <v>46273.25</v>
      </c>
      <c r="F292" s="11" t="s">
        <v>174</v>
      </c>
    </row>
    <row r="293" spans="1:6" ht="105">
      <c r="A293" s="10" t="s">
        <v>127</v>
      </c>
      <c r="B293" s="10" t="s">
        <v>5</v>
      </c>
      <c r="C293" s="11" t="s">
        <v>175</v>
      </c>
      <c r="D293" s="12">
        <v>46272.833333333299</v>
      </c>
      <c r="E293" s="12">
        <v>46273.25</v>
      </c>
      <c r="F293" s="11" t="s">
        <v>174</v>
      </c>
    </row>
    <row r="294" spans="1:6" ht="105">
      <c r="A294" s="10" t="s">
        <v>127</v>
      </c>
      <c r="B294" s="10" t="s">
        <v>5</v>
      </c>
      <c r="C294" s="11" t="s">
        <v>176</v>
      </c>
      <c r="D294" s="12">
        <v>46272.833333333299</v>
      </c>
      <c r="E294" s="12">
        <v>46273.25</v>
      </c>
      <c r="F294" s="11" t="s">
        <v>174</v>
      </c>
    </row>
    <row r="295" spans="1:6" ht="90">
      <c r="A295" s="10" t="s">
        <v>127</v>
      </c>
      <c r="B295" s="10" t="s">
        <v>4</v>
      </c>
      <c r="C295" s="11" t="s">
        <v>130</v>
      </c>
      <c r="D295" s="12">
        <v>46272.875</v>
      </c>
      <c r="E295" s="12">
        <v>46273.25</v>
      </c>
      <c r="F295" s="11" t="s">
        <v>187</v>
      </c>
    </row>
    <row r="296" spans="1:6" ht="90">
      <c r="A296" s="10" t="s">
        <v>127</v>
      </c>
      <c r="B296" s="10" t="s">
        <v>4</v>
      </c>
      <c r="C296" s="11" t="s">
        <v>131</v>
      </c>
      <c r="D296" s="12">
        <v>46272.875</v>
      </c>
      <c r="E296" s="12">
        <v>46273.25</v>
      </c>
      <c r="F296" s="11" t="s">
        <v>187</v>
      </c>
    </row>
    <row r="297" spans="1:6" ht="90">
      <c r="A297" s="10" t="s">
        <v>127</v>
      </c>
      <c r="B297" s="10" t="s">
        <v>4</v>
      </c>
      <c r="C297" s="11" t="s">
        <v>132</v>
      </c>
      <c r="D297" s="12">
        <v>46272.875</v>
      </c>
      <c r="E297" s="12">
        <v>46273.25</v>
      </c>
      <c r="F297" s="11" t="s">
        <v>187</v>
      </c>
    </row>
    <row r="298" spans="1:6" ht="75">
      <c r="A298" s="10" t="s">
        <v>127</v>
      </c>
      <c r="B298" s="10" t="s">
        <v>4</v>
      </c>
      <c r="C298" s="11" t="s">
        <v>128</v>
      </c>
      <c r="D298" s="12">
        <v>46272.875</v>
      </c>
      <c r="E298" s="12">
        <v>46273.25</v>
      </c>
      <c r="F298" s="11" t="s">
        <v>187</v>
      </c>
    </row>
    <row r="299" spans="1:6" ht="60">
      <c r="A299" s="10" t="s">
        <v>188</v>
      </c>
      <c r="B299" s="10" t="s">
        <v>7</v>
      </c>
      <c r="C299" s="11" t="s">
        <v>575</v>
      </c>
      <c r="D299" s="12">
        <v>46272.833333333299</v>
      </c>
      <c r="E299" s="12">
        <v>46273.25</v>
      </c>
      <c r="F299" s="11" t="s">
        <v>179</v>
      </c>
    </row>
    <row r="300" spans="1:6" ht="90">
      <c r="A300" s="10" t="s">
        <v>188</v>
      </c>
      <c r="B300" s="10" t="s">
        <v>7</v>
      </c>
      <c r="C300" s="11" t="s">
        <v>1037</v>
      </c>
      <c r="D300" s="12">
        <v>46272.833333333299</v>
      </c>
      <c r="E300" s="12">
        <v>46273.25</v>
      </c>
      <c r="F300" s="11" t="s">
        <v>1038</v>
      </c>
    </row>
    <row r="301" spans="1:6" ht="90">
      <c r="A301" s="10" t="s">
        <v>188</v>
      </c>
      <c r="B301" s="10" t="s">
        <v>7</v>
      </c>
      <c r="C301" s="11" t="s">
        <v>1039</v>
      </c>
      <c r="D301" s="12">
        <v>46272.833333333299</v>
      </c>
      <c r="E301" s="12">
        <v>46273.25</v>
      </c>
      <c r="F301" s="11" t="s">
        <v>1038</v>
      </c>
    </row>
    <row r="302" spans="1:6" ht="60">
      <c r="A302" s="10" t="s">
        <v>188</v>
      </c>
      <c r="B302" s="10" t="s">
        <v>7</v>
      </c>
      <c r="C302" s="11" t="s">
        <v>575</v>
      </c>
      <c r="D302" s="12">
        <v>46272.833333333299</v>
      </c>
      <c r="E302" s="12">
        <v>46273.25</v>
      </c>
      <c r="F302" s="11" t="s">
        <v>1038</v>
      </c>
    </row>
    <row r="303" spans="1:6" ht="75">
      <c r="A303" s="10" t="s">
        <v>188</v>
      </c>
      <c r="B303" s="10" t="s">
        <v>7</v>
      </c>
      <c r="C303" s="11" t="s">
        <v>1040</v>
      </c>
      <c r="D303" s="12">
        <v>46272.833333333299</v>
      </c>
      <c r="E303" s="12">
        <v>46273.25</v>
      </c>
      <c r="F303" s="11" t="s">
        <v>1038</v>
      </c>
    </row>
    <row r="304" spans="1:6" ht="75">
      <c r="A304" s="10" t="s">
        <v>258</v>
      </c>
      <c r="B304" s="10" t="s">
        <v>5</v>
      </c>
      <c r="C304" s="11" t="s">
        <v>259</v>
      </c>
      <c r="D304" s="12">
        <v>46272.875</v>
      </c>
      <c r="E304" s="12">
        <v>46273.25</v>
      </c>
      <c r="F304" s="11" t="s">
        <v>260</v>
      </c>
    </row>
    <row r="305" spans="1:6" ht="75">
      <c r="A305" s="10" t="s">
        <v>258</v>
      </c>
      <c r="B305" s="10" t="s">
        <v>5</v>
      </c>
      <c r="C305" s="11" t="s">
        <v>261</v>
      </c>
      <c r="D305" s="12">
        <v>46272.875</v>
      </c>
      <c r="E305" s="12">
        <v>46273.25</v>
      </c>
      <c r="F305" s="11" t="s">
        <v>260</v>
      </c>
    </row>
    <row r="306" spans="1:6" ht="75">
      <c r="A306" s="10" t="s">
        <v>258</v>
      </c>
      <c r="B306" s="10" t="s">
        <v>5</v>
      </c>
      <c r="C306" s="11" t="s">
        <v>307</v>
      </c>
      <c r="D306" s="12">
        <v>46272.875</v>
      </c>
      <c r="E306" s="12">
        <v>46273.25</v>
      </c>
      <c r="F306" s="11" t="s">
        <v>308</v>
      </c>
    </row>
    <row r="307" spans="1:6" ht="75">
      <c r="A307" s="10" t="s">
        <v>258</v>
      </c>
      <c r="B307" s="10" t="s">
        <v>5</v>
      </c>
      <c r="C307" s="11" t="s">
        <v>309</v>
      </c>
      <c r="D307" s="12">
        <v>46272.875</v>
      </c>
      <c r="E307" s="12">
        <v>46273.25</v>
      </c>
      <c r="F307" s="11" t="s">
        <v>308</v>
      </c>
    </row>
    <row r="308" spans="1:6" ht="75">
      <c r="A308" s="10" t="s">
        <v>258</v>
      </c>
      <c r="B308" s="10" t="s">
        <v>4</v>
      </c>
      <c r="C308" s="11" t="s">
        <v>1082</v>
      </c>
      <c r="D308" s="12">
        <v>46272.875</v>
      </c>
      <c r="E308" s="12">
        <v>46273.25</v>
      </c>
      <c r="F308" s="11" t="s">
        <v>1083</v>
      </c>
    </row>
    <row r="309" spans="1:6" ht="75">
      <c r="A309" s="10" t="s">
        <v>258</v>
      </c>
      <c r="B309" s="10" t="s">
        <v>4</v>
      </c>
      <c r="C309" s="11" t="s">
        <v>1084</v>
      </c>
      <c r="D309" s="12">
        <v>46272.875</v>
      </c>
      <c r="E309" s="12">
        <v>46273.25</v>
      </c>
      <c r="F309" s="11" t="s">
        <v>1083</v>
      </c>
    </row>
    <row r="310" spans="1:6" ht="75">
      <c r="A310" s="10" t="s">
        <v>258</v>
      </c>
      <c r="B310" s="10" t="s">
        <v>4</v>
      </c>
      <c r="C310" s="11" t="s">
        <v>1085</v>
      </c>
      <c r="D310" s="12">
        <v>46272.875</v>
      </c>
      <c r="E310" s="12">
        <v>46273.25</v>
      </c>
      <c r="F310" s="11" t="s">
        <v>1083</v>
      </c>
    </row>
    <row r="311" spans="1:6" ht="60">
      <c r="A311" s="10" t="s">
        <v>258</v>
      </c>
      <c r="B311" s="10" t="s">
        <v>4</v>
      </c>
      <c r="C311" s="11" t="s">
        <v>1086</v>
      </c>
      <c r="D311" s="12">
        <v>46272.875</v>
      </c>
      <c r="E311" s="12">
        <v>46273.25</v>
      </c>
      <c r="F311" s="11" t="s">
        <v>1083</v>
      </c>
    </row>
    <row r="312" spans="1:6" ht="60">
      <c r="A312" s="10" t="s">
        <v>258</v>
      </c>
      <c r="B312" s="10" t="s">
        <v>4</v>
      </c>
      <c r="C312" s="11" t="s">
        <v>1087</v>
      </c>
      <c r="D312" s="12">
        <v>46272.875</v>
      </c>
      <c r="E312" s="12">
        <v>46273.25</v>
      </c>
      <c r="F312" s="11" t="s">
        <v>1083</v>
      </c>
    </row>
    <row r="313" spans="1:6" ht="45">
      <c r="A313" s="10" t="s">
        <v>317</v>
      </c>
      <c r="B313" s="10" t="s">
        <v>6</v>
      </c>
      <c r="C313" s="11" t="s">
        <v>1094</v>
      </c>
      <c r="D313" s="12">
        <v>46272.875</v>
      </c>
      <c r="E313" s="12">
        <v>46273.25</v>
      </c>
      <c r="F313" s="11" t="s">
        <v>315</v>
      </c>
    </row>
    <row r="314" spans="1:6" ht="45">
      <c r="A314" s="10" t="s">
        <v>317</v>
      </c>
      <c r="B314" s="10" t="s">
        <v>6</v>
      </c>
      <c r="C314" s="11" t="s">
        <v>1095</v>
      </c>
      <c r="D314" s="12">
        <v>46272.875</v>
      </c>
      <c r="E314" s="12">
        <v>46273.25</v>
      </c>
      <c r="F314" s="11" t="s">
        <v>315</v>
      </c>
    </row>
    <row r="315" spans="1:6" ht="90">
      <c r="A315" s="10" t="s">
        <v>317</v>
      </c>
      <c r="B315" s="10" t="s">
        <v>6</v>
      </c>
      <c r="C315" s="11" t="s">
        <v>1096</v>
      </c>
      <c r="D315" s="12">
        <v>46272.875</v>
      </c>
      <c r="E315" s="12">
        <v>46273.25</v>
      </c>
      <c r="F315" s="11" t="s">
        <v>315</v>
      </c>
    </row>
    <row r="316" spans="1:6" ht="75">
      <c r="A316" s="10" t="s">
        <v>317</v>
      </c>
      <c r="B316" s="10" t="s">
        <v>6</v>
      </c>
      <c r="C316" s="11" t="s">
        <v>1097</v>
      </c>
      <c r="D316" s="12">
        <v>46272.875</v>
      </c>
      <c r="E316" s="12">
        <v>46273.25</v>
      </c>
      <c r="F316" s="11" t="s">
        <v>315</v>
      </c>
    </row>
    <row r="317" spans="1:6" ht="75">
      <c r="A317" s="10" t="s">
        <v>262</v>
      </c>
      <c r="B317" s="10" t="s">
        <v>4</v>
      </c>
      <c r="C317" s="11" t="s">
        <v>263</v>
      </c>
      <c r="D317" s="12">
        <v>46272.833333333299</v>
      </c>
      <c r="E317" s="12">
        <v>46273.25</v>
      </c>
      <c r="F317" s="11" t="s">
        <v>264</v>
      </c>
    </row>
    <row r="318" spans="1:6" ht="45">
      <c r="A318" s="10" t="s">
        <v>262</v>
      </c>
      <c r="B318" s="10" t="s">
        <v>4</v>
      </c>
      <c r="C318" s="11" t="s">
        <v>265</v>
      </c>
      <c r="D318" s="12">
        <v>46272.833333333299</v>
      </c>
      <c r="E318" s="12">
        <v>46273.25</v>
      </c>
      <c r="F318" s="11" t="s">
        <v>264</v>
      </c>
    </row>
    <row r="319" spans="1:6" ht="45">
      <c r="A319" s="10" t="s">
        <v>262</v>
      </c>
      <c r="B319" s="10" t="s">
        <v>5</v>
      </c>
      <c r="C319" s="11" t="s">
        <v>266</v>
      </c>
      <c r="D319" s="12">
        <v>46272.833333333299</v>
      </c>
      <c r="E319" s="12">
        <v>46273.25</v>
      </c>
      <c r="F319" s="11" t="s">
        <v>264</v>
      </c>
    </row>
    <row r="320" spans="1:6" ht="75">
      <c r="A320" s="10" t="s">
        <v>262</v>
      </c>
      <c r="B320" s="10" t="s">
        <v>5</v>
      </c>
      <c r="C320" s="11" t="s">
        <v>267</v>
      </c>
      <c r="D320" s="12">
        <v>46272.833333333299</v>
      </c>
      <c r="E320" s="12">
        <v>46273.25</v>
      </c>
      <c r="F320" s="11" t="s">
        <v>264</v>
      </c>
    </row>
  </sheetData>
  <autoFilter ref="A2:F5" xr:uid="{18EB8441-7A90-4251-A87C-D38E06DE9BDD}">
    <sortState xmlns:xlrd2="http://schemas.microsoft.com/office/spreadsheetml/2017/richdata2" ref="A3:F320">
      <sortCondition ref="A2:A5"/>
    </sortState>
  </autoFilter>
  <mergeCells count="1">
    <mergeCell ref="A1:F1"/>
  </mergeCells>
  <conditionalFormatting sqref="A3:F320">
    <cfRule type="expression" dxfId="0"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DC6CC2-65D6-4846-BC7E-84A795C52F2A}">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Tuesday</vt:lpstr>
      <vt:lpstr>Wednesday</vt:lpstr>
      <vt:lpstr>Thursday</vt:lpstr>
      <vt:lpstr>Friday</vt:lpstr>
      <vt:lpstr>Saturday</vt:lpstr>
      <vt:lpstr>Sunday</vt:lpstr>
      <vt:lpstr>Monday</vt:lpstr>
      <vt:lpstr>Direction</vt:lpstr>
      <vt:lpstr>Tuesday!Print_Area</vt:lpstr>
      <vt:lpstr>Tuesday!Print_Titles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Luke Williams</cp:lastModifiedBy>
  <cp:lastPrinted>2018-06-22T09:26:57Z</cp:lastPrinted>
  <dcterms:created xsi:type="dcterms:W3CDTF">2018-05-14T11:33:39Z</dcterms:created>
  <dcterms:modified xsi:type="dcterms:W3CDTF">2026-09-01T14:27:07Z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