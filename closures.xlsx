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45" documentId="8_{B9D80B8F-56CE-4EA2-924F-F11B56BF07E9}" xr6:coauthVersionLast="47" xr6:coauthVersionMax="47" xr10:uidLastSave="{506CCB3B-850A-4ECD-B3F2-A15F9D2F90DF}"/>
  <bookViews>
    <workbookView xWindow="28680" yWindow="-120" windowWidth="29040" windowHeight="15720" activeTab="2" xr2:uid="{7542C0CA-4226-42B8-BE97-758C7839391A}"/>
  </bookViews>
  <sheets>
    <sheet name="Front page" sheetId="11" r:id="rId1"/>
    <sheet name="Data Listing" sheetId="4" state="hidden" r:id="rId2"/>
    <sheet name="Wednesday" sheetId="1" r:id="rId3"/>
    <sheet name="Thursday" sheetId="5" r:id="rId4"/>
    <sheet name="Friday" sheetId="6" r:id="rId5"/>
    <sheet name="Saturday" sheetId="7" r:id="rId6"/>
    <sheet name="Sunday" sheetId="12" r:id="rId7"/>
    <sheet name="Monday" sheetId="9" r:id="rId8"/>
    <sheet name="Tuesday" sheetId="10" r:id="rId9"/>
  </sheets>
  <definedNames>
    <definedName name="_xlnm._FilterDatabase" localSheetId="4" hidden="1">Friday!$A$2:$F$178</definedName>
    <definedName name="_xlnm._FilterDatabase" localSheetId="7" hidden="1">Monday!$A$2:$F$87</definedName>
    <definedName name="_xlnm._FilterDatabase" localSheetId="5" hidden="1">Saturday!$A$2:$F$179</definedName>
    <definedName name="_xlnm._FilterDatabase" localSheetId="6" hidden="1">Sunday!$A$2:$F$190</definedName>
    <definedName name="_xlnm._FilterDatabase" localSheetId="3" hidden="1">Thursday!$A$2:$F$191</definedName>
    <definedName name="_xlnm._FilterDatabase" localSheetId="8" hidden="1">Tuesday!$A$2:$F$82</definedName>
    <definedName name="_xlnm._FilterDatabase" localSheetId="2" hidden="1">Wednesday!$A$2:$F$168</definedName>
    <definedName name="Direction">'Data Listing'!$A$1:$A$7</definedName>
    <definedName name="_xlnm.Print_Area" localSheetId="2">Wednesday!$A:$F</definedName>
    <definedName name="_xlnm.Print_Titles" localSheetId="2">Wednesday!$1:$1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<sst xmlns="http://schemas.openxmlformats.org/spreadsheetml/2006/main" count="3029" uniqueCount="807">
  <si>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</si>
  <si>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</si>
  <si>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</si>
  <si>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</si>
  <si>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</si>
  <si>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</si>
  <si>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</si>
  <si>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</si>
  <si>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</si>
  <si>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</si>
  <si>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</si>
  <si>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</si>
  <si>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</si>
  <si>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</si>
  <si>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</si>
  <si>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</si>
  <si>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</si>
  <si>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A12</t>
  </si>
  <si>
    <t>A12 southbound Jct 25 to 23 carriageway closure</t>
  </si>
  <si>
    <t>Overall Scheme Details: A12 both directions
 Jct 19 Boreham to 25 Marks Tey - carriageway closure for carriageway - reconstruction renewal on behalf of National Highways</t>
  </si>
  <si>
    <t>A47</t>
  </si>
  <si>
    <t>A47 eastbound Jct 20 Dogsthorpe to A16 roundabout carriageway closure</t>
  </si>
  <si>
    <t>Overall Scheme Details: A47 eastbound 
Jct 17 to Eye Green Roundabout - Lane closure, carriageway closure and diversion route for carriageway - reconstruction/renewal on behalf of National Highways</t>
  </si>
  <si>
    <t>Both directions</t>
  </si>
  <si>
    <t>A47 both directions A16 roundabout to White Post roundabout carriageway closure</t>
  </si>
  <si>
    <t>A47 eastbound Littlewood roundabout to Welland road roundabout carriageway closure</t>
  </si>
  <si>
    <t>M11</t>
  </si>
  <si>
    <t>M11 northbound Jct 9 to A11/A505 Jct carriageway closure</t>
  </si>
  <si>
    <t>Overall Scheme Details: M11 both directions 
Jct 9 to A11 A505 Jct - carriageway closure for carriageway - reconstruction/renewal on behalf of National Highways</t>
  </si>
  <si>
    <t>A14</t>
  </si>
  <si>
    <t>A14 westbound Jct 62 to Jct 60 carriageway closure</t>
  </si>
  <si>
    <t>Overall Scheme Details: A14 both directions
Jct 56 to Jct 62 - carriageway closure for white lining/road markings on behalf of National Highways</t>
  </si>
  <si>
    <t>A14 eastbound Jct 57 exit slip road closure</t>
  </si>
  <si>
    <t>Overall Scheme Details: A14 both directions
Jct 43 to Jct 62 - exit slip road closure, lane closures and diversion route for drainage on behalf of National Highways</t>
  </si>
  <si>
    <t>A14 eastbound Jct 25 entry slip road closure</t>
  </si>
  <si>
    <t>Overall Scheme Details: A14 both directions 
Jct 22 to Jct 33 - carriageway closure for communications on behalf of National Highways</t>
  </si>
  <si>
    <t>A14 westbound Jct 45 to Jct 44 carriageway closure</t>
  </si>
  <si>
    <t>Overall Scheme Details: A14 westbound 
Jct 45 to Jct 44 - carriageway closure for electrical works on behalf of National Highways</t>
  </si>
  <si>
    <t>A120</t>
  </si>
  <si>
    <t>A120 westbound Stanstead entry slip carriageway closure</t>
  </si>
  <si>
    <t>Overall Scheme Details: A120 westbound
 Dunmow to Stanstead - carriageway closure for carriageway - reconstruction renewal on behalf of National Highways</t>
  </si>
  <si>
    <t>A120 westbound Dunmow entry slip carriageway closure</t>
  </si>
  <si>
    <t>A14 westbound Jct 53 exit slip road closure</t>
  </si>
  <si>
    <t>Overall Scheme Details: A14 westbound 
Jct 53 - carriageway closure for carriageway - reconstruction/renewal on behalf of National Highways</t>
  </si>
  <si>
    <t>A14 westbound Jct 53 entry slip road closure</t>
  </si>
  <si>
    <t>A1</t>
  </si>
  <si>
    <t>A1 southbound Wansford entry slip road closure</t>
  </si>
  <si>
    <t>Overall Scheme Details: A1 southbound
A47 Junction to Stibbington - carriageway closure for drainage on behalf of National Highways</t>
  </si>
  <si>
    <t>A47 westbound Dereham carriageway closure</t>
  </si>
  <si>
    <t>Overall Scheme Details: A47 westbound 
Dereham - carriageway closure and entry slip closure for horticulture (cutting and planting) on behalf of National Highways</t>
  </si>
  <si>
    <t>A14 westbound Dereham entry slip road closure</t>
  </si>
  <si>
    <t>M11 southbound Jct 7 entry slip road closure</t>
  </si>
  <si>
    <t>Overall Scheme Details: M11 both directions
Jct 7 carriageway closure for inspection/survey on behalf of National Highways</t>
  </si>
  <si>
    <t>A1 both directions Black Cat roundabout - North quadrant closure</t>
  </si>
  <si>
    <t>Overall Scheme Details: A1 both directions
Black Cat roundabout - North quadrant closure for bypass construction on behalf of National Highways</t>
  </si>
  <si>
    <t>A414</t>
  </si>
  <si>
    <t>A414 eastbound Breakspear Jct to Park Street roundabout - carriageway closure</t>
  </si>
  <si>
    <t>Overall Scheme Details: A414 both directions
Approaches to Park Street Roundabout - carriageway closure, lane closure, diversion route for S278/bypass works on behalf of Galldris Group</t>
  </si>
  <si>
    <t>M1</t>
  </si>
  <si>
    <t>M1 northbound Jct 6 to Jct 8 carriageway closure</t>
  </si>
  <si>
    <t>Overall Scheme Details: M1/A414 both directions
Jct 6 to Jct 8 - carriageway closures, lane closures and diversion routes due to carriageway - reconstruction/renewal works on behalf of National Highways</t>
  </si>
  <si>
    <t>A1(M)</t>
  </si>
  <si>
    <t>A1(M) northbound Jct 9 exit slip road closure</t>
  </si>
  <si>
    <t>Overall Scheme Details: A1(M) northbound
Jct 8 to Jct 9 - exit slip road closure, hard shoulder closure, lane closure and diversion route due to electrical works on behalf of National Highways</t>
  </si>
  <si>
    <t>M1 northbound Jct 12 Toddington exit slip road closure</t>
  </si>
  <si>
    <t>Overall Scheme Details: M1 both directions
Jct 12 Toddington - entry slip road closures, exit slip road closures, lane closures and diversion routes due to communications works on behalf of National Highways</t>
  </si>
  <si>
    <t>A421</t>
  </si>
  <si>
    <t>A421 eastbound Marsh Leys exit slip road closure</t>
  </si>
  <si>
    <t>Overall Scheme Details: A421 eastbound 
Marsh Leys to Elstow - carriageway closure for carriageway - reconstruction/renewal on behalf of National Highways</t>
  </si>
  <si>
    <t>A5</t>
  </si>
  <si>
    <t>A5 southbound Little Brickhill entry slip road closure</t>
  </si>
  <si>
    <t>Overall Scheme Details: A5 both directions
Little Brickhill to Old Stratford - entry slip road closures, exit slip road closures, lane closures and diversion routes due to horticulture - cutting and planting works on behalf of National Highways</t>
  </si>
  <si>
    <t>A5 northbound Bletcham Way entry slip carriageway closure</t>
  </si>
  <si>
    <t>Overall Scheme Details: A5 both directions 
Old Stratford Roundabout  to Thorn Roundabout - carriageway closure for horticulture cutting and planting on behalf of National Highways</t>
  </si>
  <si>
    <t>M1 southbound  Jct 9 entry slip carriageway closure</t>
  </si>
  <si>
    <t>Overall Scheme Details: M1 southbound
Jct 9 to Jct 8 - carriageway closure for communications on behalf of National Highways</t>
  </si>
  <si>
    <t>M1 northbound Jct 13 entry slip road closure</t>
  </si>
  <si>
    <t>Overall Scheme Details: M1 northbound 
Jct 13 to Jct 14 - carriageway closure for communications on behalf of National Highways</t>
  </si>
  <si>
    <t>A421 westbound from A6 to M1 Jct 13 carriageway closure</t>
  </si>
  <si>
    <t>Overall Scheme Details: A421 both directions
M1 to Black Cat Roundabout - carriageway closure for drainage on behalf of National Highways</t>
  </si>
  <si>
    <t>M40</t>
  </si>
  <si>
    <t>M40 northbound Jct 10 to Jct 11 carriageway closure</t>
  </si>
  <si>
    <t>Overall Scheme Details: M40 northbound
Jct 9 to Jct 11 lane closures, carriageway closure and diversion route for maintenance work
Diversion via National Highways and local authority network</t>
  </si>
  <si>
    <t>M40 northbound Jct 10 entry slip road closure</t>
  </si>
  <si>
    <t>M40 northbound Jct 11 exit slip road closure</t>
  </si>
  <si>
    <t>M40 Southbound Jct 10 to Jct 9 carriageway closure</t>
  </si>
  <si>
    <t xml:space="preserve">Overall Scheme Details: M40 Southbound.
Jct 11 to Jct 9 Lane closures, slip road closures and diversion route for maintenance works.
Diversion via national highways network
</t>
  </si>
  <si>
    <t>M40 Southbound Jct 10 entry slip road closure</t>
  </si>
  <si>
    <t>M40 Southbound Jct 4 to Jct 3 carriageway closure</t>
  </si>
  <si>
    <t>Overall Scheme Details: M40 Southbound Jct 5 to Jct 3, lane closures, carriageway closure, slip road closure and diversion route for maintenance works.
Diversion via National Highways network and local authority roads.</t>
  </si>
  <si>
    <t>M40 Southbound Jct 4 entry slip road closure</t>
  </si>
  <si>
    <t>M40 Southbound Jct 2 to Jct 1a Carriageway closure</t>
  </si>
  <si>
    <t xml:space="preserve">Overall Scheme Details: M40 Southbound.
Jct 3 to Jct 1 Lane closures, slip road closures and diversion route for maintenance works.
Diversion via national highways network
</t>
  </si>
  <si>
    <t>M40 Southbound Jct 2 entry slip road closure</t>
  </si>
  <si>
    <t>M45</t>
  </si>
  <si>
    <t>M45 westbound M1 Jct 17 to Thurlaston carriageway closure</t>
  </si>
  <si>
    <t>Overall Scheme Details: M45 eastbound and westbound Thurlaston to M1 Jct 17
Carriageway, slip road and lane closure due to maintenance works
Diversion via National Highways network and local authority network</t>
  </si>
  <si>
    <t>M1 southbound Jct 25 entry slip road closure</t>
  </si>
  <si>
    <t xml:space="preserve">Overall Scheme Details: M1 northbound and southbound,  Jct 24 to Trowell.
Slip road, lane and lay-by closures due to maintenance works.
Diversion route via National Highways network and local authority network. </t>
  </si>
  <si>
    <t>A14 westbound layby closure</t>
  </si>
  <si>
    <t>Overall Scheme Details: A14 eastbound and westbound Jct 2 to Jct 8.
Carriageway, slip road, layby and lane closures due to maintenance works.
Diversion via National Highways and local authority network.</t>
  </si>
  <si>
    <t>A14 westbound Jct 8 to Jct 3 carriageway closure</t>
  </si>
  <si>
    <t>A14 westbound Jct 8 entry slip road closure</t>
  </si>
  <si>
    <t>A14 westbound Jct 7 exit slip road closure</t>
  </si>
  <si>
    <t>A14 westbound Jct 7 entry slip road closure</t>
  </si>
  <si>
    <t>A14 westbound Jct 6 exit slip road closure</t>
  </si>
  <si>
    <t>A14 westbound Jct 6 entry slip road closure</t>
  </si>
  <si>
    <t>A14 westbound Jct 5 exit and entry slip road closure</t>
  </si>
  <si>
    <t>A38</t>
  </si>
  <si>
    <t>A38 northbound Mickleover to Kingsway carriageway closure</t>
  </si>
  <si>
    <t>Overall Scheme Details: A38 northbound and southbound Kingsway Roundabout to Toyota Island
Carriageway, slip road and lane closure due to maintenance works
Diversion via National Highways network and local authority network</t>
  </si>
  <si>
    <t>M6</t>
  </si>
  <si>
    <t>M6 to M1 southbound link road closure</t>
  </si>
  <si>
    <t>Overall Scheme Details: M6 southbound Jct 1 to M1 Jct 19.
Slip road and lane closures due to maintenance works.
Diversion route via National Highways and local authority network.</t>
  </si>
  <si>
    <t>A1 southbound Balderton to Barrowby carriageway closure</t>
  </si>
  <si>
    <t>Overall Scheme Details: A1 southbound Newark to Barrowby
Carriageway, slip road, layby and lane closure due to maintenance works
Diversion via National Highways network and local authority network</t>
  </si>
  <si>
    <t>A1 southbound Barrowby exit slip road closure</t>
  </si>
  <si>
    <t>A1 southbound Gonerby Moor exit slip road closure</t>
  </si>
  <si>
    <t>A1 southbound Gonerby Moor entry slip road closure</t>
  </si>
  <si>
    <t>A1 southbound Long Bennington entry slip road closure</t>
  </si>
  <si>
    <t>A1 southbound layby closure</t>
  </si>
  <si>
    <t>A1 southbound South Witham 2 way slip road closure</t>
  </si>
  <si>
    <t>Overall Scheme Details: A1 southbound South Witham.
Slip road and lane closures due to maintenance works.
Diversion via National Highways and Local Authority network.</t>
  </si>
  <si>
    <t>A1 southbound South Witham entry slip road closure</t>
  </si>
  <si>
    <t>A1 southbound South Witham exit slip road closure</t>
  </si>
  <si>
    <t>M1 northbound Jct 23a exit slip road closure</t>
  </si>
  <si>
    <t>Overall Scheme Details: M1 northbound and southbound, Jct 24a to Jct 23.
Carriageway, slip road and lane closures for electrical works.
Diversion route via National Highways network and local authority network.</t>
  </si>
  <si>
    <t>A42</t>
  </si>
  <si>
    <t>A42 northbound Jct 14 to Finger Farm roundabout carriageway closure</t>
  </si>
  <si>
    <t>A14 Layby closure eastbound</t>
  </si>
  <si>
    <t xml:space="preserve">Overall Scheme Details: A14 eastbound Jct 1 to Jct 2
Layby closure due to maintenance works
</t>
  </si>
  <si>
    <t>A14 Layby closure westbound</t>
  </si>
  <si>
    <t>Overall Scheme Details: A14 westbound Jct 1 to Catthorpe
Layby closure due to maintenance works</t>
  </si>
  <si>
    <t>M62</t>
  </si>
  <si>
    <t>M62 eastbound Jct 22 to Jct 24 carriageway closure</t>
  </si>
  <si>
    <t>Overall Scheme Details: M62 eastbound and westbound Jct 21 to Jct 24
Carriageway and lane closures for structure works.
Diversion A672 A58 A646 A629 M62</t>
  </si>
  <si>
    <t>M62 eastbound Jct 22 entry slip road closure</t>
  </si>
  <si>
    <t>M62 eastbound Jct 23 exit slip road closure</t>
  </si>
  <si>
    <t>M62 eastbound Jct 24 exit slip road closure</t>
  </si>
  <si>
    <t>M62 westbound Jct 24 to Jct 22 carriageway closure</t>
  </si>
  <si>
    <t>M62 westbound Jct 24 entry slip road closure</t>
  </si>
  <si>
    <t>M62 westbound Jct 23 entry slip road closure</t>
  </si>
  <si>
    <t>M62 westbound Jct 22 exit slip road closure</t>
  </si>
  <si>
    <t>A1m northbound Jct 34 entry slip road closure</t>
  </si>
  <si>
    <t>Overall Scheme Details: A1m northbound Jct 34 to Jct 35
Slip road closure for general cleaning and maintenance
Diversion A614 A1m A57</t>
  </si>
  <si>
    <t>M180</t>
  </si>
  <si>
    <t>M180 eastbound Jct 2 to Jct 3 carriageway closure</t>
  </si>
  <si>
    <t xml:space="preserve">Overall Scheme Details: M180 eastbound and westbound Jct 1 to Jct 3 M18 southbound Jct 5, M181 southbound Frodingham 
Carriageway and lane closures for carriageway improvement works.
Diversion via M180, A15 and A18.
</t>
  </si>
  <si>
    <t>M180 eastbound Jct 2 entry slip road closure</t>
  </si>
  <si>
    <t>M180 eastbound Jct 3 exit slip road closure</t>
  </si>
  <si>
    <t>A616</t>
  </si>
  <si>
    <t>A616 eastbound and westbound Langsett carriageway closure</t>
  </si>
  <si>
    <t>Overall Scheme Details: A616 eastbound and Westbound Flouch to Midhopestones
carriageway closure on behalf of Rapid Response Telecoms
diversion via A616 and local authority</t>
  </si>
  <si>
    <t>M62 westbound Jct 35 to M18 southbound Jct 7, carriageway closure</t>
  </si>
  <si>
    <t>Overall Scheme Details: M62 eastbound and westbound Jct 34 to Jct 36, M18 northbound and southbound Jct 7
Carriageway closure and lane closures for carriageway repairs
Diversion M62 A614 A19 M18</t>
  </si>
  <si>
    <t>M62 eastbound Jct 35 to M18 southbound Jct 7 carriageway closure</t>
  </si>
  <si>
    <t>M18</t>
  </si>
  <si>
    <t>M18 southbound Jct 7 to Jct 6, carriageway closure</t>
  </si>
  <si>
    <t>M18 southbound Jct 6 exit slip road closure</t>
  </si>
  <si>
    <t>M1 northbound Jct 37 exit slip road closure</t>
  </si>
  <si>
    <t>Overall Scheme Details: M1 northbound Jct 35 to Jct 37.
Slip road and land closure for general cleaning and maintenance works.
Diversion via M1</t>
  </si>
  <si>
    <t>M1 northbound Jct 36 entry slip road closure</t>
  </si>
  <si>
    <t>M1 northbound Jct 36 exit slip road closure</t>
  </si>
  <si>
    <t>A64</t>
  </si>
  <si>
    <t>A64 westbound Askham Bryan exit slip road closure</t>
  </si>
  <si>
    <t xml:space="preserve">Overall Scheme Details: A64 westbound Bilbrough to Askham 
Slip road and lane closures for carriageway reconstruction and repair
Diversion via A64
</t>
  </si>
  <si>
    <t>A64 westbound Askham Bryan overbridge to entry and exit slip road closure</t>
  </si>
  <si>
    <t>M606</t>
  </si>
  <si>
    <t>M606 southbound Jct 3 to Jct 26, carraigeway closure</t>
  </si>
  <si>
    <t>Overall Scheme Details: M62 eastbound Jct 25 to Jct 26 M606 northbound and southbound Jct 26 to Jct 3
Carriageway closure and Lane closures for general cleaning and maintenance 
Diversion M62 A650</t>
  </si>
  <si>
    <t>M606 southbound Jct 3 entry slip road closure</t>
  </si>
  <si>
    <t>M606 southbound Jct 2 exit slip road closure</t>
  </si>
  <si>
    <t>M606 southbound Jct 26 to M62 eastbound Jct 26, link road closure</t>
  </si>
  <si>
    <t>M606 southbound Jct 26 exit slip road closure</t>
  </si>
  <si>
    <t>M606 southbound Jct 2 entry slip road closure</t>
  </si>
  <si>
    <t>A162</t>
  </si>
  <si>
    <t>A162 northbound Ferrybridge carriageway closure between exit and entry slip roads</t>
  </si>
  <si>
    <t>Overall Scheme Details: A162 northbound and southbound Ferrybridge M62 eastbound and westbound Jct 33
Carriageway and slip road closures with 24/7 lane closures for structure maintenance works
Diversion A1 A162</t>
  </si>
  <si>
    <t>A63</t>
  </si>
  <si>
    <t>A63 westbound North cave exit slip road closure</t>
  </si>
  <si>
    <t>Overall Scheme Details: A63 westbound Jct 38 .
Slip road and lane closure for electrical works.
Diversion M62 A614</t>
  </si>
  <si>
    <t>M62 westbound Jct 28 entry slip road closure</t>
  </si>
  <si>
    <t>Overall Scheme Details: M62 westbound Jct 29 to Jct 27.
Carriageway closure for carriageway reconstruction and repair works.
Diversion via LA</t>
  </si>
  <si>
    <t>M62 westbound Jct 27 exit slip road closure</t>
  </si>
  <si>
    <t>M62 westbound Jct 28 to Jct 27 carriageway closure</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</si>
  <si>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</si>
  <si>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</si>
  <si>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</si>
  <si>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</si>
  <si>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A63 eastbound Daltry street exit slip road closure</t>
  </si>
  <si>
    <t xml:space="preserve">Overall Scheme Details: A63 eastbound and westbound Brighton street to Daltry street
Carriageway closure and lane closures for barrier repair
Diversion 
</t>
  </si>
  <si>
    <t>A63 eastbound Brighton street to Daltry street, carriageway closure</t>
  </si>
  <si>
    <t>A63 eastbound Brighton street entry slip road closure</t>
  </si>
  <si>
    <t>A180</t>
  </si>
  <si>
    <t>A180 eastbound Great Coates entry slip road closure</t>
  </si>
  <si>
    <t>Overall Scheme Details: A180 eastbound Great Coates to Pyewipe
Slip road and lane closures for electrical works 
Diversion via A180</t>
  </si>
  <si>
    <t>A1M Jct 63 to Jct 61 Southbound Carriageway Closure</t>
  </si>
  <si>
    <t>Overall Scheme Details: A1M Northbound and Southbound Jct 61 to Jct 63
Carriageway Closure for Carriageway Reconstruction Works</t>
  </si>
  <si>
    <t>A1M Entry Slip Road from Washington Services Southbound Carriageway Closure</t>
  </si>
  <si>
    <t>A1M Jct 63 Southbound Entry Slip Road Closure</t>
  </si>
  <si>
    <t>A1M Jct 62 Southbound Exit Slip Road Closure</t>
  </si>
  <si>
    <t>A1M Jct 62 Southbound Entry Slip Road Closure</t>
  </si>
  <si>
    <t>A1M Jct 61 Southbound Exit Slip Road Closure</t>
  </si>
  <si>
    <t>A66</t>
  </si>
  <si>
    <t>A66 Boathouse westbound entry slip road closure</t>
  </si>
  <si>
    <t>Overall Scheme Details: A66 eastbound and westbound Long Newton to Boathouse
Carriageway closures, 40mph speed restriction, lane closures and 24/7 layby closures with diversion route for Renewal of Barrier</t>
  </si>
  <si>
    <t>A66 Yarm Road westbound exit slip road closure</t>
  </si>
  <si>
    <t>A66 Yarm Road westbound entry slip road closure</t>
  </si>
  <si>
    <t>A66 Elton westbound exit slip road closure</t>
  </si>
  <si>
    <t>A66 Boathouse to Elton westbound carriageway closure</t>
  </si>
  <si>
    <t>A19</t>
  </si>
  <si>
    <t>A19 Dudley to Moorfarm Southbound Carriageway Closure</t>
  </si>
  <si>
    <t>Overall Scheme Details: A19 Southbound Dudley to Moorfarm
Carriageway Closure for Electrical Works</t>
  </si>
  <si>
    <t>A1M Jct 52 to Jct 53 northbound carriageway closure</t>
  </si>
  <si>
    <t>Overall Scheme Details: A1M northbound and southbound Jct 52 to Jct 53
Carriageway closure for carriageway patching work</t>
  </si>
  <si>
    <t>A1M Jct 53 northbound exit slip road closure</t>
  </si>
  <si>
    <t>A1M Jct 52 northbound entry slip road closure</t>
  </si>
  <si>
    <t>A1M Jct 50 southbound exit slip road closure</t>
  </si>
  <si>
    <t xml:space="preserve">Overall Scheme Details: A1M southbound Jct 51 to Jct 50
Carriageway closure for carriageway renewal </t>
  </si>
  <si>
    <t>A1M Jct 51 to Jct 50 southbound carriageway closure</t>
  </si>
  <si>
    <t>A1M SB J48 entry slip road closed</t>
  </si>
  <si>
    <t>Overall Scheme Details: A1M southbound junction 48 entry slip road closed for safety fence repairs. Diversion on Local Authority network</t>
  </si>
  <si>
    <t>A19/A1231 Hylton Grange Interchange northbound entry slip road closure</t>
  </si>
  <si>
    <t>Overall Scheme Details: A19/A1231 Hylton Grange Interchange north and southbound slip road closures for electrical works</t>
  </si>
  <si>
    <t>A19/A1231 Hylton Grange Interchange southbound exit slip road closure</t>
  </si>
  <si>
    <t>A19/A174 Parkway southbound exit slip road closure</t>
  </si>
  <si>
    <t>Overall Scheme Details: A174 Parkway Roundabout including north and southbound exit slip road closures for maintenance works</t>
  </si>
  <si>
    <t>A19/A174 Parkway northbound exit slip road closure</t>
  </si>
  <si>
    <t>A174</t>
  </si>
  <si>
    <t>A174 Parkway Roundabout closure</t>
  </si>
  <si>
    <t>A174 eastbound approach closed to Parkway Roundabout</t>
  </si>
  <si>
    <t>A174 westbound exit closed from A174 Parkway Roundabout</t>
  </si>
  <si>
    <t>M57</t>
  </si>
  <si>
    <t>M57 Southbound Jct 1 exit slip road closure</t>
  </si>
  <si>
    <t xml:space="preserve">Overall Scheme Details: M57 southbound J1 exit slip to Tarbuck Island carriageway closure due to works by Knowsley Council </t>
  </si>
  <si>
    <t>M56</t>
  </si>
  <si>
    <t>M56 Westbound to M53 Northbound link road closure</t>
  </si>
  <si>
    <t xml:space="preserve">Overall Scheme Details: M53 both directions J7 to J9 - carriageway closure for carriageway - reconstruction/renewal </t>
  </si>
  <si>
    <t>M53</t>
  </si>
  <si>
    <t>M53 Northbound Jct 10 to 7 Carriageway Closure</t>
  </si>
  <si>
    <t>M53 Northbound Jct 10 entry slip road closure</t>
  </si>
  <si>
    <t>M53 Northbound Jct 9 exit slip road closure</t>
  </si>
  <si>
    <t>M53 Northbound Jct 9 entry slip road closure</t>
  </si>
  <si>
    <t>M53 Northbound Jct 8 exit slip road closure</t>
  </si>
  <si>
    <t>M53 Northbound Jct 8 entry slip road closure</t>
  </si>
  <si>
    <t>M61</t>
  </si>
  <si>
    <t>M61 Northbound Jct 4 exit slip road closure</t>
  </si>
  <si>
    <t>Overall Scheme Details: M61 northbound M61Nb  Jnc 4  to M61Nb Jnc 5 - carriageway closure for carriageway - reconstruction/renewal on behalf of National Highways</t>
  </si>
  <si>
    <t>M53 Southbound Jct 5 exit slip road closure</t>
  </si>
  <si>
    <t>Overall Scheme Details: M53 both directions Jct 4 to Jct 5 - carriageway closure for structure - maintenance on behalf of National Highways</t>
  </si>
  <si>
    <t>M53 Southbound Jct 4 to 5 Carriageway Closure</t>
  </si>
  <si>
    <t>M53 Southbound Jct 4 entry slip road closure</t>
  </si>
  <si>
    <t>M56 Eastbound Jct 16 entry slip road closure</t>
  </si>
  <si>
    <t>Overall Scheme Details: M56 both directions J14 to J16 - carriageway closure for carriageway - reconstruction/renewal on behalf of National Highways</t>
  </si>
  <si>
    <t>M56 Westbound Jct 15 to 16 Carriageway Closure</t>
  </si>
  <si>
    <t>M56 Eastbound Jct 16 to 15 Carriageway Closure</t>
  </si>
  <si>
    <t>M65</t>
  </si>
  <si>
    <t>M65 Westbound Jct 5 entry slip road closure</t>
  </si>
  <si>
    <t>Overall Scheme Details: M65 Eastbound and Westbound Jct 5 due to improvement works on verge for Blackburn with Darwen Borough Council</t>
  </si>
  <si>
    <t>M65 Westbound Jct 5 exit slip road closure</t>
  </si>
  <si>
    <t>M67</t>
  </si>
  <si>
    <t>M67 eastbound jct 3 to 4 carriageway closure</t>
  </si>
  <si>
    <t>Overall Scheme Details: M67 both directions Hyde to Glossop - narrow lanes for construction improvement/upgrade on behalf of National Highways</t>
  </si>
  <si>
    <t>M67 eastbound jct 3 entry slip road closure</t>
  </si>
  <si>
    <t>M67 westbound jct 4 to 3 carriageway closure</t>
  </si>
  <si>
    <t>M67 westbound jct 3 exit slip road closure</t>
  </si>
  <si>
    <t>M6 Southbound Jct 20 entry to M56 links closure</t>
  </si>
  <si>
    <t>Overall Scheme Details: M6 southbound J20 to J20 - carriageway closure for drainage on behalf of National Highways</t>
  </si>
  <si>
    <t>M6 southbound Jct 20 link to M56 Westbound closure</t>
  </si>
  <si>
    <t>M60</t>
  </si>
  <si>
    <t>M60 Anticlockwise Jct 3 exit slip road closure</t>
  </si>
  <si>
    <t>Overall Scheme Details: M60 both directions J2 to J4 - carriageway closure for drainage on behalf of National Highways</t>
  </si>
  <si>
    <t>M60 Clockwise Jct 3 exit slip road closure</t>
  </si>
  <si>
    <t>M65 eastbound jct 8 to 10 carriageway closure</t>
  </si>
  <si>
    <t>Overall Scheme Details: M65 Eastbound and Westbound junction 10 to junction 8 - Carriageway Closure for Horticulture (Cutting and Planting) on behalf of Amey</t>
  </si>
  <si>
    <t>M65 eastbound jct 8 entry slip road closure</t>
  </si>
  <si>
    <t>M65 eastbound jct 9 exit slip road closure</t>
  </si>
  <si>
    <t>M65 eastbound jct 10 exit slip road closure</t>
  </si>
  <si>
    <t>M56 westbound jct 7 carriageway closure between exit and entry slip roads</t>
  </si>
  <si>
    <t>Overall Scheme Details: M56 both directions jct 6 to 7 - lane closure and slip road closures for carriageway - reconstruction/renewal on behalf of National Highways</t>
  </si>
  <si>
    <t>A56</t>
  </si>
  <si>
    <t>A56 Southbound Edenfield exit slip road closure</t>
  </si>
  <si>
    <t>Overall Scheme Details: A56 both directions Bent Gate  to M66  - carriageway closure for barriers - permanent on behalf of National Highways</t>
  </si>
  <si>
    <t>M58</t>
  </si>
  <si>
    <t>M58 westbound jct 1 to Switch Island carriageway closure</t>
  </si>
  <si>
    <t>Overall Scheme Details: M58 westbound M58 to Switch Island - carriageway closure for carriageway - reconstruction/renewal on behalf of National Highways</t>
  </si>
  <si>
    <t>M58 westbound jct 1 entry slip road closure</t>
  </si>
  <si>
    <t>M57 Southbound Switch Island to Jct 6 carriageway closure</t>
  </si>
  <si>
    <t>M57 Southbound Jct 6 exit slip road closure</t>
  </si>
  <si>
    <t>M6 southbound to M62 eastbound link road closure</t>
  </si>
  <si>
    <t>Overall Scheme Details: M6 both directions J20 to J22 - carriageway closure for carriageway - reconstruction/renewal on behalf of National Highways</t>
  </si>
  <si>
    <t>M6 southbound to M62 westbound link road closure</t>
  </si>
  <si>
    <t>M65 Westbound Jct 2 Carriageway Closure between exit and entry slips</t>
  </si>
  <si>
    <t>Overall Scheme Details: M65 both directions Terminal Island Roundabout  to J2  - carriageway closure for barriers - permanent on behalf of National Highways</t>
  </si>
  <si>
    <t>M65 Westbound Carriageway Closure Jct 1 exit and entry slips</t>
  </si>
  <si>
    <t>A663</t>
  </si>
  <si>
    <t>A663 Northbound Middleton Road to A627(M) carriageway closure</t>
  </si>
  <si>
    <t>Overall Scheme Details: A663 both directions A627M J1 to M60 - carriageway closure for white lining/road markings on behalf of National Highways</t>
  </si>
  <si>
    <t>M66</t>
  </si>
  <si>
    <t>M66 Southbound Jct 4 to M60 Clockwise Carriageway Closure</t>
  </si>
  <si>
    <t>Overall Scheme Details: M60 both directions Jct 16  to Jct 19 - carriageway closure for construction improvement/upgrade on behalf of National Highways</t>
  </si>
  <si>
    <t>M60 Clockwise Jct 17 entry slip road closure</t>
  </si>
  <si>
    <t>M60 clockwise jct 17 exit slip road closure</t>
  </si>
  <si>
    <t>M60 Jct 18 ACW to M66 Northbound Carriageway Closure</t>
  </si>
  <si>
    <t>M60 clockwise jct 22 exit slip road closure</t>
  </si>
  <si>
    <t>Overall Scheme Details: M60 clockwise J21 to J22 - carriageway closure for horticulture works on behalf of National Highways</t>
  </si>
  <si>
    <t>M60 Clockwise Jct 22 entry slip road closure</t>
  </si>
  <si>
    <t>M60 Anticlockwise Jct 6 exit slip road closure</t>
  </si>
  <si>
    <t>Overall Scheme Details: M60 anti-clockwise Jct7 to Jct 6 - carriageway closure for inspection/survey on behalf of National Highways</t>
  </si>
  <si>
    <t>M60 Anticlockwise Jct 6 entry slip road closure</t>
  </si>
  <si>
    <t>M3</t>
  </si>
  <si>
    <t>M3 northbound Jct 9 entry slip road closure</t>
  </si>
  <si>
    <t>Overall Scheme Details: M3 and A34 both directions Jct 9.
Narrow lanes and 24/7 lane closure for major improvement work.</t>
  </si>
  <si>
    <t>A34</t>
  </si>
  <si>
    <t>A34 northbound Marcham to Abingdon carriageway closure</t>
  </si>
  <si>
    <t>Overall Scheme Details: A34 northbound Marcham to Abingdon.
Carriageway closure for barrier work.</t>
  </si>
  <si>
    <t>M27</t>
  </si>
  <si>
    <t>M27 westbound Jct 10 exit slip road closure</t>
  </si>
  <si>
    <t xml:space="preserve">Overall Scheme Details: M27 both directions Jct 10
Slip and lane closures for Hampshire County Council </t>
  </si>
  <si>
    <t>A3</t>
  </si>
  <si>
    <t>A3 northbound Hazel Grove exit slip road closure</t>
  </si>
  <si>
    <t>Overall Scheme Details: A3 both directions Hogs Back to Longmoor.
Carriageway closures for resurfacing work.</t>
  </si>
  <si>
    <t>A3 northbound Hazel Grove entry slip road closure</t>
  </si>
  <si>
    <t>A34 northbound Botley entry slip road closure</t>
  </si>
  <si>
    <t>Overall Scheme Details: A34 northbound Botley.
Slip road and lane closures for maintenance work.</t>
  </si>
  <si>
    <t>M27 eastbound Jct 2 entry slip road closure</t>
  </si>
  <si>
    <t>Overall Scheme Details: M27 eastbound Jct 2.
Slip road and lane closure for maintenance work.</t>
  </si>
  <si>
    <t>M27 eastbound Jct 2 exit slip road closure</t>
  </si>
  <si>
    <t>M3 northbound Chilworth link road closure</t>
  </si>
  <si>
    <t>Overall Scheme Details: M3 northbound Chilworth Roundabout to Jct 13.
Carriageway closure for maintenance work.</t>
  </si>
  <si>
    <t>A31</t>
  </si>
  <si>
    <t>A31 north section Roundhouse roundabout closure</t>
  </si>
  <si>
    <t>Overall Scheme Details: A31 both directions Roundhouse
Carriageway and temporary traffic lights for vegetation works</t>
  </si>
  <si>
    <t>A3 both directions Queen Elizabeth Country Park link road closure</t>
  </si>
  <si>
    <t>Overall Scheme Details: A3 both directions QECP.
Slip road and lane closure for drainage work.</t>
  </si>
  <si>
    <t>A303</t>
  </si>
  <si>
    <t>A303 eastbound crematorium to M3 carriageway closure</t>
  </si>
  <si>
    <t>Overall Scheme Details: M3 both directions Jct 7 to Jct 13 
carriageway closure for carriageway - reconstruction/renewal</t>
  </si>
  <si>
    <t>M3 northbound Jct 10 to Jct 7 carriageway closure</t>
  </si>
  <si>
    <t>M27 eastbound Jct 12 exit slip road closure</t>
  </si>
  <si>
    <t>Overall Scheme Details: M27 both directions Portchester to Havant 
M275 southbound Jct 12
slip road and lane closure for surveys</t>
  </si>
  <si>
    <t>M275</t>
  </si>
  <si>
    <t>M275 southbound Dedicated slip from Western Road closed</t>
  </si>
  <si>
    <t>A3 northbound University to Burpham carriageway closure</t>
  </si>
  <si>
    <t>Overall Scheme Details: A3 northbound University to Burpham
Carriageway closure for tree works</t>
  </si>
  <si>
    <t>A404</t>
  </si>
  <si>
    <t>A404 northbound Jct 9b entry slip road closure</t>
  </si>
  <si>
    <t xml:space="preserve">Overall Scheme Details: A404 northbound Jct 9b - slip road and lane closure for signs maintenance </t>
  </si>
  <si>
    <t>A21</t>
  </si>
  <si>
    <t>A21 northbound Morleys road roundabout to A25 carriageway closure</t>
  </si>
  <si>
    <t>Overall Scheme Details: A21 northbound Morleys Jct to A25
carriageway closure for maintenance works</t>
  </si>
  <si>
    <t>A27</t>
  </si>
  <si>
    <t>A27 eastbound Fishbourne roundabout to Portfield roundabout carriageway closure</t>
  </si>
  <si>
    <t>Overall Scheme Details: A27 both directions Fishbourne Roundabout to Bognor Road Roundabout 
carriageway closures for surface works</t>
  </si>
  <si>
    <t>A27 westbound Portfield roundabout to Fishbourne roundabout carriageway closure</t>
  </si>
  <si>
    <t>M20</t>
  </si>
  <si>
    <t>M20 eastbound Jct 12 entry slip road closure</t>
  </si>
  <si>
    <t>Overall Scheme Details: M20 both directions Jct 12 to Jct 13
slip road closures and width restriction for barrier works</t>
  </si>
  <si>
    <t>A2</t>
  </si>
  <si>
    <t>A2 eastbound Coldharbour lane exit slip road closure</t>
  </si>
  <si>
    <t>Overall Scheme Details: A2 eastbound Bridge to Coldharbour lane
Slip road and lane closures for maintenance works..</t>
  </si>
  <si>
    <t>A2 eastbound Coldharbour lane entry slip road closure</t>
  </si>
  <si>
    <t>M2</t>
  </si>
  <si>
    <t>M2 westbound Jct 3 exit slip road closure</t>
  </si>
  <si>
    <t>Overall Scheme Details: M2 westbound Jct 3
Slip and lane closure for maintenance works</t>
  </si>
  <si>
    <t>M2 westbound Jct 3 entry slip road closure</t>
  </si>
  <si>
    <t>A27 eastbound Free Flow link road onto A23 northbound closed</t>
  </si>
  <si>
    <t xml:space="preserve">Overall Scheme Details: A23 both directions Patcham to Pyecombe Dale Hill 
A27 both directions Devils Dyke to Patcham
slip road and lane closures for surveys
</t>
  </si>
  <si>
    <t>A23</t>
  </si>
  <si>
    <t>A23 northbound South Downs Way entry slip road closure</t>
  </si>
  <si>
    <t>A2 westbound Marling Cross entry slip road closure</t>
  </si>
  <si>
    <t>Overall Scheme Details: A2 both directions Wrotham to M2 Jct 2
slip road and lane closure for survey works</t>
  </si>
  <si>
    <t>A2 westbound Boughton entry slip road closure</t>
  </si>
  <si>
    <t xml:space="preserve">Overall Scheme Details: A2 westbound Gate Services to Brenley Corner
slip road, layby and lane closure for electrical works </t>
  </si>
  <si>
    <t>A2 westbound Honeywood Interchange entry slip road closure</t>
  </si>
  <si>
    <t>Overall Scheme Details: A2 westbound Whiltfield to Guston 
slip road and lane closure for horticulture work.</t>
  </si>
  <si>
    <t>A21 northbound Cryals road  to  Pembury carriageway closure</t>
  </si>
  <si>
    <t>Overall Scheme Details: A21 both directions Pembury Bypass to Forstal Farm
carriageway closure for surface works</t>
  </si>
  <si>
    <t>A21 southbound Pembury to Cryals road carriageway closure</t>
  </si>
  <si>
    <t>A23 northbound Hickstead exit slip road closure</t>
  </si>
  <si>
    <t>Overall Scheme Details: A23 northbound Sayers Common to Hickstead 
slip road and lane closure for electrical works.</t>
  </si>
  <si>
    <t>A23 northbound Hickstead entry slip road closure</t>
  </si>
  <si>
    <t>M3 Eastbound Jct 2 to Jct 1 carriageway closure</t>
  </si>
  <si>
    <t>Overall Scheme Details: M3 Eastbound Jct 3 to Jct 1
Carriageway and lane closure for routine maintenance work
Diversion via National Highways and Local Authorities Network</t>
  </si>
  <si>
    <t>M25</t>
  </si>
  <si>
    <t>M25 Clockwise Jct 12 to M3 Eastbound Jct 2 link road closure</t>
  </si>
  <si>
    <t>M25 Anti-clockwise Jct 12 to M3 Eastbound Jct 2 link road closure</t>
  </si>
  <si>
    <t>A282</t>
  </si>
  <si>
    <t>A282 Northbound Dartford Crossing West Tunnel closure</t>
  </si>
  <si>
    <t>Overall Scheme Details: A282 Northbound Dartford Crossing West Tunnel
Tunnel closure for maintenance works
Diversion via National Highways Network</t>
  </si>
  <si>
    <t>A282 Northbound Jct 1A entry slip road closure</t>
  </si>
  <si>
    <t>M20 Westbound Jct 3 to Jct 1 carriageway closure</t>
  </si>
  <si>
    <t>Overall Scheme Details: M20 Westbound Jct 3 to Jct 1
Carriageway and lane closure for joint investigation works
Diversion via National Highways and Local Authorities Network</t>
  </si>
  <si>
    <t>M23</t>
  </si>
  <si>
    <t>M23 Southbound Jct 8 to M25 Clockwise and Anti-clockwise Jct 7 link road closure</t>
  </si>
  <si>
    <t>Overall Scheme Details: M23 Southbound Jct 7 to Jct 8
Lane and link road closure for gantry repair
Diversion via National Highways Network</t>
  </si>
  <si>
    <t>A20</t>
  </si>
  <si>
    <t>A20 Westbound Swanley By-pass link road closure</t>
  </si>
  <si>
    <t>Overall Scheme Details: A20 Westbound Swanley By-pass Link Road
Link Road closure for electrical works
Diversions via Local Authorities Network</t>
  </si>
  <si>
    <t>M25 Clockwise Jct 20 exit slip road closure</t>
  </si>
  <si>
    <t>Overall Scheme Details: M25 Clockwise Jct 20
Slip Road and Lane Closure for Electrical Works
Diversion via National Highways Network</t>
  </si>
  <si>
    <t>M25 Anti-clockwise Jct 8 entry slip road closure</t>
  </si>
  <si>
    <t>Overall Scheme Details: M25 Anti-clockwise Jct 8 to Jct 7
Lane and slip road closure for technology works
Diversion via Local Authority and National Highway network</t>
  </si>
  <si>
    <t>A2 Westbound Dartford Heath to Danson Interchange carriageway closure</t>
  </si>
  <si>
    <t>Overall Scheme Details: A2 Westbound Dartford Heath to Danson Interchange
Carriageway and lane closure for routine maintenance works on the TfL Network
Diversion via Local Authorities Network</t>
  </si>
  <si>
    <t>A1089</t>
  </si>
  <si>
    <t>A1089 Southbound Baker Street to Asda Roundabout carriageway closure</t>
  </si>
  <si>
    <t xml:space="preserve">Overall Scheme Details: A1089 Southbound Baker Street to Asda Roundabout 
Carriageway, slip road and lane closure for crossover works 
Diversion via Local Authorities and National Highways Network </t>
  </si>
  <si>
    <t>A3 Northbound WIsley carriageway closure between the exit and entry slip road</t>
  </si>
  <si>
    <t xml:space="preserve">Overall Scheme Details: A3 Northbound Wisley between the slip roads and A3 Northbound Painshill between the slip roads
Carriageway and lane closure for joint replacement works
Diversion via Local Authority and National Highway network
</t>
  </si>
  <si>
    <t>A3 Northbound Painshill carriageway closure between the exit and entry slip road</t>
  </si>
  <si>
    <t>M25 Anti-clockwise Jct 10 to A3 Northbound Wisley link road closure</t>
  </si>
  <si>
    <t>Overall Scheme Details: M25 Anti-clockwise Jct 10 to A3 Northbound Wisley
Link road and lane closure for joint replacement works</t>
  </si>
  <si>
    <t>A3 Southbound Esher Exit Slip road closure</t>
  </si>
  <si>
    <t>Overall Scheme Details: A3 Southbound Hook to Esher
Slip road and lane closure for urgent carriageway repairs 
Diversion via Local Authority and National Highway network</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</si>
  <si>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</si>
  <si>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</si>
  <si>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</si>
  <si>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</si>
  <si>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A30</t>
  </si>
  <si>
    <t>A30 eastbound Alphington - carriageway closed between the exit and entry slip roads.</t>
  </si>
  <si>
    <t xml:space="preserve">Overall Scheme Details: A30 eastbound Alphington - carriageway closed between the exit and entry slip roads leading to carriageway closure of A38 westbound.
Diversion for M5 northbound traffic via exit at Alphington and immediately re-join A30.
Diversion for A38 westbound traffic via A377, A3015, A379 to join A38 westbound </t>
  </si>
  <si>
    <t>A38 westbound J31, M5 to Kennford - carriageway closed</t>
  </si>
  <si>
    <t xml:space="preserve">Overall Scheme Details: A38 westbound J31, M5 to Kennford - carriageway closure for gantry maintenance.
Diversion from M5 via A30 westbound, A377, A3015, A379 to join A38 westbound
Diversion from A30 via A377, A3015, A379 to join A38 westbound </t>
  </si>
  <si>
    <t>A38 westbound Kennford - carriageway closed between the exit &amp; entry slip roads</t>
  </si>
  <si>
    <t>Overall Scheme Details: A38 westbound Kennford - carriageway closed between the exit &amp; entry slip roads for gantry maintenance.
Diversion via exiting A38 and immediately re-joining A38 westbound</t>
  </si>
  <si>
    <t>A303 both directions A350 Jct to Deptford carriageway closure</t>
  </si>
  <si>
    <t>Overall Scheme Details: A303 both directions A350 Jct to Deptford - carriageway closure for road surface renewal scheme.
Eastbound diversion via, A350 northbound, A36 southbound and rejoin A303 at Deptford.
Westbound diversion via - As above in reverse.</t>
  </si>
  <si>
    <t>M5</t>
  </si>
  <si>
    <t>M5 northbound Jct 12 entry slip road closure</t>
  </si>
  <si>
    <t>Overall Scheme Details: M5 Northbound Jct 12 exit and entry slip road carriageway closure for drainage works.
Diversion for exit slip - M5 Northbound to Jct 11a, return M5 Southbound to Jct 12 . Alternatively traffic pre warned to exit at M5 Jct 13 and follow A38 northbound to Jct 12.
Diversion for entry slip - A38 northbound, A417, A40 to Jct 11</t>
  </si>
  <si>
    <t>M5 northbound Jct 12 exit slip road closure</t>
  </si>
  <si>
    <t>A4</t>
  </si>
  <si>
    <t>A4 eastbound Cowley Way carriageway closure</t>
  </si>
  <si>
    <t>Overall Scheme Details: M5 southbound Jct 18 exit slip, westbound Avonmouth link road to St Brendans roundabout and A4 southbound Crowley Way to St Brendans - carriageway closure for structural inspections.
Diversion M5 and M49 traffic via - M5 southbound, exit at Jct 19 and return, exit at Jct 18, Portway roundabout, A4 Bristow Broadway to Srt Brendans roundabout. 
Diversion for Cowley Way via - Third Way and Avonmouth Way.</t>
  </si>
  <si>
    <t>M5/M49 southbound Jct 18 Avonmouth link road to St Brendans roundabout carriageway closure</t>
  </si>
  <si>
    <t>M5 southbound Jct 18 exit slip carriageway closure</t>
  </si>
  <si>
    <t>A303 westbound Wincanton exit slip road closure</t>
  </si>
  <si>
    <t>Overall Scheme Details: A303 westbound Wincanton exit slip road closure for barrier repair
Diversion via Sparkford and return</t>
  </si>
  <si>
    <t>A35</t>
  </si>
  <si>
    <t>A35 Both Directions Stinsford to Bere Regis Full closure</t>
  </si>
  <si>
    <t xml:space="preserve">Overall Scheme Details: A35 Stinsford to Bere Regis - Full Closure - scheme works
</t>
  </si>
  <si>
    <t>A417</t>
  </si>
  <si>
    <t>A417 northbound from Burford Road to Air Balloon Roundabout Carriageway Closure</t>
  </si>
  <si>
    <t>Overall Scheme Details: A417 northbound from Burford Road to Air Balloon Roundabout
Carriageway Closure for earthworks for Missing Link works
Diversion route via A429, A40 and A436.</t>
  </si>
  <si>
    <t>A417 southbound from Air Balloon Roundabout to Elkstone Carriageway Closure</t>
  </si>
  <si>
    <t>Overall Scheme Details: A417 southbound from Air Balloon Roundabout to Elkstone
Carriageway Closure for earthworks for Missing Link works
Diversion route via A436, A40 and A429.</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</si>
  <si>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</si>
  <si>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</si>
  <si>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A38 northbound Streethay entry slip road closure</t>
  </si>
  <si>
    <t>M5 northbound Jct 4 to Jct 3 carriageway closure</t>
  </si>
  <si>
    <t xml:space="preserve">Overall Scheme Details: M5 northbound Jct 4 to Jct 3.
Carriageway closure for maintenance works. 
Diversion via National Highways and local authority network. </t>
  </si>
  <si>
    <t>M6 northbound A38 entry link to Jct 6 carriageway closure</t>
  </si>
  <si>
    <t xml:space="preserve">Overall Scheme Details: M6 southbound Jct 6 to Jct 4 including M42 Links.
Carriageway closure for maintenance works. 
Diversion via National Highways and local authority network. 
</t>
  </si>
  <si>
    <t>M6 Southbound Jct 6 to Jct 5 carriageway closure</t>
  </si>
  <si>
    <t>M6 northbound Jct 6 to Jct 7 carriageway closure</t>
  </si>
  <si>
    <t xml:space="preserve">Overall Scheme Details: M6 both directions Jct 6 to Jct 7. 
Carriageway closure for maintenance works. 
Diversion via National Highways and local authority network. </t>
  </si>
  <si>
    <t>M6 northbound Jct 6 entry link E-B carriageway closure</t>
  </si>
  <si>
    <t>M6 northbound Jct 6 entry link C-A to E-B carriageway closure</t>
  </si>
  <si>
    <t>A38 northbound Swinfen to Streethay carriageway closure</t>
  </si>
  <si>
    <t xml:space="preserve">Overall Scheme Details: A38 both directions Fradley to Streethay.
Carriageway closure for maintenance works.
Diversion via National Highways and local authority network. </t>
  </si>
  <si>
    <t>A500</t>
  </si>
  <si>
    <t>A500 both directions Campbell Road over bridge carriageway closure</t>
  </si>
  <si>
    <t>Overall Scheme Details: A500 both directions Campbell Road.
Carriageway closure for maintenance works.
Diversion via National Highways and Local Authority network.</t>
  </si>
  <si>
    <t>M6 northbound Jct 8 to M5 southbound link road eastern arm southbound carriageway closure</t>
  </si>
  <si>
    <t xml:space="preserve">Overall Scheme Details: M6 both directions Jct 8 to M5 southbound link road ( eastern arm south ).
Carriageway closure for maintenance works. 
Diversion via National Highways and local authority network. 
</t>
  </si>
  <si>
    <t>A45</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</si>
  <si>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</si>
  <si>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</si>
  <si>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A46</t>
  </si>
  <si>
    <t>A46 northbound from M40 Jct 15 (exit slip and roundabout) to A46 entry slip road closure</t>
  </si>
  <si>
    <t>Overall Scheme Details: A46 northbound Warwick to M40 Jct 15.
Carriageway closure for maintenance works. 
Diversion via National Highways.</t>
  </si>
  <si>
    <t>A46 northbound Sherbourne link road closure</t>
  </si>
  <si>
    <t>A46 both directions Beckford to Ashton Under Hill carriageway closure</t>
  </si>
  <si>
    <t xml:space="preserve">Overall Scheme Details: A46 both direction Beckford to Ashton under Hill.
Carriageway closures for maintenance works.
Diversion via National Highways and local authority network. </t>
  </si>
  <si>
    <t>A500 southbound Etruria between the exit and entry slip roads carriageway closure</t>
  </si>
  <si>
    <t>Overall Scheme Details: A500 both directions Etruria.
Carriageway closure for maintenance works.
Diversion via National Highways and local authority network.</t>
  </si>
  <si>
    <t>A45 eastbound Tollbar to Brandon Lane carriageway closure</t>
  </si>
  <si>
    <t>Overall Scheme Details: A45 eastbound Tollbar to Brandon Lane.
Carriageway closure for maintenance works.
Diversion via National Highways and local authority network.</t>
  </si>
  <si>
    <t>M42</t>
  </si>
  <si>
    <t>M42 clockwise Jct 6 roundabout partial closure (from the A45 westbound exit slip road to the M42 southbound exit slip road)</t>
  </si>
  <si>
    <t>Overall Scheme Details: M42 both directions Jct 6.
Carriageway closure for maintenance works. 
Diversion via National Highways and local authority network.</t>
  </si>
  <si>
    <t>A50</t>
  </si>
  <si>
    <t>A50 Eastbound Catchems to Tean Carriageway Closure</t>
  </si>
  <si>
    <t>Overall Scheme Details: A50 DBFO - Uttoxeter Blythe Bridge Bypass - Eastbound and Westbound - Full Carriageway Closures - Structure Maintenance</t>
  </si>
  <si>
    <t>A50 Eastbound Tean to A522 Carriageway Closure</t>
  </si>
  <si>
    <t>A50 Westbound Derby Southern Bypass Full Closure</t>
  </si>
  <si>
    <t>Overall Scheme Details: A50 DBFO - Derby Southern Bypass - Westbound - Full Carriageway Closure - Lining and stud replacement Works</t>
  </si>
  <si>
    <t>A46 Swinderby Layby closure northbound</t>
  </si>
  <si>
    <t>Overall Scheme Details: A46 northbound and southbound Brough to Swinderby
Gap closure, layby closure diversion route with speed restriction and temporary event signs for The Lost Village event</t>
  </si>
  <si>
    <t>A46 Swinderby Layby closure southbound</t>
  </si>
  <si>
    <t>A14 Jct 1 to Jct 2 Layby closure eastbound</t>
  </si>
  <si>
    <t>A1M northbound Jct 45 exit slip closed</t>
  </si>
  <si>
    <t>Overall Scheme Details: A1M northbound junction 45 exit slip closed to assist traffic exiting Leeds Festival. Diversion on National Highways and Local Authority network</t>
  </si>
  <si>
    <t>A56 Southbound Bent Gate exit slip road closure</t>
  </si>
  <si>
    <t xml:space="preserve">Overall Scheme Details: A56 Southbound Bent Gate exit slip road closure due to works on roundabout by United Utilities </t>
  </si>
  <si>
    <t>A27 westbound Hangleton exit slip road closure</t>
  </si>
  <si>
    <t>Overall Scheme Details: A27 westbound Devils Dyke Interchange to Hangleton Interchange
slip road and lane closure for maintenance works</t>
  </si>
  <si>
    <t>M42 southbound Jct 6 between the exit and entry slip roads carriageway closure</t>
  </si>
  <si>
    <t>Overall Scheme Details: M42 both directions Jct 6 to Jct 7.
Carriageway and lane closures for maintenance works.
Diversion via National Highways network.</t>
  </si>
  <si>
    <t>A1 northbound Barnsdale bar to Ferrybridge, carriageway closure</t>
  </si>
  <si>
    <t>Overall Scheme Details: A1 northbound and Barnsdale bar to Ferrybridge.
Carriageway closure and lane closures for barrier repair works.
Diversion route in place via local authority network.</t>
  </si>
  <si>
    <t>A1 northbound Barnsdale bar entry slip road closure</t>
  </si>
  <si>
    <t>A1 northbound Middlefield lane exit slip road closure</t>
  </si>
  <si>
    <t>A1 northbound Middlefield lane entry slip road closure</t>
  </si>
  <si>
    <t>A1 northbound Wentbridge exit slip road closure</t>
  </si>
  <si>
    <t>A1 northbound Wentbridge entry slip road closure</t>
  </si>
  <si>
    <t>A1 northbound B6474 exit slip road closure</t>
  </si>
  <si>
    <t>A1 northbound B6474 entry slip road closure</t>
  </si>
  <si>
    <t>A1 northbound Darrington exit slip road closure</t>
  </si>
  <si>
    <t>A1 northbound Darrington entry slip road closure</t>
  </si>
  <si>
    <t>A1 northbound Darrington 2 way traffic slip road closure</t>
  </si>
  <si>
    <t>A1 northbound A162 exit slip road closure</t>
  </si>
  <si>
    <t>A162 northbound Jct 33 exit slip road closure</t>
  </si>
  <si>
    <t>A1m northbound to M62 westbound Jct 32a, link road closure</t>
  </si>
  <si>
    <t>A1 northbound Jct 17 Stibbington to A47 carriageway closure</t>
  </si>
  <si>
    <t>Overall Scheme Details: A1 northbound
Jct 17 Stibbington to A47 - carriageway closure and diversion route for drainage on behalf of National Highways</t>
  </si>
  <si>
    <t>A12 southbound Jct 15 exit slip road - carriageway closure</t>
  </si>
  <si>
    <t>Overall Scheme Details: A12 southbound
Jct 15 exit slip road - carriageway closure on behalf of Essex County Council</t>
  </si>
  <si>
    <t>A1 northbound Wansford entry slip road closure</t>
  </si>
  <si>
    <t>Overall Scheme Details: A1 northbound 
Wansford to Wothorpe - carriageway closure, lane closure, speed restrictions and diversion route for carriageway - reconstruction/renewal on behalf of National Highways</t>
  </si>
  <si>
    <t>A12 southbound Jct 28 to Jct 27 carriageway closure</t>
  </si>
  <si>
    <t>Overall Scheme Details: A12 southbound 
Jct 28 to Jct 27 - carriageway closure for carriageway - reconstruction/renewal on behalf of National Highways</t>
  </si>
  <si>
    <t>A14 westbound Jct 58a to Jct 58 carriageway closure</t>
  </si>
  <si>
    <t>Overall Scheme Details: A14 westbound 
Jct 58a to Jct 58 - carriageway closure for electrical works on behalf of National Highways</t>
  </si>
  <si>
    <t>A14 westbound Jct 21 exit slip road closure</t>
  </si>
  <si>
    <t>Overall Scheme Details: A14 both directions 
Ellington to Jct 21 - carriageway closure for communications on behalf of National Highways</t>
  </si>
  <si>
    <t>A14 eastbound Jct 21 entry slip road closure</t>
  </si>
  <si>
    <t>A11</t>
  </si>
  <si>
    <t>A11 southbound Balsham exit slip road closure</t>
  </si>
  <si>
    <t>Overall Scheme Details: A11 both directions 
Balsham - carriageway closure for drainage on behalf of National Highways</t>
  </si>
  <si>
    <t>A11 southbound Balsham entry slip road closure</t>
  </si>
  <si>
    <t>M11 southbound Jct 11 carriageway closure between the exit and entry slip roads</t>
  </si>
  <si>
    <t>Overall Scheme Details: M11 southbound
Jct 11 between exit and entry slips - carriageway closure for carriageway - reconstruction/renewal on behalf of National Highways</t>
  </si>
  <si>
    <t>A1M northbound Jct 15 exit slip road closure</t>
  </si>
  <si>
    <t>Overall Scheme Details: A1M northbound
Jct 15 Sawtry - exit slip road carriageway closure for barrier/fence safety repairs on behalf of National Highways</t>
  </si>
  <si>
    <t>M40 Northbound, Jct 6 to Jct 9 Carriageway Closure</t>
  </si>
  <si>
    <t xml:space="preserve">Overall Scheme Details: M40 Northbound, 
Jct 6 to Jct 9 Lane Closures, carriageway closure and Diversion route for maintenance works. 
Diversion Via local Authority Road </t>
  </si>
  <si>
    <t>M40 Northbound, Jct 7 Entry Slip Road Closure</t>
  </si>
  <si>
    <t>M40 Northbound, Jct 8 Exit Slip Road Closure</t>
  </si>
  <si>
    <t>M40 Northbound, Jct 8a Exit slip road Closure</t>
  </si>
  <si>
    <t>M40 Northbound, Jct 8a Entry Slip road Closure</t>
  </si>
  <si>
    <t>M40 Northbound, Jct 9 Exit Slip Road Closure</t>
  </si>
  <si>
    <t>M40 Northbound, Jct 3, Exit slip road closure.</t>
  </si>
  <si>
    <t>Overall Scheme Details: M40 Northbound, Jct 2 to Jct 3.
Lane closures, slip road closure and diversion route for maintenance works.
Diversion route via national highways and local authority networks.</t>
  </si>
  <si>
    <t>A45 southbound Knuston entry slip road closure</t>
  </si>
  <si>
    <t>Overall Scheme Details: A45 northbound and southbound Earls Barton to Higham Ferrers
Slip road, layby and lane closures for horticultural works
Diversion via National Highways network and local authority network</t>
  </si>
  <si>
    <t>A45 southbound Wellingborough exit slip road closure</t>
  </si>
  <si>
    <t>M1 southbound Jct 25 exit slip road closure</t>
  </si>
  <si>
    <t>A38 northbound Findern exit slip road closure</t>
  </si>
  <si>
    <t>A38 northbound Toyota entry slip road closure</t>
  </si>
  <si>
    <t>A38 northbound Findern entry slip road closure</t>
  </si>
  <si>
    <t>A38 northbound Toyota to Mickleover carriageway closure</t>
  </si>
  <si>
    <t>M1 southbound Jct 28 exit slip road closure</t>
  </si>
  <si>
    <t>Overall Scheme Details: M1 southbound Jct 28 to Jct 27
Slip road and lane closure due to maintenance works
Diversion via National Highways network and local authority network</t>
  </si>
  <si>
    <t>M1 southbound Jct 28 entry slip road closure</t>
  </si>
  <si>
    <t>M1 southbound Jct 29a entry slip road closure</t>
  </si>
  <si>
    <t>Overall Scheme Details: M1 southbound Jct 29a to Jct 29.
Lane closure for maintenance works.</t>
  </si>
  <si>
    <t>M62 eastbound Jct 29 exit slip road closure</t>
  </si>
  <si>
    <t>Overall Scheme Details: M62 eastbound Jct 28 to Jct 30
Slip road and lane closures for general cleaning and maintenance
Diversion via M62</t>
  </si>
  <si>
    <t>M62 eastbound Jct 29 exit to M1 northbound Jct 42 link road closure</t>
  </si>
  <si>
    <t>M62 westbound Jct 33 entry slip road closure</t>
  </si>
  <si>
    <t>Overall Scheme Details: M62 westbound Jct 34 to Jct 32 
Slip road and lane closures for general cleaning and maintenance works 
diversion via M62</t>
  </si>
  <si>
    <t>M62 westbound Jct 33 exit slip road closure</t>
  </si>
  <si>
    <t>M1 northbound Jct 35 entry slip road closure</t>
  </si>
  <si>
    <t>Overall Scheme Details: M1 northbound Jct 34 to Jct 36
Slip road and lane closures for general cleaning and maintenance works 
diversion via M1 A61 A616</t>
  </si>
  <si>
    <t>M1 northbound Jct 35a exit slip road closure</t>
  </si>
  <si>
    <t>M1 northbound Jct 35 exit slip road closure</t>
  </si>
  <si>
    <t>M62 westbound Jct 30 carriageway closure between exit and entry slip</t>
  </si>
  <si>
    <t xml:space="preserve">Overall Scheme Details: M62 westbound Jct 30 
Carriageway closure for technology works
Diversion via M62 </t>
  </si>
  <si>
    <t>M1 northbound Jct 40 entry slip road closure</t>
  </si>
  <si>
    <t>Overall Scheme Details: M1 northbound Jct 41 to Jct 42 
Slip road closure and lane closures for technology works
Diversion A638 M1 A636</t>
  </si>
  <si>
    <t>A1M southbound Jct 36 exit slip road closure</t>
  </si>
  <si>
    <t>Overall Scheme Details: A1M northbound and southbound Jct 35 to Jct 36 
Slip road and lane closure on behalf of City of Doncaster Council 
Diversion via A1M</t>
  </si>
  <si>
    <t>A64 Hopgrove roundabout closure</t>
  </si>
  <si>
    <t>Overall Scheme Details: A64 eastbound and westbound Hopgrove to Grimston 
carriageway and lane closure for carriageway improvements 
Diversion via A64 A1237 A1036</t>
  </si>
  <si>
    <t>A1M Jct 61 to Jct 63 Northbound Carriageway Closure (C)</t>
  </si>
  <si>
    <t>A1M Jct 61 Northbound Entry Slip Road Closure</t>
  </si>
  <si>
    <t>A1M Jct 62 Northbound Exit Slip Road Closure</t>
  </si>
  <si>
    <t>A1M Jct 63 Northbound Exit Slip Road Closure (C)</t>
  </si>
  <si>
    <t>A1M Jct 62 Northbound Entry Slip Road Closure (C)</t>
  </si>
  <si>
    <t>A66 Elton eastbound entry slip road closure</t>
  </si>
  <si>
    <t>A66 Yarm Road eastbound exit slip road closure</t>
  </si>
  <si>
    <t>A66 Yarm Road eastbound entry slip road closure</t>
  </si>
  <si>
    <t>A66 Boathouse eastbound exit slip road closure</t>
  </si>
  <si>
    <t>A1 Jct 76 northbound entry slip road closure</t>
  </si>
  <si>
    <t xml:space="preserve">Overall Scheme Details: A1 northbound and southbound Jct 75 to Jct 78
Entry slip road closure for horticulture works  </t>
  </si>
  <si>
    <t>A1 Stannington Interchange Southbound exit slip road closure</t>
  </si>
  <si>
    <t>Overall Scheme Details: A1 northbound and southbound Stannington Interchange
Carriageway closure for Horticultural works</t>
  </si>
  <si>
    <t>A1 Stannington Interchange Southbound entry slip road closure</t>
  </si>
  <si>
    <t>A1M Jct 51 Int. southbound exit slip road closure</t>
  </si>
  <si>
    <t>Overall Scheme Details: A1M northbound and southbound Jct 51
Carriageway closure for drainage work</t>
  </si>
  <si>
    <t>A1M Jct 51 Int. southbound entry slip road closure</t>
  </si>
  <si>
    <t>A19 southbound A1046 Portrack to A66 Stockton Road Interchange including exit and entry slip roads carriageway closure</t>
  </si>
  <si>
    <t>Overall Scheme Details: A19 north and southbound Tees Viaduct (A1046 Portrack to A66 Stockton Road Interchange)
Carriageway closures and lane closures for maintenance works</t>
  </si>
  <si>
    <t>A19 northbound A66 Stockton Road to A1046 Portrack Interchange including exit and entry slip roads carriageway closure</t>
  </si>
  <si>
    <t>A19 Northbound Entry Slip Road Closure from A179 Sheraton.</t>
  </si>
  <si>
    <t>Overall Scheme Details: A19 Northbound Entry Slip Road Closure from A179 Sheraton.</t>
  </si>
  <si>
    <t>M53 Southbound Jct 7 to 10 Carriageway Closure</t>
  </si>
  <si>
    <t>M53 Southbound Jct 7 entry slip road closure</t>
  </si>
  <si>
    <t>M53 Southbound Jct 8 exit slip road closure</t>
  </si>
  <si>
    <t>M53 Southbound Jct 8 entry slip road closure</t>
  </si>
  <si>
    <t>M53 Southbound Jct 9 exit slip road closure</t>
  </si>
  <si>
    <t>M53 Southbound Jct 9 entry slip road closure</t>
  </si>
  <si>
    <t>M53 Southbound Jct 10 exit slip road closure</t>
  </si>
  <si>
    <t>M62 Eastbound Jct 11 exit slip road closure</t>
  </si>
  <si>
    <t>Overall Scheme Details: M62 both directions J10 to J12 - carriageway closure for construction improvement/upgrade on behalf of National Highways</t>
  </si>
  <si>
    <t>M62 Westbound Jct 11 exit slip road closure</t>
  </si>
  <si>
    <t>M56 Westbound Jct 7 to 9 carriageway closure</t>
  </si>
  <si>
    <t>M56 Westbound Jct 8 entry slip road closure</t>
  </si>
  <si>
    <t>M56 Westbound to M6 Northbound link road closure</t>
  </si>
  <si>
    <t>A663 southbound Hollinwood Ave to Trevor Dr carriageway closure</t>
  </si>
  <si>
    <t>Overall Scheme Details: A663 both directions Mough Lane, Manchester to Barlea Avenue, Manchester - multiway signals for lha works on behalf of Manchester City Council</t>
  </si>
  <si>
    <t>M6 Northbound Jct 16 entry slip road closure</t>
  </si>
  <si>
    <t>Overall Scheme Details: M6 both directions J16 to J19 - carriageway closure for carriageway - reconstruction/renewal on behalf of National Highways</t>
  </si>
  <si>
    <t>M62 Westbound Jct 7 entry slip road closure</t>
  </si>
  <si>
    <t>Overall Scheme Details: M62 both directions Tarbock to Prescot - carriageway closure for horticulture (cutting and planting) on behalf of National Highways</t>
  </si>
  <si>
    <t>M57 northbound jct 4 carriageway closure between exit and entry slip roads</t>
  </si>
  <si>
    <t>Overall Scheme Details: M57 northbound J3 to J5 - carriageway closure for structure - maintenance on behalf of National Highways</t>
  </si>
  <si>
    <t>M56 westbound J14 exit slip road closure</t>
  </si>
  <si>
    <t>Overall Scheme Details: M56 westbound J12 to J14 - carriageway closure for electrical works on behalf of National Highways</t>
  </si>
  <si>
    <t>M56 Eastbound Jct 2 entry slip road closure</t>
  </si>
  <si>
    <t>Overall Scheme Details: M56 both directions J1 to J3 - carriageway closure for carriageway - reconstruction/renewal on behalf of National Highways</t>
  </si>
  <si>
    <t>M60 clockwise Jct 19 exit slip road closure</t>
  </si>
  <si>
    <t>M60 Clockwise Jct 18 entry slip road closure</t>
  </si>
  <si>
    <t>M62 Westbound to M60 Clockwise link road road</t>
  </si>
  <si>
    <t>M60 Clockwise Junction 18 to 19 Carriageway Closure</t>
  </si>
  <si>
    <t>M65 Westbound to M61 Southbound dedicated lane closure</t>
  </si>
  <si>
    <t>Overall Scheme Details: M61 Southbound Jct  9 - Carriageway Closure for Horticulture (Cutting and Planting) on behalf of Amey</t>
  </si>
  <si>
    <t>M61 Southbound Jct 9 entry slip road closure</t>
  </si>
  <si>
    <t>M6 Southbound Jct 44 Exit slip road closure</t>
  </si>
  <si>
    <t xml:space="preserve">Overall Scheme Details: M6 Southbound Scotland Border to Jct 44 
Carriageway closure for carriageway - reconstruction/renewal </t>
  </si>
  <si>
    <t>A3 southbound Hogs Back between the slips carriageway closure</t>
  </si>
  <si>
    <t>Overall Scheme Details: A3 both directions Hogs Back to Hazel Grove.
Carriageway and lane closures for resurfacing work.</t>
  </si>
  <si>
    <t>A3 southbound Thursley to Hazel Grove carriageway closure</t>
  </si>
  <si>
    <t>A3 northbound Longmoor between exit and entry slip road carriageway closure</t>
  </si>
  <si>
    <t>A3 northbound Hazel Grove to Thursley carriageway closure</t>
  </si>
  <si>
    <t>A21 both directions Johns Cross roundabout to Northbridge Street roundabout carriageway closure</t>
  </si>
  <si>
    <t xml:space="preserve">Overall Scheme Details: A21 both directions Northbridge Street roundabout to Johns Cross roundabout,
Carriageway closure for surface works </t>
  </si>
  <si>
    <t>A2 westbound Marling Cross exit slip road closure</t>
  </si>
  <si>
    <t>M20 eastbound jct 7 to jct 9 carriageway closure - diversion  A249/M2/A2/A20/M20</t>
  </si>
  <si>
    <t>Overall Scheme Details: M20 both directions junction 7 to junction 9
carriageway and lane closures for construction works</t>
  </si>
  <si>
    <t>M20 westbound Jct 9 to Jct 8 carriageway closure - Diversion via M20/A20/A2/M2/A229</t>
  </si>
  <si>
    <t>A27 eastbound Portfield  to Fontwell West carriageway closure</t>
  </si>
  <si>
    <t>Overall Scheme Details: A27 both directions Chichester to Fontwell
carriageway and lane closures for resurfacing works</t>
  </si>
  <si>
    <t>A249</t>
  </si>
  <si>
    <t xml:space="preserve">Overall Scheme Details: A249 Stockbury roundabout to Queenborough northbound and southbound  lane closures for centre reservation maintenance works. 
Diversion via Local Authority network </t>
  </si>
  <si>
    <t>M25 Anti-Clockwise Jct 20 to Jct 18 carriageway closure</t>
  </si>
  <si>
    <t>Overall Scheme Details: M25 Anti-Clockwise Jct 20 to Jct 18  
Carriageway and slip road Closure for cyclical maintenance. 
Diversion viaLocal Authorities Network</t>
  </si>
  <si>
    <t>M25 Clockwise Jct 22 to Jct 23 Carriageway closure</t>
  </si>
  <si>
    <t>Overall Scheme Details: M25 Clockwise Jct 22 to Jct 23 
Carriageway and Lane closure for surfacing works. 
Diversion via National Highways and Local Authorities Network</t>
  </si>
  <si>
    <t>M25 Clockwise Jct 25 to Jct 26 carriageway closure</t>
  </si>
  <si>
    <t>Overall Scheme Details: M25 Clockwise Jct 25 to Jct 26 
Carriageway and lane closure for tunnel works
Diversion via Local Authorities and National Highways Network</t>
  </si>
  <si>
    <t>Overall Scheme Details: M20 Westbound Jct 3 to Jct 1
Carriageway and lane closure for joint investigations work
Diversion via Local Authority and National Highway network</t>
  </si>
  <si>
    <t>A3 Northbound Wisley carriageway closure between the exit and entry slip road and A3 Northbound Painshill to Esher carriageway closure</t>
  </si>
  <si>
    <t>Overall Scheme Details: A3 Northbound Wisley between the slip roads and A3 Northbound Painshill to Esher
Carriageway, slip road and lane closure for resurfacing and joint renewals
Diversion via Local Authority and National Highway network</t>
  </si>
  <si>
    <t>M25 Anti-Clockwise Jct 16 to M4 Eastbound and Westbound Jct 4B Link Road Closure</t>
  </si>
  <si>
    <t>Overall Scheme Details: M25 Anti-Clockwise Jct 16 to M4 Eastbound and Westbound Jct 4B
Link Road and Lane Closure for Technology works
Diversion via National Highways Network</t>
  </si>
  <si>
    <t>A13</t>
  </si>
  <si>
    <t>A13 Eastbound to M25 anticlockwise fast link closure</t>
  </si>
  <si>
    <t>Overall Scheme Details: A13 Eastbound Wennington to Mardyke Junction
Slip road and lane closure for urgent pothole repairs
Diversion via Local Authority and National Highways Network</t>
  </si>
  <si>
    <t>M25 anticlockwise Jct30 entry slip road closue</t>
  </si>
  <si>
    <t>M1 Northbound Jct 5 to Jct 6 Carriageway and Slip Road Closure closure</t>
  </si>
  <si>
    <t>Overall Scheme Details: M1 Northbound Jct 5 to Jct 6
Carriageway, Slip Road and Lane Closure for Urgent Safety Fence Repair Works
Diversion via Local Authorities and National Highways Network</t>
  </si>
  <si>
    <t xml:space="preserve">Overall Scheme Details: M25 Anti-clockwise Jct 28 up and over
Carriageway, slip road and lane closure for urgent safety fence repairs 
Diversion via National Highways Network </t>
  </si>
  <si>
    <t>A1(M) Southbound Jct 4 Exit Slip road closure</t>
  </si>
  <si>
    <t xml:space="preserve">Overall Scheme Details: A1(M) Southbound Jct 5 to Jct 4 
Slip Road and Lane Closure for Urgent Carriageway Repairs
Diversion via National Highways Network </t>
  </si>
  <si>
    <t>M25 Anti-clockwise Jct 2 to A2 Westbound Darenth Interchange link road closure</t>
  </si>
  <si>
    <t>Overall Scheme Details: M25 Jct 2 Roundabout and Approaches
Lane and link road closure for investigations
Diversion via National Highways Network</t>
  </si>
  <si>
    <t>A30 westbound Bodmin to Innis Down carriageway closure (98/1 to 87/8)</t>
  </si>
  <si>
    <t xml:space="preserve">Overall Scheme Details: A30 westbound Bodmin to Innis Down - carriageway closure for Improvement/upgrade scheme.
Diversion via -  A38 Launceston Rd, A389 and rejoin A38 at Innis Down Jct.  Traffic from A38 to use Carminow roundabout, Priory Rd and then follow A389. </t>
  </si>
  <si>
    <t>A30 westbound entry slip from A38 carriageway closure</t>
  </si>
  <si>
    <t>A303 both directions Devonshire House to Horton Cross carriageway closure</t>
  </si>
  <si>
    <t xml:space="preserve">Overall Scheme Details: A303 both directions Devonshire House to Horton Cross carriageway closure for maintenance works.
Diversion via A358, A30 and vice versa for eastbound.  </t>
  </si>
  <si>
    <t>M5 northbound Jct 21 exit slip closure</t>
  </si>
  <si>
    <t>Overall Scheme Details: M5 northbound Jct 21 exit slip closure, for St Georges Structural Upgrade scheme.
Diversion via M5 northbound to Jct 20 and return northbound</t>
  </si>
  <si>
    <t>A36</t>
  </si>
  <si>
    <t>A36 both directions Wilton roundabout to St Paul's roundabout carriageway closure</t>
  </si>
  <si>
    <t>Overall Scheme Details: A36 both directions Wilton roundabout to St Paul's roundabout - carriageway closure for resurfacing scheme.
Local access maintained between Skew Rd and Wilton Roundabout.
Southbound diversion via - The Avenue, A360 and rejoin the A36. 
Northbound diversion - as above in reverse.</t>
  </si>
  <si>
    <t>M32</t>
  </si>
  <si>
    <t>M32 northbound Jct 3 closed between exit and entry slip road</t>
  </si>
  <si>
    <t xml:space="preserve">Overall Scheme Details: M32 northbound Jct 3 to Jct 2 closed between exit and entry leading to Jct 2 to Jct 1 carriageway closure.
Off and on diversion via - M32 Jct 3 exit and entry slips.
Jct 2 to Jct 1 diversion via - A432 Muller road, A4174 and rejoin M32 at Jct 1.  
</t>
  </si>
  <si>
    <t>M32 northbound Jct 2 to Jct 1 carriageway closure</t>
  </si>
  <si>
    <t>M5 northbound Jct 11a entry slip road closure</t>
  </si>
  <si>
    <t>Overall Scheme Details: M5 Northbound Jct 11a entry slip road closure for barrier repair
Diversion via A417, A40, M5 Jct 11</t>
  </si>
  <si>
    <t>A38 southbound Streethay exit slip road closure</t>
  </si>
  <si>
    <t>A46 northbound Binley Jct to M69 Jct 2 carriageway closure</t>
  </si>
  <si>
    <t xml:space="preserve">Overall Scheme Details: A46 both directions A46/M69 Jct to Binley Jct. 
Carriageway closure for maintenance works. 
Diversion via National Highways and local authority network. </t>
  </si>
  <si>
    <t>A500 northbound Porthill to Tunstall carriageway closure</t>
  </si>
  <si>
    <t>Overall Scheme Details: A500 both directions Tunstall to Wolstanton.
Carriageway closure for maintenance works.
Diversion via National Highways and local authority network.</t>
  </si>
  <si>
    <t>A50 Sawley JCT 1 to A6 JCT 2 Full closure Westbound</t>
  </si>
  <si>
    <t>Overall Scheme Details: A50 DBFO - Derby Southern Bypass - Sawley Junction 1 to A6 Spur junction 2 - Westbound - Full closures - Lining Works</t>
  </si>
  <si>
    <t>M1 Southbound Junction 24A Exit Slip Full Closure</t>
  </si>
  <si>
    <t>A14 westbound Jct 47 entry slip road closure</t>
  </si>
  <si>
    <t>Overall Scheme Details: A14 both directions 
Jct 46 to Jct 47 - carriageway closure for inspection/survey on behalf of National Highways</t>
  </si>
  <si>
    <t>A14 eastbound Jct 47 exit slip road closure</t>
  </si>
  <si>
    <t>A11 northbound Balsham exit slip road closure</t>
  </si>
  <si>
    <t>A11 northbound Balsham entry slip road closure</t>
  </si>
  <si>
    <t>A1 southbound Brampton Hut exit slip road closure</t>
  </si>
  <si>
    <t>Overall Scheme Details: A1 southbound
Brampton Hut Roundabout - exit slip carriageway closure for electrical works on behalf of National Highways</t>
  </si>
  <si>
    <t>A45 northbound Wellingborough entry slip road closure</t>
  </si>
  <si>
    <t>A45 northbound Knuston exit slip road closure</t>
  </si>
  <si>
    <t>M1 northbound Jct 25 entry slip road closure</t>
  </si>
  <si>
    <t>A38 southbound Findern exit slip road closure</t>
  </si>
  <si>
    <t>A516</t>
  </si>
  <si>
    <t>A516 southbound Mickleover exit slip road closure</t>
  </si>
  <si>
    <t>A516 southbound Royal Derby Hospital entry slip road closure</t>
  </si>
  <si>
    <t>A38 southbound Kingsway to Findern carriageway closure</t>
  </si>
  <si>
    <t>A14 layby closure westbound</t>
  </si>
  <si>
    <t>Overall Scheme Details: A14 westbound Jct 11 to Jct 10.
Layby and lane closures due to maintenance works.</t>
  </si>
  <si>
    <t>A52</t>
  </si>
  <si>
    <t>A52 westbound Clifton over eastbound bridge carriageway closure</t>
  </si>
  <si>
    <t>Overall Scheme Details: A52 westbound Nottingham knight to Clifton bridge.
Carriageway, lay by and lane closures for maintenance works.
Diversion via National Highways and Local Network.</t>
  </si>
  <si>
    <t>A52 westbound Nottingham Knight to Clifton bridge carriageway closure</t>
  </si>
  <si>
    <t>A52 westbound Silverdale exit slip road closure</t>
  </si>
  <si>
    <t>M62 westbound Jct 34 entry slip road closure</t>
  </si>
  <si>
    <t>Overall Scheme Details: M62 westbound Jct 35 to Jct 34.
Slip road and lane closure for general cleaning and maintenance works.
Diversion via M62</t>
  </si>
  <si>
    <t>M62 westbound Jct 34 exit slip road closure</t>
  </si>
  <si>
    <t>M1 northbound Jct 34 exit slip road closure</t>
  </si>
  <si>
    <t xml:space="preserve">Overall Scheme Details: M1 northbound Jct 32 to Jct 35 
Slip road and lane closures for general cleaning and maintenance works
diversion via M1 </t>
  </si>
  <si>
    <t>M1 northbound Jct 34 entry slip road closure</t>
  </si>
  <si>
    <t>M1 northbound Jct 33 exit slip road closure</t>
  </si>
  <si>
    <t>M1 northbound Jct 33 entry slip road closure</t>
  </si>
  <si>
    <t>M621</t>
  </si>
  <si>
    <t>M621 clockwise Jct 27 exit slip road closure</t>
  </si>
  <si>
    <t>M62 eastbound Jct 27 entry slip road closure</t>
  </si>
  <si>
    <t>M62 westbound Jct 30 to Jct 29 carriageway closure</t>
  </si>
  <si>
    <t>Overall Scheme Details: M62 westbound Jct 29.
Carriageway closure and lane closure for technology works.
Diversion via M62</t>
  </si>
  <si>
    <t>A63 westbound Brighton street exit slip road closure</t>
  </si>
  <si>
    <t>Overall Scheme Details: A63 westbound Daltry Street to Brighton Street.
Carriageway and lane closure for electrical works.
Diversion via A63</t>
  </si>
  <si>
    <t>A1(M) southbound Jct 36 entry slip road closure</t>
  </si>
  <si>
    <t>Overall Scheme Details: A1(M) southbound Jct 36
slip road closure for general cleaning and maintenance works 
Diversion via A1(M) A635</t>
  </si>
  <si>
    <t>M18 northbound Jct 3 entry slip road closure</t>
  </si>
  <si>
    <t>Overall Scheme Details: M18 northbound Jct 3 to Jct 4
Slip road closure for barrier repairs
Diversion via M18</t>
  </si>
  <si>
    <t>A1 Stannington Interchange northbound exit slip road closure</t>
  </si>
  <si>
    <t>A1 Stannington Intertchange Northbound entry slip road closure</t>
  </si>
  <si>
    <t>A1M Jct 51 Int. northbound exit slip road closure</t>
  </si>
  <si>
    <t>A1M Jct 51 Int. northbound entry slip road closure</t>
  </si>
  <si>
    <t>A19 southbound A174 Parkway to A67 Crathorne Interchange carriageway closure including slip roads</t>
  </si>
  <si>
    <t>Overall Scheme Details: A19 southbound A174 Parkway to A67 Crathorne Interchange carriageway closure including slip roads for maintenance work</t>
  </si>
  <si>
    <t>M56 Westbound Jct 14 entry slip road closure</t>
  </si>
  <si>
    <t>A663 northbound Heppleton Road to Moston Lane carriageway closure</t>
  </si>
  <si>
    <t>M62 Eastbound Jct 7 exit slip road  closure</t>
  </si>
  <si>
    <t>M57 northbound jct 4 exit slip road closure</t>
  </si>
  <si>
    <t>M56 Westbound (Sharston Link Jct 2  Carriageway Closure</t>
  </si>
  <si>
    <t>M56 Westbound Jct 12 exit slip road closure</t>
  </si>
  <si>
    <t>Overall Scheme Details: M56 westbound J11 to J12 - carriageway closure for communications on behalf of National Highways</t>
  </si>
  <si>
    <t>M65 Eastbound Jct 8 exit slip road closure</t>
  </si>
  <si>
    <t>Overall Scheme Details: M65 eastbound J7 to J8 - carriageway closure for drainage on behalf of National Highways</t>
  </si>
  <si>
    <t>M65 Eastbound Jct 8 entry slip road closure</t>
  </si>
  <si>
    <t>M62 Westbound Jct 9 exit slip road closure</t>
  </si>
  <si>
    <t>Overall Scheme Details: M62 westbound J9 to J9 - carriageway closure for communications on behalf of National Highways</t>
  </si>
  <si>
    <t>M6 Northbound Jct 32 carriageway closure between the exit and entry slips</t>
  </si>
  <si>
    <t>Overall Scheme Details: M6 Northbound Junction 31A to Junction 32
Lane 3 closure for carriageway - reconstruction/renewal</t>
  </si>
  <si>
    <t>M4</t>
  </si>
  <si>
    <t>M4 westbound Jct 5 entry slip road closure</t>
  </si>
  <si>
    <t>Overall Scheme Details: M4 both directions Jct 5.
Slip road and lane closure resurfacing work.</t>
  </si>
  <si>
    <t>A27 eastbound Bedhampton to Warblington carriageway closure</t>
  </si>
  <si>
    <t>Overall Scheme Details: A27 both directions Langstone
Carriageway closure for structures work</t>
  </si>
  <si>
    <t>A3 northbound Clanfield Right turn divergence closure on exit slip road</t>
  </si>
  <si>
    <t>Overall Scheme Details: A3 northbound Clanfield
Right turn divergence closure on exit slip road for BT works</t>
  </si>
  <si>
    <t>A3 southbound Charlton Exit slip road closure</t>
  </si>
  <si>
    <t>Overall Scheme Details: A3 southbound Charlton
Exit slip road closure for BT works</t>
  </si>
  <si>
    <t>A27 eastbound Ashcombe roundabout to Southerham roundabout carriageway closure</t>
  </si>
  <si>
    <t xml:space="preserve">Overall Scheme Details: A27 both directions Southerham Roundabout to Ashcombe Roundabout 
Carriageway closure for surface works </t>
  </si>
  <si>
    <t>A2 eastbound Honeywood Interchange exit slip road closure</t>
  </si>
  <si>
    <t xml:space="preserve">Overall Scheme Details: A2 eastbound Whitfield to Duke Of York roundabout 
slip road and lane closure for inspections
</t>
  </si>
  <si>
    <t>M23 southbound Jct 9 to Jct 11 carriageway closure</t>
  </si>
  <si>
    <t>Overall Scheme Details: M23 both directions Jct 9 to Jct 11
carriageway and lane closures for maintenance works</t>
  </si>
  <si>
    <t>M25 Clockwise Jct 16 to Jct 17 Carriageway closure</t>
  </si>
  <si>
    <t>Overall Scheme Details: M25 Clockwise Jct 16 to Jct 17
Carriageway, Link road and Lane closure for surfacing works. 
Diversion via Local Authority and National Highways Network</t>
  </si>
  <si>
    <t>M40 eastbound and westbound to M25 clockwise and anti-clockwise Jct 16 link road closure</t>
  </si>
  <si>
    <t>A2 Westbound Darenth Interchange to A282 Northbound Jct 2 link road closure</t>
  </si>
  <si>
    <t>Overall Scheme Details: A2 Westbound Darenth Interchange to A282 Northbound Jct 2 Link Road
Link road closure for emergency safety fence repairs
Diversion via National Highways Network</t>
  </si>
  <si>
    <t>A282 Jct 2 to Jct 1b Anticlockwise Fast Link Closure</t>
  </si>
  <si>
    <t>Overall Scheme Details: A282 Northbound Jct 2 to Jct 1B
Link Road closure for emergency carriageway repairs
Diversion via National Highways Network</t>
  </si>
  <si>
    <t>M25 Jct 25 Roundabout Northern Quadrant</t>
  </si>
  <si>
    <t>Overall Scheme Details: M25 Jct 25 Roundabout 
Carriageway and lane closure for urgent safety fence repairs 
Diversion via Local Authorities Network</t>
  </si>
  <si>
    <t>M25 Jct 25 Roundabout closure</t>
  </si>
  <si>
    <t>A405</t>
  </si>
  <si>
    <t>A405 Southbound Jct M25 to A405 Southbound Oakwood Road Carriageway closure</t>
  </si>
  <si>
    <t xml:space="preserve">Overall Scheme Details: A405 Southbound M25 J21A to A405 Southbound Oakwood Road
Carriageway and Lane Closure for Urgent Safety Fence Repair Works
Diversion via Local Authorities and National Highways Network </t>
  </si>
  <si>
    <t>M5 northbound Jct 17 entry slip road closed</t>
  </si>
  <si>
    <t>Overall Scheme Details: M5 northbound Jct 17 entry slip road closed for Vodafone works. Diversion via the M5 southbound to Jct 18, to turn and return northbound.</t>
  </si>
  <si>
    <t xml:space="preserve">Overall Scheme Details: M32 northbound Jct 3 to Jct 2 closed between exit and entry including Jct 2 exit and entry slip road closure on 18/08/26 for survey works.
Diversion at Jct 3 via exit and entry slip roads. 
Diversion at Jct 2 via exit and entry slip roads.
Diversion for Jct 2 exit slip via Jct 1 and return.
Diversion for Jct 2 entry slip via Jct 3 and return.
</t>
  </si>
  <si>
    <t>M32 northbound Jct 2 closed between exit and entry slip road</t>
  </si>
  <si>
    <t>M5 southbound Jct 21 entry slip carriageway closure</t>
  </si>
  <si>
    <t xml:space="preserve">Overall Scheme Details: M5 southbound Jct 21 entry slip -  carriageway closure for St Georges Structural upgrade scheme. 
Diversion via - M5 north, exit Jct 20 and return southbound.
</t>
  </si>
  <si>
    <t>A30 Both Directions Daisymount to Turks Head Full Closure</t>
  </si>
  <si>
    <t>Overall Scheme Details: A30 Fairmile   Bridge Maintenance for parapet painting over 2 x nights</t>
  </si>
  <si>
    <t>M5 northbound Jct 8 exit slip road closure</t>
  </si>
  <si>
    <t>Overall Scheme Details: M5 both directions Jct 7 to Jct 9.
Carriageway closure for maintenance works. 
Diversion via National Highways network.</t>
  </si>
  <si>
    <t>M42 Junction 6 southbound entry slip</t>
  </si>
  <si>
    <t>Overall Scheme Details: M42 Junction 6 entry slip closure with lane closure on A45 westbound for utility works on behalf of National Grid.</t>
  </si>
  <si>
    <t>A500 / A50 southbound Queensway Roundabout between the exit and entry slip roads carriageway closure</t>
  </si>
  <si>
    <t>A5148</t>
  </si>
  <si>
    <t>A5148 northbound entry slip road closure</t>
  </si>
  <si>
    <t xml:space="preserve">Overall Scheme Details: A5148 northbound Wall to Swinfen. 
Entry slip road closure for maintenance works. 
Diversion via National Highways network. 
</t>
  </si>
  <si>
    <t>A500 southbound Porthill to Wolstanton carriageway closure</t>
  </si>
  <si>
    <t>M53 Northbound Jct 5 to 4 Carriageway Closure</t>
  </si>
  <si>
    <t>M53 Northbound Jct 5 entry slip road closure</t>
  </si>
  <si>
    <t>M53 Northbound Jct 4 exit slip road closure</t>
  </si>
  <si>
    <t>A303 westbound Hundred Acre to Parkhouse Cross carriageway closure</t>
  </si>
  <si>
    <t>Overall Scheme Details: A303 both directions Hundred Acre to Parkhouse Cross.
Carriageway closure for structures work.</t>
  </si>
  <si>
    <t>A303 eastbound Parkhouse Cross to Thruxton Village carriageway closure</t>
  </si>
  <si>
    <t>A249 Sheppey Crossing northbound and southbound carriageway closure</t>
  </si>
  <si>
    <t>M25 Anti-clockwise Jct28 full closure between exit and entry slip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</si>
</sst>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4">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3" applyNumberFormat="0" applyAlignment="0" applyProtection="0"/>
    <xf numFmtId="0" fontId="12" fillId="34" borderId="3" applyNumberFormat="0" applyAlignment="0" applyProtection="0"/>
    <xf numFmtId="0" fontId="12" fillId="34" borderId="3" applyNumberFormat="0" applyAlignment="0" applyProtection="0"/>
    <xf numFmtId="0" fontId="13" fillId="34" borderId="3" applyNumberFormat="0" applyAlignment="0" applyProtection="0"/>
    <xf numFmtId="0" fontId="12" fillId="34" borderId="3" applyNumberFormat="0" applyAlignment="0" applyProtection="0"/>
    <xf numFmtId="0" fontId="14" fillId="35" borderId="4" applyNumberFormat="0" applyAlignment="0" applyProtection="0"/>
    <xf numFmtId="0" fontId="14" fillId="35" borderId="4" applyNumberFormat="0" applyAlignment="0" applyProtection="0"/>
    <xf numFmtId="0" fontId="14" fillId="35" borderId="4" applyNumberFormat="0" applyAlignment="0" applyProtection="0"/>
    <xf numFmtId="0" fontId="15" fillId="35" borderId="4" applyNumberFormat="0" applyAlignment="0" applyProtection="0"/>
    <xf numFmtId="0" fontId="14" fillId="35" borderId="4"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5" applyNumberFormat="0" applyFill="0" applyAlignment="0" applyProtection="0"/>
    <xf numFmtId="0" fontId="21" fillId="0" borderId="5" applyNumberFormat="0" applyFill="0" applyAlignment="0" applyProtection="0"/>
    <xf numFmtId="0" fontId="21" fillId="0" borderId="5" applyNumberFormat="0" applyFill="0" applyAlignment="0" applyProtection="0"/>
    <xf numFmtId="0" fontId="22" fillId="0" borderId="5" applyNumberFormat="0" applyFill="0" applyAlignment="0" applyProtection="0"/>
    <xf numFmtId="0" fontId="21" fillId="0" borderId="5"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4" fillId="0" borderId="6" applyNumberFormat="0" applyFill="0" applyAlignment="0" applyProtection="0"/>
    <xf numFmtId="0" fontId="23" fillId="0" borderId="6"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6" fillId="0" borderId="7" applyNumberFormat="0" applyFill="0" applyAlignment="0" applyProtection="0"/>
    <xf numFmtId="0" fontId="25" fillId="0" borderId="7"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3" applyNumberFormat="0" applyAlignment="0" applyProtection="0"/>
    <xf numFmtId="0" fontId="29" fillId="37" borderId="3" applyNumberFormat="0" applyAlignment="0" applyProtection="0"/>
    <xf numFmtId="0" fontId="29" fillId="37" borderId="3" applyNumberFormat="0" applyAlignment="0" applyProtection="0"/>
    <xf numFmtId="0" fontId="30" fillId="37" borderId="3" applyNumberFormat="0" applyAlignment="0" applyProtection="0"/>
    <xf numFmtId="0" fontId="29" fillId="37" borderId="3" applyNumberFormat="0" applyAlignment="0" applyProtection="0"/>
    <xf numFmtId="0" fontId="31" fillId="0" borderId="8" applyNumberFormat="0" applyFill="0" applyAlignment="0" applyProtection="0"/>
    <xf numFmtId="0" fontId="31" fillId="0" borderId="8" applyNumberFormat="0" applyFill="0" applyAlignment="0" applyProtection="0"/>
    <xf numFmtId="0" fontId="31" fillId="0" borderId="8" applyNumberFormat="0" applyFill="0" applyAlignment="0" applyProtection="0"/>
    <xf numFmtId="0" fontId="32" fillId="0" borderId="8" applyNumberFormat="0" applyFill="0" applyAlignment="0" applyProtection="0"/>
    <xf numFmtId="0" fontId="31" fillId="0" borderId="8"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1"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36" fillId="34" borderId="10" applyNumberFormat="0" applyAlignment="0" applyProtection="0"/>
    <xf numFmtId="0" fontId="36" fillId="34" borderId="10" applyNumberFormat="0" applyAlignment="0" applyProtection="0"/>
    <xf numFmtId="0" fontId="36" fillId="34" borderId="10" applyNumberFormat="0" applyAlignment="0" applyProtection="0"/>
    <xf numFmtId="0" fontId="37" fillId="34" borderId="10" applyNumberFormat="0" applyAlignment="0" applyProtection="0"/>
    <xf numFmtId="0" fontId="36" fillId="34" borderId="10"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1" applyNumberFormat="0" applyFill="0" applyAlignment="0" applyProtection="0"/>
    <xf numFmtId="0" fontId="40" fillId="0" borderId="11" applyNumberFormat="0" applyFill="0" applyAlignment="0" applyProtection="0"/>
    <xf numFmtId="0" fontId="40" fillId="0" borderId="11" applyNumberFormat="0" applyFill="0" applyAlignment="0" applyProtection="0"/>
    <xf numFmtId="0" fontId="41" fillId="0" borderId="11" applyNumberFormat="0" applyFill="0" applyAlignment="0" applyProtection="0"/>
    <xf numFmtId="0" fontId="40" fillId="0" borderId="11"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45">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22" fontId="0" fillId="40" borderId="2" xfId="0" applyNumberFormat="1" applyFill="1" applyBorder="1" applyAlignment="1">
      <alignment horizontal="left" vertical="top" wrapText="1"/>
    </xf>
    <xf numFmtId="0" fontId="0" fillId="40" borderId="2" xfId="0" applyFill="1" applyBorder="1" applyAlignment="1">
      <alignment horizontal="left" vertical="top" wrapText="1"/>
    </xf>
    <xf numFmtId="0" fontId="46" fillId="40" borderId="0" xfId="0" applyFont="1" applyFill="1" applyAlignment="1">
      <alignment horizontal="left" vertical="top" wrapText="1"/>
    </xf>
    <xf numFmtId="0" fontId="0" fillId="0" borderId="2" xfId="0" applyBorder="1" applyAlignment="1">
      <alignment horizontal="left" vertical="top" wrapText="1"/>
    </xf>
    <xf numFmtId="22" fontId="0" fillId="0" borderId="2" xfId="0" applyNumberFormat="1" applyBorder="1" applyAlignment="1">
      <alignment horizontal="left" vertical="top" wrapText="1"/>
    </xf>
    <xf numFmtId="0" fontId="0" fillId="0" borderId="0" xfId="0" applyAlignment="1">
      <alignment horizontal="left" vertical="top" wrapText="1"/>
    </xf>
    <xf numFmtId="22" fontId="0" fillId="0" borderId="0" xfId="0" applyNumberFormat="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0" fillId="0" borderId="13" xfId="0" applyBorder="1" applyAlignment="1">
      <alignment vertical="top"/>
    </xf>
    <xf numFmtId="0" fontId="0" fillId="0" borderId="13" xfId="0" applyBorder="1" applyAlignment="1">
      <alignment vertical="top" wrapText="1"/>
    </xf>
    <xf numFmtId="22" fontId="0" fillId="0" borderId="13"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44"/>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6" t="s">
        <v>15</v>
      </c>
      <c r="B1" s="36"/>
      <c r="C1" s="36"/>
      <c r="D1" s="36"/>
      <c r="E1" s="36"/>
      <c r="F1" s="36"/>
    </row>
    <row r="2" spans="1:6" s="2" customFormat="1" ht="26" x14ac:dyDescent="0.35">
      <c r="A2" s="40">
        <v>46260</v>
      </c>
      <c r="B2" s="40"/>
      <c r="C2" s="44" t="str">
        <f>"to "&amp;TEXT($A$2+6,"dddd d mmm yyyy")</f>
        <v>to Tuesday 1 Sep 2026</v>
      </c>
      <c r="D2" s="44"/>
      <c r="E2" s="44"/>
      <c r="F2" s="44"/>
    </row>
    <row r="3" spans="1:6" ht="12.75" customHeight="1" x14ac:dyDescent="0.35">
      <c r="A3" s="37" t="s">
        <v>13</v>
      </c>
      <c r="B3" s="37"/>
      <c r="C3" s="37"/>
      <c r="D3" s="37"/>
      <c r="E3" s="37"/>
      <c r="F3" s="37"/>
    </row>
    <row r="4" spans="1:6" s="2" customFormat="1" ht="27.5" x14ac:dyDescent="0.35">
      <c r="A4" s="42" t="str">
        <f>TEXT($A$2,"dddd, d mmmm")</f>
        <v>Wednesday, 26 August</v>
      </c>
      <c r="B4" s="42"/>
      <c r="C4" s="42"/>
      <c r="D4" s="42"/>
      <c r="E4" s="42"/>
      <c r="F4" s="42"/>
    </row>
    <row r="5" spans="1:6" s="2" customFormat="1" ht="27.5" x14ac:dyDescent="0.35">
      <c r="A5" s="41" t="str">
        <f>TEXT($A$2+1,"dddd, d mmmm")</f>
        <v>Thursday, 27 August</v>
      </c>
      <c r="B5" s="41"/>
      <c r="C5" s="41"/>
      <c r="D5" s="41"/>
      <c r="E5" s="41"/>
      <c r="F5" s="41"/>
    </row>
    <row r="6" spans="1:6" s="2" customFormat="1" ht="27.5" x14ac:dyDescent="0.35">
      <c r="A6" s="42" t="str">
        <f>TEXT($A$2+2,"dddd, d mmmm")</f>
        <v>Friday, 28 August</v>
      </c>
      <c r="B6" s="42"/>
      <c r="C6" s="42"/>
      <c r="D6" s="42"/>
      <c r="E6" s="42"/>
      <c r="F6" s="42"/>
    </row>
    <row r="7" spans="1:6" s="2" customFormat="1" ht="27.5" x14ac:dyDescent="0.35">
      <c r="A7" s="41" t="str">
        <f>TEXT($A$2+3,"dddd, d mmmm")</f>
        <v>Saturday, 29 August</v>
      </c>
      <c r="B7" s="41"/>
      <c r="C7" s="41"/>
      <c r="D7" s="41"/>
      <c r="E7" s="41"/>
      <c r="F7" s="41"/>
    </row>
    <row r="8" spans="1:6" s="2" customFormat="1" ht="27.5" x14ac:dyDescent="0.35">
      <c r="A8" s="43" t="str">
        <f>TEXT($A$2+4,"dddd, d mmmm")</f>
        <v>Sunday, 30 August</v>
      </c>
      <c r="B8" s="43"/>
      <c r="C8" s="43"/>
      <c r="D8" s="43"/>
      <c r="E8" s="43"/>
      <c r="F8" s="43"/>
    </row>
    <row r="9" spans="1:6" s="2" customFormat="1" ht="27.5" x14ac:dyDescent="0.35">
      <c r="A9" s="41" t="str">
        <f>TEXT($A$2+5,"dddd, d mmmm")</f>
        <v>Monday, 31 August</v>
      </c>
      <c r="B9" s="41"/>
      <c r="C9" s="41"/>
      <c r="D9" s="41"/>
      <c r="E9" s="41"/>
      <c r="F9" s="41"/>
    </row>
    <row r="10" spans="1:6" s="2" customFormat="1" ht="27.5" x14ac:dyDescent="0.35">
      <c r="A10" s="42" t="str">
        <f>TEXT($A$2+6,"dddd, d mmmm")</f>
        <v>Tuesday, 1 September</v>
      </c>
      <c r="B10" s="42"/>
      <c r="C10" s="42"/>
      <c r="D10" s="42"/>
      <c r="E10" s="42"/>
      <c r="F10" s="42"/>
    </row>
    <row r="11" spans="1:6" s="9" customFormat="1" ht="46.5" customHeight="1" x14ac:dyDescent="0.35">
      <c r="A11" s="38" t="s">
        <v>16</v>
      </c>
      <c r="B11" s="38"/>
      <c r="C11" s="38"/>
      <c r="D11" s="38"/>
      <c r="E11" s="38"/>
      <c r="F11" s="38"/>
    </row>
    <row r="12" spans="1:6" s="10" customFormat="1" ht="47.25" customHeight="1" x14ac:dyDescent="0.35">
      <c r="A12" s="39" t="s">
        <v>14</v>
      </c>
      <c r="B12" s="39"/>
      <c r="C12" s="39"/>
      <c r="D12" s="39"/>
      <c r="E12" s="39"/>
      <c r="F12" s="39"/>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row r="139" s="1" customFormat="1" hidden="1" x14ac:dyDescent="0.35"/>
    <row r="140" s="1" customFormat="1" hidden="1" x14ac:dyDescent="0.35"/>
    <row r="141" s="1" customFormat="1" hidden="1" x14ac:dyDescent="0.35"/>
    <row r="142" s="1" customFormat="1" hidden="1" x14ac:dyDescent="0.35"/>
    <row r="143" s="1" customFormat="1" hidden="1" x14ac:dyDescent="0.35"/>
    <row r="144"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Wednesday!A3" display="Wednesday!A3" xr:uid="{7DE4A605-4260-40B2-A084-1D06D1A971B2}"/>
    <hyperlink ref="A5:F5" location="Thursday!A3" display="Thursday!A3" xr:uid="{3452476D-5801-4C2D-99ED-71DCCF499C47}"/>
    <hyperlink ref="A6:F6" location="Friday!A3" display="Friday!A3" xr:uid="{6C320A7D-64ED-43FC-B74B-4657F54DC60A}"/>
    <hyperlink ref="A7:F7" location="Saturday!A3" display="Saturday!A3" xr:uid="{840106FB-CF08-44B2-A5FC-F315E2BB9DE3}"/>
    <hyperlink ref="A8:F8" location="Sunday!A1" display="Sunday!A1" xr:uid="{8B0DE19A-8E3C-4C40-A565-EEC6F75C451B}"/>
    <hyperlink ref="A9:F9" location="Monday!A1" display="Monday!A1" xr:uid="{EA033183-595F-47B8-9001-AF05B3330931}"/>
    <hyperlink ref="A10:F10" location="Tuesday!A3" display="Tues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219"/>
  <sheetViews>
    <sheetView tabSelected="1"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35" t="str">
        <f>"Daily closure report: "&amp;'Front page'!A4</f>
        <v>Daily closure report: Wednesday, 26 August</v>
      </c>
      <c r="B1" s="35"/>
      <c r="C1" s="35"/>
      <c r="D1" s="35"/>
      <c r="E1" s="35"/>
      <c r="F1" s="35"/>
    </row>
    <row r="2" spans="1:6" s="5" customFormat="1" ht="28" x14ac:dyDescent="0.35">
      <c r="A2" s="12" t="s">
        <v>9</v>
      </c>
      <c r="B2" s="12" t="s">
        <v>1</v>
      </c>
      <c r="C2" s="12" t="s">
        <v>0</v>
      </c>
      <c r="D2" s="11" t="s">
        <v>11</v>
      </c>
      <c r="E2" s="11" t="s">
        <v>12</v>
      </c>
      <c r="F2" s="12" t="s">
        <v>10</v>
      </c>
    </row>
    <row r="3" spans="1:6" s="6" customFormat="1" ht="62" x14ac:dyDescent="0.35">
      <c r="A3" s="29" t="s">
        <v>45</v>
      </c>
      <c r="B3" s="29" t="s">
        <v>2</v>
      </c>
      <c r="C3" s="30" t="s">
        <v>515</v>
      </c>
      <c r="D3" s="31">
        <v>46260.875</v>
      </c>
      <c r="E3" s="31">
        <v>46261.208333333299</v>
      </c>
      <c r="F3" s="30" t="s">
        <v>516</v>
      </c>
    </row>
    <row r="4" spans="1:6" s="6" customFormat="1" ht="77.5" x14ac:dyDescent="0.35">
      <c r="A4" s="29" t="s">
        <v>45</v>
      </c>
      <c r="B4" s="29" t="s">
        <v>2</v>
      </c>
      <c r="C4" s="30" t="s">
        <v>519</v>
      </c>
      <c r="D4" s="31">
        <v>46260.833333333299</v>
      </c>
      <c r="E4" s="31">
        <v>46261.25</v>
      </c>
      <c r="F4" s="30" t="s">
        <v>520</v>
      </c>
    </row>
    <row r="5" spans="1:6" s="6" customFormat="1" ht="77.5" x14ac:dyDescent="0.35">
      <c r="A5" s="29" t="s">
        <v>45</v>
      </c>
      <c r="B5" s="29" t="s">
        <v>23</v>
      </c>
      <c r="C5" s="30" t="s">
        <v>53</v>
      </c>
      <c r="D5" s="31">
        <v>45847.208333333299</v>
      </c>
      <c r="E5" s="31">
        <v>46507.999305555597</v>
      </c>
      <c r="F5" s="30" t="s">
        <v>54</v>
      </c>
    </row>
    <row r="6" spans="1:6" s="6" customFormat="1" ht="77.5" x14ac:dyDescent="0.35">
      <c r="A6" s="29" t="s">
        <v>45</v>
      </c>
      <c r="B6" s="29" t="s">
        <v>6</v>
      </c>
      <c r="C6" s="30" t="s">
        <v>698</v>
      </c>
      <c r="D6" s="31">
        <v>46260.833333333299</v>
      </c>
      <c r="E6" s="31">
        <v>46261.25</v>
      </c>
      <c r="F6" s="30" t="s">
        <v>699</v>
      </c>
    </row>
    <row r="7" spans="1:6" s="6" customFormat="1" ht="62" x14ac:dyDescent="0.35">
      <c r="A7" s="29" t="s">
        <v>45</v>
      </c>
      <c r="B7" s="29" t="s">
        <v>6</v>
      </c>
      <c r="C7" s="30" t="s">
        <v>114</v>
      </c>
      <c r="D7" s="31">
        <v>46260.833333333299</v>
      </c>
      <c r="E7" s="31">
        <v>46261.25</v>
      </c>
      <c r="F7" s="30" t="s">
        <v>115</v>
      </c>
    </row>
    <row r="8" spans="1:6" s="6" customFormat="1" ht="62" x14ac:dyDescent="0.35">
      <c r="A8" s="29" t="s">
        <v>45</v>
      </c>
      <c r="B8" s="29" t="s">
        <v>6</v>
      </c>
      <c r="C8" s="30" t="s">
        <v>116</v>
      </c>
      <c r="D8" s="31">
        <v>46260.833333333299</v>
      </c>
      <c r="E8" s="31">
        <v>46261.25</v>
      </c>
      <c r="F8" s="30" t="s">
        <v>115</v>
      </c>
    </row>
    <row r="9" spans="1:6" s="6" customFormat="1" ht="46.5" x14ac:dyDescent="0.35">
      <c r="A9" s="29" t="s">
        <v>45</v>
      </c>
      <c r="B9" s="29" t="s">
        <v>6</v>
      </c>
      <c r="C9" s="30" t="s">
        <v>117</v>
      </c>
      <c r="D9" s="31">
        <v>46260.833333333299</v>
      </c>
      <c r="E9" s="31">
        <v>46261.25</v>
      </c>
      <c r="F9" s="30" t="s">
        <v>115</v>
      </c>
    </row>
    <row r="10" spans="1:6" s="6" customFormat="1" ht="77.5" x14ac:dyDescent="0.35">
      <c r="A10" s="29" t="s">
        <v>45</v>
      </c>
      <c r="B10" s="29" t="s">
        <v>6</v>
      </c>
      <c r="C10" s="30" t="s">
        <v>118</v>
      </c>
      <c r="D10" s="31">
        <v>46260.833333333299</v>
      </c>
      <c r="E10" s="31">
        <v>46261.25</v>
      </c>
      <c r="F10" s="30" t="s">
        <v>115</v>
      </c>
    </row>
    <row r="11" spans="1:6" s="6" customFormat="1" ht="46.5" x14ac:dyDescent="0.35">
      <c r="A11" s="29" t="s">
        <v>45</v>
      </c>
      <c r="B11" s="29" t="s">
        <v>6</v>
      </c>
      <c r="C11" s="30" t="s">
        <v>119</v>
      </c>
      <c r="D11" s="31">
        <v>46260.833333333299</v>
      </c>
      <c r="E11" s="31">
        <v>46261.25</v>
      </c>
      <c r="F11" s="30" t="s">
        <v>115</v>
      </c>
    </row>
    <row r="12" spans="1:6" s="6" customFormat="1" ht="46.5" x14ac:dyDescent="0.35">
      <c r="A12" s="29" t="s">
        <v>45</v>
      </c>
      <c r="B12" s="29" t="s">
        <v>6</v>
      </c>
      <c r="C12" s="30" t="s">
        <v>120</v>
      </c>
      <c r="D12" s="31">
        <v>46260.833333333299</v>
      </c>
      <c r="E12" s="31">
        <v>46261.25</v>
      </c>
      <c r="F12" s="30" t="s">
        <v>115</v>
      </c>
    </row>
    <row r="13" spans="1:6" s="6" customFormat="1" ht="46.5" x14ac:dyDescent="0.35">
      <c r="A13" s="29" t="s">
        <v>45</v>
      </c>
      <c r="B13" s="29" t="s">
        <v>2</v>
      </c>
      <c r="C13" s="30" t="s">
        <v>734</v>
      </c>
      <c r="D13" s="31">
        <v>46260.833333333299</v>
      </c>
      <c r="E13" s="31">
        <v>46261.25</v>
      </c>
      <c r="F13" s="30" t="s">
        <v>588</v>
      </c>
    </row>
    <row r="14" spans="1:6" s="6" customFormat="1" ht="46.5" x14ac:dyDescent="0.35">
      <c r="A14" s="29" t="s">
        <v>45</v>
      </c>
      <c r="B14" s="29" t="s">
        <v>2</v>
      </c>
      <c r="C14" s="30" t="s">
        <v>735</v>
      </c>
      <c r="D14" s="31">
        <v>46260.833333333299</v>
      </c>
      <c r="E14" s="31">
        <v>46261.25</v>
      </c>
      <c r="F14" s="30" t="s">
        <v>588</v>
      </c>
    </row>
    <row r="15" spans="1:6" s="6" customFormat="1" ht="46.5" x14ac:dyDescent="0.35">
      <c r="A15" s="29" t="s">
        <v>61</v>
      </c>
      <c r="B15" s="29" t="s">
        <v>2</v>
      </c>
      <c r="C15" s="30" t="s">
        <v>62</v>
      </c>
      <c r="D15" s="31">
        <v>46260.875</v>
      </c>
      <c r="E15" s="31">
        <v>46261.208333333299</v>
      </c>
      <c r="F15" s="30" t="s">
        <v>63</v>
      </c>
    </row>
    <row r="16" spans="1:6" s="6" customFormat="1" ht="46.5" x14ac:dyDescent="0.35">
      <c r="A16" s="29" t="s">
        <v>61</v>
      </c>
      <c r="B16" s="29" t="s">
        <v>6</v>
      </c>
      <c r="C16" s="30" t="s">
        <v>730</v>
      </c>
      <c r="D16" s="31">
        <v>46260.875</v>
      </c>
      <c r="E16" s="31">
        <v>46261.208333333299</v>
      </c>
      <c r="F16" s="30" t="s">
        <v>731</v>
      </c>
    </row>
    <row r="17" spans="1:6" s="6" customFormat="1" ht="46.5" x14ac:dyDescent="0.35">
      <c r="A17" s="29" t="s">
        <v>61</v>
      </c>
      <c r="B17" s="29" t="s">
        <v>2</v>
      </c>
      <c r="C17" s="30" t="s">
        <v>576</v>
      </c>
      <c r="D17" s="31">
        <v>46260.833333333299</v>
      </c>
      <c r="E17" s="31">
        <v>46261.25</v>
      </c>
      <c r="F17" s="30" t="s">
        <v>197</v>
      </c>
    </row>
    <row r="18" spans="1:6" s="6" customFormat="1" ht="62" x14ac:dyDescent="0.35">
      <c r="A18" s="29" t="s">
        <v>61</v>
      </c>
      <c r="B18" s="29" t="s">
        <v>2</v>
      </c>
      <c r="C18" s="30" t="s">
        <v>577</v>
      </c>
      <c r="D18" s="31">
        <v>46260.833333333299</v>
      </c>
      <c r="E18" s="31">
        <v>46261.25</v>
      </c>
      <c r="F18" s="30" t="s">
        <v>197</v>
      </c>
    </row>
    <row r="19" spans="1:6" s="6" customFormat="1" ht="46.5" x14ac:dyDescent="0.35">
      <c r="A19" s="29" t="s">
        <v>61</v>
      </c>
      <c r="B19" s="29" t="s">
        <v>2</v>
      </c>
      <c r="C19" s="30" t="s">
        <v>578</v>
      </c>
      <c r="D19" s="31">
        <v>46260.833333333299</v>
      </c>
      <c r="E19" s="31">
        <v>46261.25</v>
      </c>
      <c r="F19" s="30" t="s">
        <v>197</v>
      </c>
    </row>
    <row r="20" spans="1:6" s="6" customFormat="1" ht="46.5" x14ac:dyDescent="0.35">
      <c r="A20" s="29" t="s">
        <v>61</v>
      </c>
      <c r="B20" s="29" t="s">
        <v>2</v>
      </c>
      <c r="C20" s="30" t="s">
        <v>579</v>
      </c>
      <c r="D20" s="31">
        <v>46260.833333333299</v>
      </c>
      <c r="E20" s="31">
        <v>46261.25</v>
      </c>
      <c r="F20" s="30" t="s">
        <v>197</v>
      </c>
    </row>
    <row r="21" spans="1:6" s="6" customFormat="1" ht="46.5" x14ac:dyDescent="0.35">
      <c r="A21" s="29" t="s">
        <v>61</v>
      </c>
      <c r="B21" s="29" t="s">
        <v>2</v>
      </c>
      <c r="C21" s="30" t="s">
        <v>580</v>
      </c>
      <c r="D21" s="31">
        <v>46260.833333333299</v>
      </c>
      <c r="E21" s="31">
        <v>46261.25</v>
      </c>
      <c r="F21" s="30" t="s">
        <v>197</v>
      </c>
    </row>
    <row r="22" spans="1:6" s="6" customFormat="1" ht="46.5" x14ac:dyDescent="0.35">
      <c r="A22" s="29" t="s">
        <v>61</v>
      </c>
      <c r="B22" s="29" t="s">
        <v>2</v>
      </c>
      <c r="C22" s="30" t="s">
        <v>736</v>
      </c>
      <c r="D22" s="31">
        <v>46260.833333333299</v>
      </c>
      <c r="E22" s="31">
        <v>46261.25</v>
      </c>
      <c r="F22" s="30" t="s">
        <v>591</v>
      </c>
    </row>
    <row r="23" spans="1:6" s="6" customFormat="1" ht="62" x14ac:dyDescent="0.35">
      <c r="A23" s="29" t="s">
        <v>61</v>
      </c>
      <c r="B23" s="29" t="s">
        <v>2</v>
      </c>
      <c r="C23" s="30" t="s">
        <v>737</v>
      </c>
      <c r="D23" s="31">
        <v>46260.833333333299</v>
      </c>
      <c r="E23" s="31">
        <v>46261.25</v>
      </c>
      <c r="F23" s="30" t="s">
        <v>591</v>
      </c>
    </row>
    <row r="24" spans="1:6" s="6" customFormat="1" ht="62" x14ac:dyDescent="0.35">
      <c r="A24" s="29" t="s">
        <v>405</v>
      </c>
      <c r="B24" s="29" t="s">
        <v>6</v>
      </c>
      <c r="C24" s="30" t="s">
        <v>406</v>
      </c>
      <c r="D24" s="31">
        <v>46260.833333333299</v>
      </c>
      <c r="E24" s="31">
        <v>46261.166666666701</v>
      </c>
      <c r="F24" s="30" t="s">
        <v>407</v>
      </c>
    </row>
    <row r="25" spans="1:6" s="6" customFormat="1" ht="62" x14ac:dyDescent="0.35">
      <c r="A25" s="29" t="s">
        <v>528</v>
      </c>
      <c r="B25" s="29" t="s">
        <v>2</v>
      </c>
      <c r="C25" s="30" t="s">
        <v>696</v>
      </c>
      <c r="D25" s="31">
        <v>46260.875</v>
      </c>
      <c r="E25" s="31">
        <v>46261.208333333299</v>
      </c>
      <c r="F25" s="30" t="s">
        <v>530</v>
      </c>
    </row>
    <row r="26" spans="1:6" s="6" customFormat="1" ht="62" x14ac:dyDescent="0.35">
      <c r="A26" s="29" t="s">
        <v>528</v>
      </c>
      <c r="B26" s="29" t="s">
        <v>2</v>
      </c>
      <c r="C26" s="30" t="s">
        <v>697</v>
      </c>
      <c r="D26" s="31">
        <v>46260.875</v>
      </c>
      <c r="E26" s="31">
        <v>46261.208333333299</v>
      </c>
      <c r="F26" s="30" t="s">
        <v>530</v>
      </c>
    </row>
    <row r="27" spans="1:6" s="6" customFormat="1" ht="62" x14ac:dyDescent="0.35">
      <c r="A27" s="29" t="s">
        <v>17</v>
      </c>
      <c r="B27" s="29" t="s">
        <v>6</v>
      </c>
      <c r="C27" s="30" t="s">
        <v>18</v>
      </c>
      <c r="D27" s="31">
        <v>46260.875</v>
      </c>
      <c r="E27" s="31">
        <v>46261.208333333299</v>
      </c>
      <c r="F27" s="30" t="s">
        <v>19</v>
      </c>
    </row>
    <row r="28" spans="1:6" s="6" customFormat="1" ht="62" x14ac:dyDescent="0.35">
      <c r="A28" s="29" t="s">
        <v>17</v>
      </c>
      <c r="B28" s="29" t="s">
        <v>6</v>
      </c>
      <c r="C28" s="30" t="s">
        <v>517</v>
      </c>
      <c r="D28" s="31">
        <v>46260.875</v>
      </c>
      <c r="E28" s="31">
        <v>46261.208333333299</v>
      </c>
      <c r="F28" s="30" t="s">
        <v>518</v>
      </c>
    </row>
    <row r="29" spans="1:6" s="6" customFormat="1" ht="62" x14ac:dyDescent="0.35">
      <c r="A29" s="29" t="s">
        <v>17</v>
      </c>
      <c r="B29" s="29" t="s">
        <v>6</v>
      </c>
      <c r="C29" s="30" t="s">
        <v>521</v>
      </c>
      <c r="D29" s="31">
        <v>46260.875</v>
      </c>
      <c r="E29" s="31">
        <v>46261.208333333299</v>
      </c>
      <c r="F29" s="30" t="s">
        <v>522</v>
      </c>
    </row>
    <row r="30" spans="1:6" s="6" customFormat="1" ht="93" x14ac:dyDescent="0.35">
      <c r="A30" s="29" t="s">
        <v>29</v>
      </c>
      <c r="B30" s="29" t="s">
        <v>5</v>
      </c>
      <c r="C30" s="30" t="s">
        <v>693</v>
      </c>
      <c r="D30" s="31">
        <v>46260.833333333299</v>
      </c>
      <c r="E30" s="31">
        <v>46261.25</v>
      </c>
      <c r="F30" s="30" t="s">
        <v>694</v>
      </c>
    </row>
    <row r="31" spans="1:6" s="6" customFormat="1" ht="93" x14ac:dyDescent="0.35">
      <c r="A31" s="29" t="s">
        <v>29</v>
      </c>
      <c r="B31" s="29" t="s">
        <v>4</v>
      </c>
      <c r="C31" s="30" t="s">
        <v>695</v>
      </c>
      <c r="D31" s="31">
        <v>46260.833333333299</v>
      </c>
      <c r="E31" s="31">
        <v>46261.25</v>
      </c>
      <c r="F31" s="30" t="s">
        <v>694</v>
      </c>
    </row>
    <row r="32" spans="1:6" s="6" customFormat="1" ht="93" x14ac:dyDescent="0.35">
      <c r="A32" s="29" t="s">
        <v>29</v>
      </c>
      <c r="B32" s="29" t="s">
        <v>5</v>
      </c>
      <c r="C32" s="30" t="s">
        <v>523</v>
      </c>
      <c r="D32" s="31">
        <v>46260.833333333299</v>
      </c>
      <c r="E32" s="31">
        <v>46261.25</v>
      </c>
      <c r="F32" s="30" t="s">
        <v>524</v>
      </c>
    </row>
    <row r="33" spans="1:6" s="6" customFormat="1" ht="93" x14ac:dyDescent="0.35">
      <c r="A33" s="29" t="s">
        <v>29</v>
      </c>
      <c r="B33" s="29" t="s">
        <v>5</v>
      </c>
      <c r="C33" s="30" t="s">
        <v>42</v>
      </c>
      <c r="D33" s="31">
        <v>46260.833333333299</v>
      </c>
      <c r="E33" s="31">
        <v>46261.25</v>
      </c>
      <c r="F33" s="30" t="s">
        <v>43</v>
      </c>
    </row>
    <row r="34" spans="1:6" s="6" customFormat="1" ht="93" x14ac:dyDescent="0.35">
      <c r="A34" s="29" t="s">
        <v>29</v>
      </c>
      <c r="B34" s="29" t="s">
        <v>5</v>
      </c>
      <c r="C34" s="30" t="s">
        <v>44</v>
      </c>
      <c r="D34" s="31">
        <v>46260.833333333299</v>
      </c>
      <c r="E34" s="31">
        <v>46261.25</v>
      </c>
      <c r="F34" s="30" t="s">
        <v>43</v>
      </c>
    </row>
    <row r="35" spans="1:6" s="6" customFormat="1" ht="93" x14ac:dyDescent="0.35">
      <c r="A35" s="29" t="s">
        <v>29</v>
      </c>
      <c r="B35" s="29" t="s">
        <v>5</v>
      </c>
      <c r="C35" s="30" t="s">
        <v>525</v>
      </c>
      <c r="D35" s="31">
        <v>46260.833333333299</v>
      </c>
      <c r="E35" s="31">
        <v>46261.25</v>
      </c>
      <c r="F35" s="30" t="s">
        <v>526</v>
      </c>
    </row>
    <row r="36" spans="1:6" s="6" customFormat="1" ht="93" x14ac:dyDescent="0.35">
      <c r="A36" s="29" t="s">
        <v>29</v>
      </c>
      <c r="B36" s="29" t="s">
        <v>4</v>
      </c>
      <c r="C36" s="30" t="s">
        <v>527</v>
      </c>
      <c r="D36" s="31">
        <v>46260.833333333299</v>
      </c>
      <c r="E36" s="31">
        <v>46261.25</v>
      </c>
      <c r="F36" s="30" t="s">
        <v>526</v>
      </c>
    </row>
    <row r="37" spans="1:6" s="6" customFormat="1" ht="93" x14ac:dyDescent="0.35">
      <c r="A37" s="29" t="s">
        <v>29</v>
      </c>
      <c r="B37" s="29" t="s">
        <v>5</v>
      </c>
      <c r="C37" s="30" t="s">
        <v>708</v>
      </c>
      <c r="D37" s="31">
        <v>46260.541666666701</v>
      </c>
      <c r="E37" s="31">
        <v>46261.25</v>
      </c>
      <c r="F37" s="30" t="s">
        <v>709</v>
      </c>
    </row>
    <row r="38" spans="1:6" s="6" customFormat="1" ht="77.5" x14ac:dyDescent="0.35">
      <c r="A38" s="29" t="s">
        <v>210</v>
      </c>
      <c r="B38" s="29" t="s">
        <v>6</v>
      </c>
      <c r="C38" s="30" t="s">
        <v>593</v>
      </c>
      <c r="D38" s="31">
        <v>46260.833333333299</v>
      </c>
      <c r="E38" s="31">
        <v>46261.25</v>
      </c>
      <c r="F38" s="30" t="s">
        <v>594</v>
      </c>
    </row>
    <row r="39" spans="1:6" s="14" customFormat="1" ht="77.5" x14ac:dyDescent="0.35">
      <c r="A39" s="29" t="s">
        <v>210</v>
      </c>
      <c r="B39" s="29" t="s">
        <v>2</v>
      </c>
      <c r="C39" s="30" t="s">
        <v>595</v>
      </c>
      <c r="D39" s="31">
        <v>46260.833333333299</v>
      </c>
      <c r="E39" s="31">
        <v>46261.25</v>
      </c>
      <c r="F39" s="30" t="s">
        <v>594</v>
      </c>
    </row>
    <row r="40" spans="1:6" s="6" customFormat="1" ht="77.5" x14ac:dyDescent="0.35">
      <c r="A40" s="29" t="s">
        <v>210</v>
      </c>
      <c r="B40" s="29" t="s">
        <v>6</v>
      </c>
      <c r="C40" s="30" t="s">
        <v>738</v>
      </c>
      <c r="D40" s="31">
        <v>46260.833333333299</v>
      </c>
      <c r="E40" s="31">
        <v>46261.25</v>
      </c>
      <c r="F40" s="30" t="s">
        <v>739</v>
      </c>
    </row>
    <row r="41" spans="1:6" s="6" customFormat="1" ht="93" x14ac:dyDescent="0.35">
      <c r="A41" s="29" t="s">
        <v>210</v>
      </c>
      <c r="B41" s="29" t="s">
        <v>2</v>
      </c>
      <c r="C41" s="30" t="s">
        <v>596</v>
      </c>
      <c r="D41" s="31">
        <v>46260.833333333299</v>
      </c>
      <c r="E41" s="31">
        <v>46261.25</v>
      </c>
      <c r="F41" s="30" t="s">
        <v>597</v>
      </c>
    </row>
    <row r="42" spans="1:6" s="6" customFormat="1" ht="93" x14ac:dyDescent="0.35">
      <c r="A42" s="29" t="s">
        <v>358</v>
      </c>
      <c r="B42" s="29" t="s">
        <v>5</v>
      </c>
      <c r="C42" s="30" t="s">
        <v>639</v>
      </c>
      <c r="D42" s="31">
        <v>46260.833333333299</v>
      </c>
      <c r="E42" s="31">
        <v>46261.25</v>
      </c>
      <c r="F42" s="30" t="s">
        <v>371</v>
      </c>
    </row>
    <row r="43" spans="1:6" s="6" customFormat="1" ht="93" x14ac:dyDescent="0.35">
      <c r="A43" s="29" t="s">
        <v>358</v>
      </c>
      <c r="B43" s="29" t="s">
        <v>4</v>
      </c>
      <c r="C43" s="30" t="s">
        <v>765</v>
      </c>
      <c r="D43" s="31">
        <v>46260.875</v>
      </c>
      <c r="E43" s="31">
        <v>46261.25</v>
      </c>
      <c r="F43" s="30" t="s">
        <v>766</v>
      </c>
    </row>
    <row r="44" spans="1:6" s="6" customFormat="1" ht="93" x14ac:dyDescent="0.35">
      <c r="A44" s="29" t="s">
        <v>358</v>
      </c>
      <c r="B44" s="29" t="s">
        <v>2</v>
      </c>
      <c r="C44" s="30" t="s">
        <v>772</v>
      </c>
      <c r="D44" s="31">
        <v>46260.916666666701</v>
      </c>
      <c r="E44" s="31">
        <v>46261.229166666701</v>
      </c>
      <c r="F44" s="30" t="s">
        <v>773</v>
      </c>
    </row>
    <row r="45" spans="1:6" s="6" customFormat="1" ht="93" x14ac:dyDescent="0.35">
      <c r="A45" s="29" t="s">
        <v>348</v>
      </c>
      <c r="B45" s="29" t="s">
        <v>23</v>
      </c>
      <c r="C45" s="30" t="s">
        <v>637</v>
      </c>
      <c r="D45" s="31">
        <v>46260.833333333299</v>
      </c>
      <c r="E45" s="31">
        <v>46261.25</v>
      </c>
      <c r="F45" s="30" t="s">
        <v>638</v>
      </c>
    </row>
    <row r="46" spans="1:6" s="6" customFormat="1" ht="93" x14ac:dyDescent="0.35">
      <c r="A46" s="29" t="s">
        <v>368</v>
      </c>
      <c r="B46" s="29" t="s">
        <v>2</v>
      </c>
      <c r="C46" s="30" t="s">
        <v>379</v>
      </c>
      <c r="D46" s="31">
        <v>46260.833333333299</v>
      </c>
      <c r="E46" s="31">
        <v>46261.25</v>
      </c>
      <c r="F46" s="30" t="s">
        <v>380</v>
      </c>
    </row>
    <row r="47" spans="1:6" s="14" customFormat="1" ht="77.5" x14ac:dyDescent="0.35">
      <c r="A47" s="29" t="s">
        <v>645</v>
      </c>
      <c r="B47" s="29" t="s">
        <v>23</v>
      </c>
      <c r="C47" s="30" t="s">
        <v>805</v>
      </c>
      <c r="D47" s="31">
        <v>46260.875</v>
      </c>
      <c r="E47" s="31">
        <v>46261.25</v>
      </c>
      <c r="F47" s="30" t="s">
        <v>646</v>
      </c>
    </row>
    <row r="48" spans="1:6" s="6" customFormat="1" ht="77.5" x14ac:dyDescent="0.35">
      <c r="A48" s="29" t="s">
        <v>351</v>
      </c>
      <c r="B48" s="29" t="s">
        <v>4</v>
      </c>
      <c r="C48" s="30" t="s">
        <v>757</v>
      </c>
      <c r="D48" s="31">
        <v>46260.875</v>
      </c>
      <c r="E48" s="31">
        <v>46261.25</v>
      </c>
      <c r="F48" s="30" t="s">
        <v>758</v>
      </c>
    </row>
    <row r="49" spans="1:6" s="6" customFormat="1" ht="46.5" x14ac:dyDescent="0.35">
      <c r="A49" s="29" t="s">
        <v>351</v>
      </c>
      <c r="B49" s="29" t="s">
        <v>4</v>
      </c>
      <c r="C49" s="30" t="s">
        <v>763</v>
      </c>
      <c r="D49" s="31">
        <v>46260.833333333299</v>
      </c>
      <c r="E49" s="31">
        <v>46261.25</v>
      </c>
      <c r="F49" s="30" t="s">
        <v>764</v>
      </c>
    </row>
    <row r="50" spans="1:6" s="6" customFormat="1" ht="77.5" x14ac:dyDescent="0.35">
      <c r="A50" s="29" t="s">
        <v>351</v>
      </c>
      <c r="B50" s="29" t="s">
        <v>4</v>
      </c>
      <c r="C50" s="30" t="s">
        <v>643</v>
      </c>
      <c r="D50" s="31">
        <v>46260.833333333299</v>
      </c>
      <c r="E50" s="31">
        <v>46261.25</v>
      </c>
      <c r="F50" s="30" t="s">
        <v>644</v>
      </c>
    </row>
    <row r="51" spans="1:6" s="6" customFormat="1" ht="77.5" x14ac:dyDescent="0.35">
      <c r="A51" s="29" t="s">
        <v>387</v>
      </c>
      <c r="B51" s="29" t="s">
        <v>2</v>
      </c>
      <c r="C51" s="30" t="s">
        <v>388</v>
      </c>
      <c r="D51" s="31">
        <v>46260.875</v>
      </c>
      <c r="E51" s="31">
        <v>46261.229166666701</v>
      </c>
      <c r="F51" s="30" t="s">
        <v>389</v>
      </c>
    </row>
    <row r="52" spans="1:6" s="6" customFormat="1" ht="77.5" x14ac:dyDescent="0.35">
      <c r="A52" s="29" t="s">
        <v>387</v>
      </c>
      <c r="B52" s="29" t="s">
        <v>8</v>
      </c>
      <c r="C52" s="30" t="s">
        <v>774</v>
      </c>
      <c r="D52" s="31">
        <v>46260.916666666701</v>
      </c>
      <c r="E52" s="31">
        <v>46261.229166666701</v>
      </c>
      <c r="F52" s="30" t="s">
        <v>775</v>
      </c>
    </row>
    <row r="53" spans="1:6" s="14" customFormat="1" ht="62" x14ac:dyDescent="0.35">
      <c r="A53" s="29" t="s">
        <v>319</v>
      </c>
      <c r="B53" s="29" t="s">
        <v>2</v>
      </c>
      <c r="C53" s="30" t="s">
        <v>759</v>
      </c>
      <c r="D53" s="31">
        <v>46260.875</v>
      </c>
      <c r="E53" s="31">
        <v>46261.25</v>
      </c>
      <c r="F53" s="30" t="s">
        <v>760</v>
      </c>
    </row>
    <row r="54" spans="1:6" s="14" customFormat="1" ht="62" x14ac:dyDescent="0.35">
      <c r="A54" s="29" t="s">
        <v>319</v>
      </c>
      <c r="B54" s="29" t="s">
        <v>6</v>
      </c>
      <c r="C54" s="30" t="s">
        <v>761</v>
      </c>
      <c r="D54" s="31">
        <v>46260.875</v>
      </c>
      <c r="E54" s="31">
        <v>46261.25</v>
      </c>
      <c r="F54" s="30" t="s">
        <v>762</v>
      </c>
    </row>
    <row r="55" spans="1:6" s="14" customFormat="1" ht="62" x14ac:dyDescent="0.35">
      <c r="A55" s="29" t="s">
        <v>319</v>
      </c>
      <c r="B55" s="29" t="s">
        <v>23</v>
      </c>
      <c r="C55" s="30" t="s">
        <v>333</v>
      </c>
      <c r="D55" s="31">
        <v>46260.875</v>
      </c>
      <c r="E55" s="31">
        <v>46261.25</v>
      </c>
      <c r="F55" s="30" t="s">
        <v>334</v>
      </c>
    </row>
    <row r="56" spans="1:6" s="6" customFormat="1" ht="62" x14ac:dyDescent="0.35">
      <c r="A56" s="29" t="s">
        <v>319</v>
      </c>
      <c r="B56" s="29" t="s">
        <v>6</v>
      </c>
      <c r="C56" s="30" t="s">
        <v>632</v>
      </c>
      <c r="D56" s="31">
        <v>46260.875</v>
      </c>
      <c r="E56" s="31">
        <v>46261.25</v>
      </c>
      <c r="F56" s="30" t="s">
        <v>633</v>
      </c>
    </row>
    <row r="57" spans="1:6" s="6" customFormat="1" ht="62" x14ac:dyDescent="0.35">
      <c r="A57" s="29" t="s">
        <v>319</v>
      </c>
      <c r="B57" s="29" t="s">
        <v>6</v>
      </c>
      <c r="C57" s="30" t="s">
        <v>634</v>
      </c>
      <c r="D57" s="31">
        <v>46260.875</v>
      </c>
      <c r="E57" s="31">
        <v>46261.25</v>
      </c>
      <c r="F57" s="30" t="s">
        <v>633</v>
      </c>
    </row>
    <row r="58" spans="1:6" s="6" customFormat="1" ht="62" x14ac:dyDescent="0.35">
      <c r="A58" s="29" t="s">
        <v>319</v>
      </c>
      <c r="B58" s="29" t="s">
        <v>2</v>
      </c>
      <c r="C58" s="30" t="s">
        <v>635</v>
      </c>
      <c r="D58" s="31">
        <v>46260.875</v>
      </c>
      <c r="E58" s="31">
        <v>46261.25</v>
      </c>
      <c r="F58" s="30" t="s">
        <v>633</v>
      </c>
    </row>
    <row r="59" spans="1:6" s="6" customFormat="1" ht="62" x14ac:dyDescent="0.35">
      <c r="A59" s="29" t="s">
        <v>319</v>
      </c>
      <c r="B59" s="29" t="s">
        <v>2</v>
      </c>
      <c r="C59" s="30" t="s">
        <v>636</v>
      </c>
      <c r="D59" s="31">
        <v>46260.875</v>
      </c>
      <c r="E59" s="31">
        <v>46261.25</v>
      </c>
      <c r="F59" s="30" t="s">
        <v>633</v>
      </c>
    </row>
    <row r="60" spans="1:6" s="6" customFormat="1" ht="62" x14ac:dyDescent="0.35">
      <c r="A60" s="29" t="s">
        <v>319</v>
      </c>
      <c r="B60" s="29" t="s">
        <v>2</v>
      </c>
      <c r="C60" s="30" t="s">
        <v>654</v>
      </c>
      <c r="D60" s="31">
        <v>46260.916666666701</v>
      </c>
      <c r="E60" s="31">
        <v>46261.229166666701</v>
      </c>
      <c r="F60" s="30" t="s">
        <v>655</v>
      </c>
    </row>
    <row r="61" spans="1:6" s="6" customFormat="1" ht="108.5" x14ac:dyDescent="0.35">
      <c r="A61" s="29" t="s">
        <v>419</v>
      </c>
      <c r="B61" s="29" t="s">
        <v>5</v>
      </c>
      <c r="C61" s="30" t="s">
        <v>669</v>
      </c>
      <c r="D61" s="31">
        <v>46260.833333333299</v>
      </c>
      <c r="E61" s="31">
        <v>46261.25</v>
      </c>
      <c r="F61" s="30" t="s">
        <v>670</v>
      </c>
    </row>
    <row r="62" spans="1:6" s="6" customFormat="1" ht="108.5" x14ac:dyDescent="0.35">
      <c r="A62" s="29" t="s">
        <v>419</v>
      </c>
      <c r="B62" s="29" t="s">
        <v>5</v>
      </c>
      <c r="C62" s="30" t="s">
        <v>671</v>
      </c>
      <c r="D62" s="31">
        <v>46260.833333333299</v>
      </c>
      <c r="E62" s="31">
        <v>46261.25</v>
      </c>
      <c r="F62" s="30" t="s">
        <v>670</v>
      </c>
    </row>
    <row r="63" spans="1:6" s="6" customFormat="1" ht="108.5" x14ac:dyDescent="0.35">
      <c r="A63" s="29" t="s">
        <v>419</v>
      </c>
      <c r="B63" s="29" t="s">
        <v>23</v>
      </c>
      <c r="C63" s="30" t="s">
        <v>788</v>
      </c>
      <c r="D63" s="31">
        <v>46260.833333333299</v>
      </c>
      <c r="E63" s="31">
        <v>46261.25</v>
      </c>
      <c r="F63" s="30" t="s">
        <v>789</v>
      </c>
    </row>
    <row r="64" spans="1:6" s="6" customFormat="1" ht="93" x14ac:dyDescent="0.35">
      <c r="A64" s="29" t="s">
        <v>335</v>
      </c>
      <c r="B64" s="29" t="s">
        <v>5</v>
      </c>
      <c r="C64" s="30" t="s">
        <v>802</v>
      </c>
      <c r="D64" s="31">
        <v>46260.875</v>
      </c>
      <c r="E64" s="31">
        <v>46261.25</v>
      </c>
      <c r="F64" s="30" t="s">
        <v>803</v>
      </c>
    </row>
    <row r="65" spans="1:6" s="6" customFormat="1" ht="93" x14ac:dyDescent="0.35">
      <c r="A65" s="29" t="s">
        <v>335</v>
      </c>
      <c r="B65" s="29" t="s">
        <v>4</v>
      </c>
      <c r="C65" s="30" t="s">
        <v>804</v>
      </c>
      <c r="D65" s="31">
        <v>46260.875</v>
      </c>
      <c r="E65" s="31">
        <v>46261.25</v>
      </c>
      <c r="F65" s="30" t="s">
        <v>803</v>
      </c>
    </row>
    <row r="66" spans="1:6" s="6" customFormat="1" ht="93" x14ac:dyDescent="0.35">
      <c r="A66" s="29" t="s">
        <v>335</v>
      </c>
      <c r="B66" s="29" t="s">
        <v>23</v>
      </c>
      <c r="C66" s="30" t="s">
        <v>672</v>
      </c>
      <c r="D66" s="31">
        <v>46260.833333333299</v>
      </c>
      <c r="E66" s="31">
        <v>46261.25</v>
      </c>
      <c r="F66" s="30" t="s">
        <v>673</v>
      </c>
    </row>
    <row r="67" spans="1:6" s="6" customFormat="1" ht="93" x14ac:dyDescent="0.35">
      <c r="A67" s="29" t="s">
        <v>335</v>
      </c>
      <c r="B67" s="29" t="s">
        <v>23</v>
      </c>
      <c r="C67" s="30" t="s">
        <v>426</v>
      </c>
      <c r="D67" s="31">
        <v>46260.875</v>
      </c>
      <c r="E67" s="31">
        <v>46261.25</v>
      </c>
      <c r="F67" s="30" t="s">
        <v>427</v>
      </c>
    </row>
    <row r="68" spans="1:6" s="6" customFormat="1" ht="77.5" x14ac:dyDescent="0.35">
      <c r="A68" s="29" t="s">
        <v>313</v>
      </c>
      <c r="B68" s="29" t="s">
        <v>2</v>
      </c>
      <c r="C68" s="30" t="s">
        <v>314</v>
      </c>
      <c r="D68" s="31">
        <v>46260.875</v>
      </c>
      <c r="E68" s="31">
        <v>46261.25</v>
      </c>
      <c r="F68" s="30" t="s">
        <v>315</v>
      </c>
    </row>
    <row r="69" spans="1:6" s="6" customFormat="1" ht="77.5" x14ac:dyDescent="0.35">
      <c r="A69" s="29" t="s">
        <v>439</v>
      </c>
      <c r="B69" s="29" t="s">
        <v>23</v>
      </c>
      <c r="C69" s="30" t="s">
        <v>440</v>
      </c>
      <c r="D69" s="31">
        <v>46260.833333333299</v>
      </c>
      <c r="E69" s="31">
        <v>46261.25</v>
      </c>
      <c r="F69" s="30" t="s">
        <v>441</v>
      </c>
    </row>
    <row r="70" spans="1:6" s="6" customFormat="1" ht="77.5" x14ac:dyDescent="0.35">
      <c r="A70" s="29" t="s">
        <v>676</v>
      </c>
      <c r="B70" s="29" t="s">
        <v>23</v>
      </c>
      <c r="C70" s="30" t="s">
        <v>677</v>
      </c>
      <c r="D70" s="31">
        <v>46260.833333333299</v>
      </c>
      <c r="E70" s="31">
        <v>46261.25</v>
      </c>
      <c r="F70" s="30" t="s">
        <v>678</v>
      </c>
    </row>
    <row r="71" spans="1:6" s="6" customFormat="1" ht="77.5" x14ac:dyDescent="0.35">
      <c r="A71" s="29" t="s">
        <v>108</v>
      </c>
      <c r="B71" s="29" t="s">
        <v>6</v>
      </c>
      <c r="C71" s="30" t="s">
        <v>703</v>
      </c>
      <c r="D71" s="31">
        <v>46260.833333333299</v>
      </c>
      <c r="E71" s="31">
        <v>46261.25</v>
      </c>
      <c r="F71" s="30" t="s">
        <v>110</v>
      </c>
    </row>
    <row r="72" spans="1:6" s="6" customFormat="1" ht="77.5" x14ac:dyDescent="0.35">
      <c r="A72" s="29" t="s">
        <v>108</v>
      </c>
      <c r="B72" s="29" t="s">
        <v>6</v>
      </c>
      <c r="C72" s="30" t="s">
        <v>707</v>
      </c>
      <c r="D72" s="31">
        <v>46260.833333333299</v>
      </c>
      <c r="E72" s="31">
        <v>46261.25</v>
      </c>
      <c r="F72" s="30" t="s">
        <v>110</v>
      </c>
    </row>
    <row r="73" spans="1:6" s="6" customFormat="1" ht="77.5" x14ac:dyDescent="0.35">
      <c r="A73" s="29" t="s">
        <v>108</v>
      </c>
      <c r="B73" s="29" t="s">
        <v>4</v>
      </c>
      <c r="C73" s="30" t="s">
        <v>415</v>
      </c>
      <c r="D73" s="31">
        <v>46260.8125</v>
      </c>
      <c r="E73" s="31">
        <v>46261.25</v>
      </c>
      <c r="F73" s="30" t="s">
        <v>416</v>
      </c>
    </row>
    <row r="74" spans="1:6" s="6" customFormat="1" ht="77.5" x14ac:dyDescent="0.35">
      <c r="A74" s="29" t="s">
        <v>108</v>
      </c>
      <c r="B74" s="29" t="s">
        <v>5</v>
      </c>
      <c r="C74" s="30" t="s">
        <v>417</v>
      </c>
      <c r="D74" s="31">
        <v>46260.8125</v>
      </c>
      <c r="E74" s="31">
        <v>46261.25</v>
      </c>
      <c r="F74" s="30" t="s">
        <v>418</v>
      </c>
    </row>
    <row r="75" spans="1:6" s="6" customFormat="1" ht="77.5" x14ac:dyDescent="0.35">
      <c r="A75" s="29" t="s">
        <v>108</v>
      </c>
      <c r="B75" s="29" t="s">
        <v>6</v>
      </c>
      <c r="C75" s="30" t="s">
        <v>447</v>
      </c>
      <c r="D75" s="31">
        <v>46202.875</v>
      </c>
      <c r="E75" s="31">
        <v>46508.208333333299</v>
      </c>
      <c r="F75" s="30" t="s">
        <v>448</v>
      </c>
    </row>
    <row r="76" spans="1:6" s="6" customFormat="1" ht="77.5" x14ac:dyDescent="0.35">
      <c r="A76" s="29" t="s">
        <v>108</v>
      </c>
      <c r="B76" s="29" t="s">
        <v>6</v>
      </c>
      <c r="C76" s="30" t="s">
        <v>685</v>
      </c>
      <c r="D76" s="31">
        <v>46260.875</v>
      </c>
      <c r="E76" s="31">
        <v>46261.25</v>
      </c>
      <c r="F76" s="30" t="s">
        <v>460</v>
      </c>
    </row>
    <row r="77" spans="1:6" s="6" customFormat="1" ht="77.5" x14ac:dyDescent="0.35">
      <c r="A77" s="29" t="s">
        <v>779</v>
      </c>
      <c r="B77" s="29" t="s">
        <v>6</v>
      </c>
      <c r="C77" s="30" t="s">
        <v>780</v>
      </c>
      <c r="D77" s="31">
        <v>46260.916666666701</v>
      </c>
      <c r="E77" s="31">
        <v>46261.229166666701</v>
      </c>
      <c r="F77" s="30" t="s">
        <v>781</v>
      </c>
    </row>
    <row r="78" spans="1:6" s="6" customFormat="1" ht="77.5" x14ac:dyDescent="0.35">
      <c r="A78" s="29" t="s">
        <v>442</v>
      </c>
      <c r="B78" s="29" t="s">
        <v>2</v>
      </c>
      <c r="C78" s="30" t="s">
        <v>443</v>
      </c>
      <c r="D78" s="31">
        <v>46260.875</v>
      </c>
      <c r="E78" s="31">
        <v>46261.25</v>
      </c>
      <c r="F78" s="30" t="s">
        <v>444</v>
      </c>
    </row>
    <row r="79" spans="1:6" s="6" customFormat="1" ht="77.5" x14ac:dyDescent="0.35">
      <c r="A79" s="29" t="s">
        <v>442</v>
      </c>
      <c r="B79" s="29" t="s">
        <v>6</v>
      </c>
      <c r="C79" s="30" t="s">
        <v>445</v>
      </c>
      <c r="D79" s="31">
        <v>46260.875</v>
      </c>
      <c r="E79" s="31">
        <v>46261.25</v>
      </c>
      <c r="F79" s="30" t="s">
        <v>446</v>
      </c>
    </row>
    <row r="80" spans="1:6" s="6" customFormat="1" ht="46.5" x14ac:dyDescent="0.35">
      <c r="A80" s="29" t="s">
        <v>466</v>
      </c>
      <c r="B80" s="29" t="s">
        <v>2</v>
      </c>
      <c r="C80" s="30" t="s">
        <v>700</v>
      </c>
      <c r="D80" s="31">
        <v>46260.833333333299</v>
      </c>
      <c r="E80" s="31">
        <v>46261.25</v>
      </c>
      <c r="F80" s="30" t="s">
        <v>546</v>
      </c>
    </row>
    <row r="81" spans="1:6" s="6" customFormat="1" ht="93" x14ac:dyDescent="0.35">
      <c r="A81" s="29" t="s">
        <v>466</v>
      </c>
      <c r="B81" s="29" t="s">
        <v>2</v>
      </c>
      <c r="C81" s="30" t="s">
        <v>701</v>
      </c>
      <c r="D81" s="31">
        <v>46260.833333333299</v>
      </c>
      <c r="E81" s="31">
        <v>46261.25</v>
      </c>
      <c r="F81" s="30" t="s">
        <v>546</v>
      </c>
    </row>
    <row r="82" spans="1:6" s="6" customFormat="1" ht="93" x14ac:dyDescent="0.35">
      <c r="A82" s="29" t="s">
        <v>466</v>
      </c>
      <c r="B82" s="29" t="s">
        <v>7</v>
      </c>
      <c r="C82" s="30" t="s">
        <v>467</v>
      </c>
      <c r="D82" s="31">
        <v>46217.625</v>
      </c>
      <c r="E82" s="31">
        <v>46387.875</v>
      </c>
      <c r="F82" s="30" t="s">
        <v>468</v>
      </c>
    </row>
    <row r="83" spans="1:6" s="6" customFormat="1" ht="93" x14ac:dyDescent="0.35">
      <c r="A83" s="29" t="s">
        <v>469</v>
      </c>
      <c r="B83" s="29" t="s">
        <v>2</v>
      </c>
      <c r="C83" s="30" t="s">
        <v>488</v>
      </c>
      <c r="D83" s="31">
        <v>46260.833333333299</v>
      </c>
      <c r="E83" s="31">
        <v>46266.25</v>
      </c>
      <c r="F83" s="30" t="s">
        <v>489</v>
      </c>
    </row>
    <row r="84" spans="1:6" s="6" customFormat="1" ht="93" x14ac:dyDescent="0.35">
      <c r="A84" s="29" t="s">
        <v>469</v>
      </c>
      <c r="B84" s="29" t="s">
        <v>6</v>
      </c>
      <c r="C84" s="30" t="s">
        <v>490</v>
      </c>
      <c r="D84" s="31">
        <v>46260.833333333299</v>
      </c>
      <c r="E84" s="31">
        <v>46266.25</v>
      </c>
      <c r="F84" s="30" t="s">
        <v>489</v>
      </c>
    </row>
    <row r="85" spans="1:6" s="6" customFormat="1" ht="62" x14ac:dyDescent="0.35">
      <c r="A85" s="29" t="s">
        <v>469</v>
      </c>
      <c r="B85" s="29" t="s">
        <v>23</v>
      </c>
      <c r="C85" s="30" t="s">
        <v>473</v>
      </c>
      <c r="D85" s="31">
        <v>46260.875</v>
      </c>
      <c r="E85" s="31">
        <v>46261.25</v>
      </c>
      <c r="F85" s="30" t="s">
        <v>474</v>
      </c>
    </row>
    <row r="86" spans="1:6" s="6" customFormat="1" ht="62" x14ac:dyDescent="0.35">
      <c r="A86" s="29" t="s">
        <v>20</v>
      </c>
      <c r="B86" s="29" t="s">
        <v>4</v>
      </c>
      <c r="C86" s="30" t="s">
        <v>21</v>
      </c>
      <c r="D86" s="31">
        <v>46260.833333333299</v>
      </c>
      <c r="E86" s="31">
        <v>46261.25</v>
      </c>
      <c r="F86" s="30" t="s">
        <v>22</v>
      </c>
    </row>
    <row r="87" spans="1:6" s="6" customFormat="1" ht="77.5" x14ac:dyDescent="0.35">
      <c r="A87" s="29" t="s">
        <v>20</v>
      </c>
      <c r="B87" s="29" t="s">
        <v>23</v>
      </c>
      <c r="C87" s="30" t="s">
        <v>24</v>
      </c>
      <c r="D87" s="31">
        <v>46260.833333333299</v>
      </c>
      <c r="E87" s="31">
        <v>46261.25</v>
      </c>
      <c r="F87" s="30" t="s">
        <v>22</v>
      </c>
    </row>
    <row r="88" spans="1:6" s="6" customFormat="1" ht="62" x14ac:dyDescent="0.35">
      <c r="A88" s="29" t="s">
        <v>20</v>
      </c>
      <c r="B88" s="29" t="s">
        <v>4</v>
      </c>
      <c r="C88" s="30" t="s">
        <v>25</v>
      </c>
      <c r="D88" s="31">
        <v>46260.833333333299</v>
      </c>
      <c r="E88" s="31">
        <v>46261.25</v>
      </c>
      <c r="F88" s="30" t="s">
        <v>22</v>
      </c>
    </row>
    <row r="89" spans="1:6" s="6" customFormat="1" ht="46.5" x14ac:dyDescent="0.35">
      <c r="A89" s="29" t="s">
        <v>482</v>
      </c>
      <c r="B89" s="29" t="s">
        <v>4</v>
      </c>
      <c r="C89" s="30" t="s">
        <v>483</v>
      </c>
      <c r="D89" s="31">
        <v>46260.833333333299</v>
      </c>
      <c r="E89" s="31">
        <v>46261.208333333299</v>
      </c>
      <c r="F89" s="30" t="s">
        <v>484</v>
      </c>
    </row>
    <row r="90" spans="1:6" s="6" customFormat="1" ht="62" x14ac:dyDescent="0.35">
      <c r="A90" s="29" t="s">
        <v>482</v>
      </c>
      <c r="B90" s="29" t="s">
        <v>4</v>
      </c>
      <c r="C90" s="30" t="s">
        <v>485</v>
      </c>
      <c r="D90" s="31">
        <v>46260.833333333299</v>
      </c>
      <c r="E90" s="31">
        <v>46261.208333333299</v>
      </c>
      <c r="F90" s="30" t="s">
        <v>484</v>
      </c>
    </row>
    <row r="91" spans="1:6" s="6" customFormat="1" ht="62" x14ac:dyDescent="0.35">
      <c r="A91" s="29" t="s">
        <v>461</v>
      </c>
      <c r="B91" s="29" t="s">
        <v>23</v>
      </c>
      <c r="C91" s="30" t="s">
        <v>462</v>
      </c>
      <c r="D91" s="31">
        <v>46230.833333333299</v>
      </c>
      <c r="E91" s="31">
        <v>46403.25</v>
      </c>
      <c r="F91" s="30" t="s">
        <v>463</v>
      </c>
    </row>
    <row r="92" spans="1:6" s="6" customFormat="1" ht="62" x14ac:dyDescent="0.35">
      <c r="A92" s="29" t="s">
        <v>461</v>
      </c>
      <c r="B92" s="29" t="s">
        <v>6</v>
      </c>
      <c r="C92" s="30" t="s">
        <v>794</v>
      </c>
      <c r="D92" s="31">
        <v>46260.833333333299</v>
      </c>
      <c r="E92" s="31">
        <v>46261.25</v>
      </c>
      <c r="F92" s="30" t="s">
        <v>463</v>
      </c>
    </row>
    <row r="93" spans="1:6" s="6" customFormat="1" ht="62" x14ac:dyDescent="0.35">
      <c r="A93" s="29" t="s">
        <v>461</v>
      </c>
      <c r="B93" s="29" t="s">
        <v>6</v>
      </c>
      <c r="C93" s="30" t="s">
        <v>798</v>
      </c>
      <c r="D93" s="31">
        <v>46260.875</v>
      </c>
      <c r="E93" s="31">
        <v>46261.25</v>
      </c>
      <c r="F93" s="30" t="s">
        <v>689</v>
      </c>
    </row>
    <row r="94" spans="1:6" s="6" customFormat="1" ht="62" x14ac:dyDescent="0.35">
      <c r="A94" s="29" t="s">
        <v>795</v>
      </c>
      <c r="B94" s="29" t="s">
        <v>2</v>
      </c>
      <c r="C94" s="30" t="s">
        <v>796</v>
      </c>
      <c r="D94" s="31">
        <v>46260.875</v>
      </c>
      <c r="E94" s="31">
        <v>46261.25</v>
      </c>
      <c r="F94" s="30" t="s">
        <v>797</v>
      </c>
    </row>
    <row r="95" spans="1:6" s="6" customFormat="1" ht="77.5" x14ac:dyDescent="0.35">
      <c r="A95" s="29" t="s">
        <v>704</v>
      </c>
      <c r="B95" s="29" t="s">
        <v>6</v>
      </c>
      <c r="C95" s="30" t="s">
        <v>705</v>
      </c>
      <c r="D95" s="31">
        <v>46260.833333333299</v>
      </c>
      <c r="E95" s="31">
        <v>46261.25</v>
      </c>
      <c r="F95" s="30" t="s">
        <v>110</v>
      </c>
    </row>
    <row r="96" spans="1:6" s="6" customFormat="1" ht="77.5" x14ac:dyDescent="0.35">
      <c r="A96" s="29" t="s">
        <v>704</v>
      </c>
      <c r="B96" s="29" t="s">
        <v>6</v>
      </c>
      <c r="C96" s="30" t="s">
        <v>706</v>
      </c>
      <c r="D96" s="31">
        <v>46260.833333333299</v>
      </c>
      <c r="E96" s="31">
        <v>46261.25</v>
      </c>
      <c r="F96" s="30" t="s">
        <v>110</v>
      </c>
    </row>
    <row r="97" spans="1:6" s="6" customFormat="1" ht="77.5" x14ac:dyDescent="0.35">
      <c r="A97" s="29" t="s">
        <v>710</v>
      </c>
      <c r="B97" s="29" t="s">
        <v>4</v>
      </c>
      <c r="C97" s="30" t="s">
        <v>711</v>
      </c>
      <c r="D97" s="31">
        <v>46260.833333333299</v>
      </c>
      <c r="E97" s="31">
        <v>46261.25</v>
      </c>
      <c r="F97" s="30" t="s">
        <v>712</v>
      </c>
    </row>
    <row r="98" spans="1:6" s="6" customFormat="1" ht="77.5" x14ac:dyDescent="0.35">
      <c r="A98" s="29" t="s">
        <v>710</v>
      </c>
      <c r="B98" s="29" t="s">
        <v>5</v>
      </c>
      <c r="C98" s="30" t="s">
        <v>713</v>
      </c>
      <c r="D98" s="31">
        <v>46260.833333333299</v>
      </c>
      <c r="E98" s="31">
        <v>46261.25</v>
      </c>
      <c r="F98" s="30" t="s">
        <v>712</v>
      </c>
    </row>
    <row r="99" spans="1:6" s="5" customFormat="1" ht="46.5" x14ac:dyDescent="0.35">
      <c r="A99" s="29" t="s">
        <v>710</v>
      </c>
      <c r="B99" s="29" t="s">
        <v>5</v>
      </c>
      <c r="C99" s="30" t="s">
        <v>714</v>
      </c>
      <c r="D99" s="31">
        <v>46260.833333333299</v>
      </c>
      <c r="E99" s="31">
        <v>46261.25</v>
      </c>
      <c r="F99" s="30" t="s">
        <v>712</v>
      </c>
    </row>
    <row r="100" spans="1:6" s="6" customFormat="1" ht="46.5" x14ac:dyDescent="0.35">
      <c r="A100" s="29" t="s">
        <v>280</v>
      </c>
      <c r="B100" s="29" t="s">
        <v>6</v>
      </c>
      <c r="C100" s="30" t="s">
        <v>494</v>
      </c>
      <c r="D100" s="31">
        <v>46230.208333333299</v>
      </c>
      <c r="E100" s="31">
        <v>46266.208333333299</v>
      </c>
      <c r="F100" s="30" t="s">
        <v>495</v>
      </c>
    </row>
    <row r="101" spans="1:6" s="6" customFormat="1" ht="46.5" x14ac:dyDescent="0.35">
      <c r="A101" s="29" t="s">
        <v>185</v>
      </c>
      <c r="B101" s="29" t="s">
        <v>6</v>
      </c>
      <c r="C101" s="30" t="s">
        <v>186</v>
      </c>
      <c r="D101" s="31">
        <v>46237.833333333299</v>
      </c>
      <c r="E101" s="31">
        <v>46326.25</v>
      </c>
      <c r="F101" s="30" t="s">
        <v>187</v>
      </c>
    </row>
    <row r="102" spans="1:6" s="5" customFormat="1" ht="46.5" x14ac:dyDescent="0.35">
      <c r="A102" s="29" t="s">
        <v>185</v>
      </c>
      <c r="B102" s="29" t="s">
        <v>2</v>
      </c>
      <c r="C102" s="30" t="s">
        <v>188</v>
      </c>
      <c r="D102" s="31">
        <v>46237.833333333299</v>
      </c>
      <c r="E102" s="31">
        <v>46326.25</v>
      </c>
      <c r="F102" s="30" t="s">
        <v>187</v>
      </c>
    </row>
    <row r="103" spans="1:6" s="5" customFormat="1" ht="77.5" x14ac:dyDescent="0.35">
      <c r="A103" s="29" t="s">
        <v>178</v>
      </c>
      <c r="B103" s="29" t="s">
        <v>5</v>
      </c>
      <c r="C103" s="30" t="s">
        <v>179</v>
      </c>
      <c r="D103" s="31">
        <v>46260.833333333299</v>
      </c>
      <c r="E103" s="31">
        <v>46261.25</v>
      </c>
      <c r="F103" s="30" t="s">
        <v>180</v>
      </c>
    </row>
    <row r="104" spans="1:6" s="5" customFormat="1" ht="77.5" x14ac:dyDescent="0.35">
      <c r="A104" s="29" t="s">
        <v>178</v>
      </c>
      <c r="B104" s="29" t="s">
        <v>5</v>
      </c>
      <c r="C104" s="30" t="s">
        <v>728</v>
      </c>
      <c r="D104" s="31">
        <v>46260.833333333299</v>
      </c>
      <c r="E104" s="31">
        <v>46261.208333333299</v>
      </c>
      <c r="F104" s="30" t="s">
        <v>729</v>
      </c>
    </row>
    <row r="105" spans="1:6" s="5" customFormat="1" ht="46.5" x14ac:dyDescent="0.35">
      <c r="A105" s="29" t="s">
        <v>163</v>
      </c>
      <c r="B105" s="29" t="s">
        <v>23</v>
      </c>
      <c r="C105" s="30" t="s">
        <v>574</v>
      </c>
      <c r="D105" s="31">
        <v>46260.833333333299</v>
      </c>
      <c r="E105" s="31">
        <v>46261.25</v>
      </c>
      <c r="F105" s="30" t="s">
        <v>575</v>
      </c>
    </row>
    <row r="106" spans="1:6" s="5" customFormat="1" ht="31" x14ac:dyDescent="0.35">
      <c r="A106" s="29" t="s">
        <v>203</v>
      </c>
      <c r="B106" s="29" t="s">
        <v>4</v>
      </c>
      <c r="C106" s="30" t="s">
        <v>581</v>
      </c>
      <c r="D106" s="31">
        <v>46260.833333333299</v>
      </c>
      <c r="E106" s="31">
        <v>46261.25</v>
      </c>
      <c r="F106" s="30" t="s">
        <v>205</v>
      </c>
    </row>
    <row r="107" spans="1:6" s="5" customFormat="1" ht="46.5" x14ac:dyDescent="0.35">
      <c r="A107" s="29" t="s">
        <v>203</v>
      </c>
      <c r="B107" s="29" t="s">
        <v>4</v>
      </c>
      <c r="C107" s="30" t="s">
        <v>582</v>
      </c>
      <c r="D107" s="31">
        <v>46260.833333333299</v>
      </c>
      <c r="E107" s="31">
        <v>46261.25</v>
      </c>
      <c r="F107" s="30" t="s">
        <v>205</v>
      </c>
    </row>
    <row r="108" spans="1:6" s="5" customFormat="1" ht="46.5" x14ac:dyDescent="0.35">
      <c r="A108" s="29" t="s">
        <v>203</v>
      </c>
      <c r="B108" s="29" t="s">
        <v>4</v>
      </c>
      <c r="C108" s="30" t="s">
        <v>583</v>
      </c>
      <c r="D108" s="31">
        <v>46260.833333333299</v>
      </c>
      <c r="E108" s="31">
        <v>46261.25</v>
      </c>
      <c r="F108" s="30" t="s">
        <v>205</v>
      </c>
    </row>
    <row r="109" spans="1:6" s="5" customFormat="1" ht="46.5" x14ac:dyDescent="0.35">
      <c r="A109" s="29" t="s">
        <v>203</v>
      </c>
      <c r="B109" s="29" t="s">
        <v>4</v>
      </c>
      <c r="C109" s="30" t="s">
        <v>584</v>
      </c>
      <c r="D109" s="31">
        <v>46260.833333333299</v>
      </c>
      <c r="E109" s="31">
        <v>46261.25</v>
      </c>
      <c r="F109" s="30" t="s">
        <v>205</v>
      </c>
    </row>
    <row r="110" spans="1:6" s="5" customFormat="1" ht="46.5" x14ac:dyDescent="0.35">
      <c r="A110" s="29" t="s">
        <v>295</v>
      </c>
      <c r="B110" s="29" t="s">
        <v>2</v>
      </c>
      <c r="C110" s="30" t="s">
        <v>741</v>
      </c>
      <c r="D110" s="31">
        <v>46260.875</v>
      </c>
      <c r="E110" s="31">
        <v>46261.208333333299</v>
      </c>
      <c r="F110" s="30" t="s">
        <v>612</v>
      </c>
    </row>
    <row r="111" spans="1:6" s="5" customFormat="1" ht="46.5" x14ac:dyDescent="0.35">
      <c r="A111" s="29" t="s">
        <v>58</v>
      </c>
      <c r="B111" s="29" t="s">
        <v>2</v>
      </c>
      <c r="C111" s="30" t="s">
        <v>702</v>
      </c>
      <c r="D111" s="31">
        <v>46260.833333333299</v>
      </c>
      <c r="E111" s="31">
        <v>46261.25</v>
      </c>
      <c r="F111" s="30" t="s">
        <v>98</v>
      </c>
    </row>
    <row r="112" spans="1:6" ht="46.5" x14ac:dyDescent="0.35">
      <c r="A112" s="29" t="s">
        <v>58</v>
      </c>
      <c r="B112" s="29" t="s">
        <v>6</v>
      </c>
      <c r="C112" s="30" t="s">
        <v>553</v>
      </c>
      <c r="D112" s="31">
        <v>46260.833333333299</v>
      </c>
      <c r="E112" s="31">
        <v>46261.25</v>
      </c>
      <c r="F112" s="30" t="s">
        <v>554</v>
      </c>
    </row>
    <row r="113" spans="1:6" ht="46.5" x14ac:dyDescent="0.35">
      <c r="A113" s="29" t="s">
        <v>58</v>
      </c>
      <c r="B113" s="29" t="s">
        <v>6</v>
      </c>
      <c r="C113" s="30" t="s">
        <v>555</v>
      </c>
      <c r="D113" s="31">
        <v>46260.833333333299</v>
      </c>
      <c r="E113" s="31">
        <v>46261.25</v>
      </c>
      <c r="F113" s="30" t="s">
        <v>554</v>
      </c>
    </row>
    <row r="114" spans="1:6" ht="46.5" x14ac:dyDescent="0.35">
      <c r="A114" s="29" t="s">
        <v>58</v>
      </c>
      <c r="B114" s="29" t="s">
        <v>2</v>
      </c>
      <c r="C114" s="30" t="s">
        <v>718</v>
      </c>
      <c r="D114" s="31">
        <v>46260.833333333299</v>
      </c>
      <c r="E114" s="31">
        <v>46261.25</v>
      </c>
      <c r="F114" s="30" t="s">
        <v>719</v>
      </c>
    </row>
    <row r="115" spans="1:6" ht="62" x14ac:dyDescent="0.35">
      <c r="A115" s="29" t="s">
        <v>58</v>
      </c>
      <c r="B115" s="29" t="s">
        <v>2</v>
      </c>
      <c r="C115" s="30" t="s">
        <v>720</v>
      </c>
      <c r="D115" s="31">
        <v>46260.833333333299</v>
      </c>
      <c r="E115" s="31">
        <v>46261.25</v>
      </c>
      <c r="F115" s="30" t="s">
        <v>719</v>
      </c>
    </row>
    <row r="116" spans="1:6" ht="46.5" x14ac:dyDescent="0.35">
      <c r="A116" s="29" t="s">
        <v>58</v>
      </c>
      <c r="B116" s="29" t="s">
        <v>2</v>
      </c>
      <c r="C116" s="30" t="s">
        <v>721</v>
      </c>
      <c r="D116" s="31">
        <v>46260.833333333299</v>
      </c>
      <c r="E116" s="31">
        <v>46261.25</v>
      </c>
      <c r="F116" s="30" t="s">
        <v>719</v>
      </c>
    </row>
    <row r="117" spans="1:6" s="15" customFormat="1" ht="46.5" x14ac:dyDescent="0.35">
      <c r="A117" s="29" t="s">
        <v>58</v>
      </c>
      <c r="B117" s="29" t="s">
        <v>2</v>
      </c>
      <c r="C117" s="30" t="s">
        <v>722</v>
      </c>
      <c r="D117" s="31">
        <v>46260.833333333299</v>
      </c>
      <c r="E117" s="31">
        <v>46261.25</v>
      </c>
      <c r="F117" s="30" t="s">
        <v>719</v>
      </c>
    </row>
    <row r="118" spans="1:6" s="15" customFormat="1" ht="46.5" x14ac:dyDescent="0.35">
      <c r="A118" s="29" t="s">
        <v>26</v>
      </c>
      <c r="B118" s="29" t="s">
        <v>2</v>
      </c>
      <c r="C118" s="30" t="s">
        <v>27</v>
      </c>
      <c r="D118" s="31">
        <v>46260.875</v>
      </c>
      <c r="E118" s="31">
        <v>46261.208333333299</v>
      </c>
      <c r="F118" s="30" t="s">
        <v>28</v>
      </c>
    </row>
    <row r="119" spans="1:6" s="15" customFormat="1" ht="46.5" x14ac:dyDescent="0.35">
      <c r="A119" s="29" t="s">
        <v>156</v>
      </c>
      <c r="B119" s="29" t="s">
        <v>6</v>
      </c>
      <c r="C119" s="30" t="s">
        <v>157</v>
      </c>
      <c r="D119" s="31">
        <v>46260.833333333299</v>
      </c>
      <c r="E119" s="31">
        <v>46261.25</v>
      </c>
      <c r="F119" s="30" t="s">
        <v>154</v>
      </c>
    </row>
    <row r="120" spans="1:6" s="15" customFormat="1" ht="46.5" x14ac:dyDescent="0.35">
      <c r="A120" s="29" t="s">
        <v>156</v>
      </c>
      <c r="B120" s="29" t="s">
        <v>6</v>
      </c>
      <c r="C120" s="30" t="s">
        <v>158</v>
      </c>
      <c r="D120" s="31">
        <v>46260.833333333299</v>
      </c>
      <c r="E120" s="31">
        <v>46261.25</v>
      </c>
      <c r="F120" s="30" t="s">
        <v>154</v>
      </c>
    </row>
    <row r="121" spans="1:6" ht="46.5" x14ac:dyDescent="0.35">
      <c r="A121" s="29" t="s">
        <v>156</v>
      </c>
      <c r="B121" s="29" t="s">
        <v>2</v>
      </c>
      <c r="C121" s="30" t="s">
        <v>732</v>
      </c>
      <c r="D121" s="31">
        <v>46260.875</v>
      </c>
      <c r="E121" s="31">
        <v>46261.25</v>
      </c>
      <c r="F121" s="30" t="s">
        <v>733</v>
      </c>
    </row>
    <row r="122" spans="1:6" ht="46.5" x14ac:dyDescent="0.35">
      <c r="A122" s="29" t="s">
        <v>145</v>
      </c>
      <c r="B122" s="29" t="s">
        <v>4</v>
      </c>
      <c r="C122" s="30" t="s">
        <v>146</v>
      </c>
      <c r="D122" s="31">
        <v>46260.833333333299</v>
      </c>
      <c r="E122" s="31">
        <v>46261.25</v>
      </c>
      <c r="F122" s="30" t="s">
        <v>147</v>
      </c>
    </row>
    <row r="123" spans="1:6" ht="46.5" x14ac:dyDescent="0.35">
      <c r="A123" s="29" t="s">
        <v>145</v>
      </c>
      <c r="B123" s="29" t="s">
        <v>4</v>
      </c>
      <c r="C123" s="30" t="s">
        <v>148</v>
      </c>
      <c r="D123" s="31">
        <v>46260.833333333299</v>
      </c>
      <c r="E123" s="31">
        <v>46261.25</v>
      </c>
      <c r="F123" s="30" t="s">
        <v>147</v>
      </c>
    </row>
    <row r="124" spans="1:6" ht="46.5" x14ac:dyDescent="0.35">
      <c r="A124" s="29" t="s">
        <v>145</v>
      </c>
      <c r="B124" s="29" t="s">
        <v>4</v>
      </c>
      <c r="C124" s="30" t="s">
        <v>149</v>
      </c>
      <c r="D124" s="31">
        <v>46260.833333333299</v>
      </c>
      <c r="E124" s="31">
        <v>46261.25</v>
      </c>
      <c r="F124" s="30" t="s">
        <v>147</v>
      </c>
    </row>
    <row r="125" spans="1:6" ht="46.5" x14ac:dyDescent="0.35">
      <c r="A125" s="29" t="s">
        <v>355</v>
      </c>
      <c r="B125" s="29" t="s">
        <v>4</v>
      </c>
      <c r="C125" s="30" t="s">
        <v>640</v>
      </c>
      <c r="D125" s="31">
        <v>46260.833333333299</v>
      </c>
      <c r="E125" s="31">
        <v>46261.25</v>
      </c>
      <c r="F125" s="30" t="s">
        <v>641</v>
      </c>
    </row>
    <row r="126" spans="1:6" ht="46.5" x14ac:dyDescent="0.35">
      <c r="A126" s="29" t="s">
        <v>355</v>
      </c>
      <c r="B126" s="29" t="s">
        <v>5</v>
      </c>
      <c r="C126" s="30" t="s">
        <v>642</v>
      </c>
      <c r="D126" s="31">
        <v>46260.833333333299</v>
      </c>
      <c r="E126" s="31">
        <v>46261.25</v>
      </c>
      <c r="F126" s="30" t="s">
        <v>641</v>
      </c>
    </row>
    <row r="127" spans="1:6" ht="46.5" x14ac:dyDescent="0.35">
      <c r="A127" s="29" t="s">
        <v>355</v>
      </c>
      <c r="B127" s="29" t="s">
        <v>5</v>
      </c>
      <c r="C127" s="30" t="s">
        <v>391</v>
      </c>
      <c r="D127" s="31">
        <v>46260.916666666701</v>
      </c>
      <c r="E127" s="31">
        <v>46261.229166666701</v>
      </c>
      <c r="F127" s="30" t="s">
        <v>653</v>
      </c>
    </row>
    <row r="128" spans="1:6" ht="46.5" x14ac:dyDescent="0.35">
      <c r="A128" s="29" t="s">
        <v>393</v>
      </c>
      <c r="B128" s="29" t="s">
        <v>6</v>
      </c>
      <c r="C128" s="30" t="s">
        <v>767</v>
      </c>
      <c r="D128" s="31">
        <v>46260.875</v>
      </c>
      <c r="E128" s="31">
        <v>46261.25</v>
      </c>
      <c r="F128" s="30" t="s">
        <v>768</v>
      </c>
    </row>
    <row r="129" spans="1:6" ht="62" x14ac:dyDescent="0.35">
      <c r="A129" s="29" t="s">
        <v>384</v>
      </c>
      <c r="B129" s="29" t="s">
        <v>7</v>
      </c>
      <c r="C129" s="30" t="s">
        <v>769</v>
      </c>
      <c r="D129" s="31">
        <v>46260.916666666701</v>
      </c>
      <c r="E129" s="31">
        <v>46261.229166666701</v>
      </c>
      <c r="F129" s="30" t="s">
        <v>770</v>
      </c>
    </row>
    <row r="130" spans="1:6" ht="46.5" x14ac:dyDescent="0.35">
      <c r="A130" s="29" t="s">
        <v>384</v>
      </c>
      <c r="B130" s="29" t="s">
        <v>7</v>
      </c>
      <c r="C130" s="30" t="s">
        <v>649</v>
      </c>
      <c r="D130" s="31">
        <v>46260.916666666701</v>
      </c>
      <c r="E130" s="31">
        <v>46261.229166666701</v>
      </c>
      <c r="F130" s="30" t="s">
        <v>650</v>
      </c>
    </row>
    <row r="131" spans="1:6" ht="46.5" x14ac:dyDescent="0.35">
      <c r="A131" s="29" t="s">
        <v>384</v>
      </c>
      <c r="B131" s="29" t="s">
        <v>23</v>
      </c>
      <c r="C131" s="30" t="s">
        <v>776</v>
      </c>
      <c r="D131" s="31">
        <v>46260.916666666701</v>
      </c>
      <c r="E131" s="31">
        <v>46261.229166666701</v>
      </c>
      <c r="F131" s="30" t="s">
        <v>777</v>
      </c>
    </row>
    <row r="132" spans="1:6" ht="46.5" x14ac:dyDescent="0.35">
      <c r="A132" s="29" t="s">
        <v>384</v>
      </c>
      <c r="B132" s="29" t="s">
        <v>23</v>
      </c>
      <c r="C132" s="30" t="s">
        <v>778</v>
      </c>
      <c r="D132" s="31">
        <v>46260.916666666701</v>
      </c>
      <c r="E132" s="31">
        <v>46261.229166666701</v>
      </c>
      <c r="F132" s="30" t="s">
        <v>777</v>
      </c>
    </row>
    <row r="133" spans="1:6" ht="46.5" x14ac:dyDescent="0.35">
      <c r="A133" s="29" t="s">
        <v>316</v>
      </c>
      <c r="B133" s="29" t="s">
        <v>5</v>
      </c>
      <c r="C133" s="30" t="s">
        <v>317</v>
      </c>
      <c r="D133" s="31">
        <v>46260.875</v>
      </c>
      <c r="E133" s="31">
        <v>46261.25</v>
      </c>
      <c r="F133" s="30" t="s">
        <v>318</v>
      </c>
    </row>
    <row r="134" spans="1:6" ht="46.5" x14ac:dyDescent="0.35">
      <c r="A134" s="29" t="s">
        <v>310</v>
      </c>
      <c r="B134" s="29" t="s">
        <v>2</v>
      </c>
      <c r="C134" s="30" t="s">
        <v>311</v>
      </c>
      <c r="D134" s="31">
        <v>46237.25</v>
      </c>
      <c r="E134" s="31">
        <v>46692.25</v>
      </c>
      <c r="F134" s="30" t="s">
        <v>312</v>
      </c>
    </row>
    <row r="135" spans="1:6" ht="46.5" x14ac:dyDescent="0.35">
      <c r="A135" s="29" t="s">
        <v>679</v>
      </c>
      <c r="B135" s="29" t="s">
        <v>2</v>
      </c>
      <c r="C135" s="30" t="s">
        <v>680</v>
      </c>
      <c r="D135" s="31">
        <v>46260.833333333299</v>
      </c>
      <c r="E135" s="31">
        <v>46261.25</v>
      </c>
      <c r="F135" s="30" t="s">
        <v>784</v>
      </c>
    </row>
    <row r="136" spans="1:6" ht="46.5" x14ac:dyDescent="0.35">
      <c r="A136" s="29" t="s">
        <v>679</v>
      </c>
      <c r="B136" s="29" t="s">
        <v>2</v>
      </c>
      <c r="C136" s="30" t="s">
        <v>785</v>
      </c>
      <c r="D136" s="31">
        <v>46260.854166666701</v>
      </c>
      <c r="E136" s="31">
        <v>46261.25</v>
      </c>
      <c r="F136" s="30" t="s">
        <v>784</v>
      </c>
    </row>
    <row r="137" spans="1:6" ht="46.5" x14ac:dyDescent="0.35">
      <c r="A137" s="29" t="s">
        <v>754</v>
      </c>
      <c r="B137" s="29" t="s">
        <v>5</v>
      </c>
      <c r="C137" s="30" t="s">
        <v>755</v>
      </c>
      <c r="D137" s="31">
        <v>46260.875</v>
      </c>
      <c r="E137" s="31">
        <v>46261.25</v>
      </c>
      <c r="F137" s="30" t="s">
        <v>756</v>
      </c>
    </row>
    <row r="138" spans="1:6" ht="46.5" x14ac:dyDescent="0.35">
      <c r="A138" s="29" t="s">
        <v>80</v>
      </c>
      <c r="B138" s="29" t="s">
        <v>2</v>
      </c>
      <c r="C138" s="30" t="s">
        <v>536</v>
      </c>
      <c r="D138" s="31">
        <v>46260.927083333299</v>
      </c>
      <c r="E138" s="31">
        <v>46261.25</v>
      </c>
      <c r="F138" s="30" t="s">
        <v>537</v>
      </c>
    </row>
    <row r="139" spans="1:6" ht="46.5" x14ac:dyDescent="0.35">
      <c r="A139" s="29" t="s">
        <v>80</v>
      </c>
      <c r="B139" s="29" t="s">
        <v>2</v>
      </c>
      <c r="C139" s="30" t="s">
        <v>538</v>
      </c>
      <c r="D139" s="31">
        <v>46260.927083333299</v>
      </c>
      <c r="E139" s="31">
        <v>46261.25</v>
      </c>
      <c r="F139" s="30" t="s">
        <v>537</v>
      </c>
    </row>
    <row r="140" spans="1:6" ht="46.5" x14ac:dyDescent="0.35">
      <c r="A140" s="29" t="s">
        <v>80</v>
      </c>
      <c r="B140" s="29" t="s">
        <v>2</v>
      </c>
      <c r="C140" s="30" t="s">
        <v>539</v>
      </c>
      <c r="D140" s="31">
        <v>46260.927083333299</v>
      </c>
      <c r="E140" s="31">
        <v>46261.25</v>
      </c>
      <c r="F140" s="30" t="s">
        <v>537</v>
      </c>
    </row>
    <row r="141" spans="1:6" ht="62" x14ac:dyDescent="0.35">
      <c r="A141" s="29" t="s">
        <v>80</v>
      </c>
      <c r="B141" s="29" t="s">
        <v>2</v>
      </c>
      <c r="C141" s="30" t="s">
        <v>540</v>
      </c>
      <c r="D141" s="31">
        <v>46260.927083333299</v>
      </c>
      <c r="E141" s="31">
        <v>46261.25</v>
      </c>
      <c r="F141" s="30" t="s">
        <v>537</v>
      </c>
    </row>
    <row r="142" spans="1:6" ht="62" x14ac:dyDescent="0.35">
      <c r="A142" s="29" t="s">
        <v>80</v>
      </c>
      <c r="B142" s="29" t="s">
        <v>2</v>
      </c>
      <c r="C142" s="30" t="s">
        <v>541</v>
      </c>
      <c r="D142" s="31">
        <v>46260.927083333299</v>
      </c>
      <c r="E142" s="31">
        <v>46261.25</v>
      </c>
      <c r="F142" s="30" t="s">
        <v>537</v>
      </c>
    </row>
    <row r="143" spans="1:6" ht="62" x14ac:dyDescent="0.35">
      <c r="A143" s="29" t="s">
        <v>80</v>
      </c>
      <c r="B143" s="29" t="s">
        <v>2</v>
      </c>
      <c r="C143" s="30" t="s">
        <v>542</v>
      </c>
      <c r="D143" s="31">
        <v>46260.927083333299</v>
      </c>
      <c r="E143" s="31">
        <v>46261.25</v>
      </c>
      <c r="F143" s="30" t="s">
        <v>537</v>
      </c>
    </row>
    <row r="144" spans="1:6" ht="46.5" x14ac:dyDescent="0.35">
      <c r="A144" s="29" t="s">
        <v>80</v>
      </c>
      <c r="B144" s="29" t="s">
        <v>2</v>
      </c>
      <c r="C144" s="30" t="s">
        <v>543</v>
      </c>
      <c r="D144" s="31">
        <v>46260.927083333299</v>
      </c>
      <c r="E144" s="31">
        <v>46261.25</v>
      </c>
      <c r="F144" s="30" t="s">
        <v>544</v>
      </c>
    </row>
    <row r="145" spans="1:6" ht="31" x14ac:dyDescent="0.35">
      <c r="A145" s="29" t="s">
        <v>80</v>
      </c>
      <c r="B145" s="29" t="s">
        <v>23</v>
      </c>
      <c r="C145" s="30" t="s">
        <v>771</v>
      </c>
      <c r="D145" s="31">
        <v>46260.916666666701</v>
      </c>
      <c r="E145" s="31">
        <v>46261.229166666701</v>
      </c>
      <c r="F145" s="30" t="s">
        <v>770</v>
      </c>
    </row>
    <row r="146" spans="1:6" ht="31" x14ac:dyDescent="0.35">
      <c r="A146" s="29" t="s">
        <v>479</v>
      </c>
      <c r="B146" s="29" t="s">
        <v>6</v>
      </c>
      <c r="C146" s="30" t="s">
        <v>792</v>
      </c>
      <c r="D146" s="31">
        <v>46260.875</v>
      </c>
      <c r="E146" s="31">
        <v>46261.25</v>
      </c>
      <c r="F146" s="30" t="s">
        <v>793</v>
      </c>
    </row>
    <row r="147" spans="1:6" ht="31" x14ac:dyDescent="0.35">
      <c r="A147" s="29" t="s">
        <v>428</v>
      </c>
      <c r="B147" s="29" t="s">
        <v>2</v>
      </c>
      <c r="C147" s="30" t="s">
        <v>782</v>
      </c>
      <c r="D147" s="31">
        <v>46260.833333333299</v>
      </c>
      <c r="E147" s="31">
        <v>46261.208333333299</v>
      </c>
      <c r="F147" s="30" t="s">
        <v>783</v>
      </c>
    </row>
    <row r="148" spans="1:6" ht="46.5" x14ac:dyDescent="0.35">
      <c r="A148" s="29" t="s">
        <v>428</v>
      </c>
      <c r="B148" s="29" t="s">
        <v>6</v>
      </c>
      <c r="C148" s="30" t="s">
        <v>786</v>
      </c>
      <c r="D148" s="31">
        <v>46260.916666666701</v>
      </c>
      <c r="E148" s="31">
        <v>46261.25</v>
      </c>
      <c r="F148" s="30" t="s">
        <v>787</v>
      </c>
    </row>
    <row r="149" spans="1:6" ht="46.5" x14ac:dyDescent="0.35">
      <c r="A149" s="29" t="s">
        <v>428</v>
      </c>
      <c r="B149" s="29" t="s">
        <v>2</v>
      </c>
      <c r="C149" s="30" t="s">
        <v>790</v>
      </c>
      <c r="D149" s="31">
        <v>46260.875</v>
      </c>
      <c r="E149" s="31">
        <v>46261.25</v>
      </c>
      <c r="F149" s="30" t="s">
        <v>791</v>
      </c>
    </row>
    <row r="150" spans="1:6" ht="46.5" x14ac:dyDescent="0.35">
      <c r="A150" s="29" t="s">
        <v>428</v>
      </c>
      <c r="B150" s="29" t="s">
        <v>2</v>
      </c>
      <c r="C150" s="30" t="s">
        <v>450</v>
      </c>
      <c r="D150" s="31">
        <v>46260.916666666701</v>
      </c>
      <c r="E150" s="31">
        <v>46261.25</v>
      </c>
      <c r="F150" s="30" t="s">
        <v>451</v>
      </c>
    </row>
    <row r="151" spans="1:6" ht="31" x14ac:dyDescent="0.35">
      <c r="A151" s="29" t="s">
        <v>238</v>
      </c>
      <c r="B151" s="29" t="s">
        <v>6</v>
      </c>
      <c r="C151" s="30" t="s">
        <v>598</v>
      </c>
      <c r="D151" s="31">
        <v>46260.833333333299</v>
      </c>
      <c r="E151" s="31">
        <v>46261.25</v>
      </c>
      <c r="F151" s="30" t="s">
        <v>237</v>
      </c>
    </row>
    <row r="152" spans="1:6" ht="31" x14ac:dyDescent="0.35">
      <c r="A152" s="29" t="s">
        <v>238</v>
      </c>
      <c r="B152" s="29" t="s">
        <v>6</v>
      </c>
      <c r="C152" s="30" t="s">
        <v>599</v>
      </c>
      <c r="D152" s="31">
        <v>46260.833333333299</v>
      </c>
      <c r="E152" s="31">
        <v>46261.25</v>
      </c>
      <c r="F152" s="30" t="s">
        <v>237</v>
      </c>
    </row>
    <row r="153" spans="1:6" ht="46.5" x14ac:dyDescent="0.35">
      <c r="A153" s="29" t="s">
        <v>238</v>
      </c>
      <c r="B153" s="29" t="s">
        <v>6</v>
      </c>
      <c r="C153" s="30" t="s">
        <v>600</v>
      </c>
      <c r="D153" s="31">
        <v>46260.833333333299</v>
      </c>
      <c r="E153" s="31">
        <v>46261.25</v>
      </c>
      <c r="F153" s="30" t="s">
        <v>237</v>
      </c>
    </row>
    <row r="154" spans="1:6" ht="46.5" x14ac:dyDescent="0.35">
      <c r="A154" s="29" t="s">
        <v>238</v>
      </c>
      <c r="B154" s="29" t="s">
        <v>6</v>
      </c>
      <c r="C154" s="30" t="s">
        <v>601</v>
      </c>
      <c r="D154" s="31">
        <v>46260.833333333299</v>
      </c>
      <c r="E154" s="31">
        <v>46261.25</v>
      </c>
      <c r="F154" s="30" t="s">
        <v>237</v>
      </c>
    </row>
    <row r="155" spans="1:6" ht="46.5" x14ac:dyDescent="0.35">
      <c r="A155" s="29" t="s">
        <v>238</v>
      </c>
      <c r="B155" s="29" t="s">
        <v>6</v>
      </c>
      <c r="C155" s="30" t="s">
        <v>602</v>
      </c>
      <c r="D155" s="31">
        <v>46260.833333333299</v>
      </c>
      <c r="E155" s="31">
        <v>46261.25</v>
      </c>
      <c r="F155" s="30" t="s">
        <v>237</v>
      </c>
    </row>
    <row r="156" spans="1:6" ht="46.5" x14ac:dyDescent="0.35">
      <c r="A156" s="29" t="s">
        <v>238</v>
      </c>
      <c r="B156" s="29" t="s">
        <v>6</v>
      </c>
      <c r="C156" s="30" t="s">
        <v>603</v>
      </c>
      <c r="D156" s="31">
        <v>46260.833333333299</v>
      </c>
      <c r="E156" s="31">
        <v>46261.25</v>
      </c>
      <c r="F156" s="30" t="s">
        <v>237</v>
      </c>
    </row>
    <row r="157" spans="1:6" ht="62" x14ac:dyDescent="0.35">
      <c r="A157" s="29" t="s">
        <v>238</v>
      </c>
      <c r="B157" s="29" t="s">
        <v>6</v>
      </c>
      <c r="C157" s="30" t="s">
        <v>604</v>
      </c>
      <c r="D157" s="31">
        <v>46260.833333333299</v>
      </c>
      <c r="E157" s="31">
        <v>46261.25</v>
      </c>
      <c r="F157" s="30" t="s">
        <v>237</v>
      </c>
    </row>
    <row r="158" spans="1:6" ht="46.5" x14ac:dyDescent="0.35">
      <c r="A158" s="29" t="s">
        <v>238</v>
      </c>
      <c r="B158" s="29" t="s">
        <v>2</v>
      </c>
      <c r="C158" s="30" t="s">
        <v>799</v>
      </c>
      <c r="D158" s="31">
        <v>46260.833333333299</v>
      </c>
      <c r="E158" s="31">
        <v>46261.25</v>
      </c>
      <c r="F158" s="30" t="s">
        <v>249</v>
      </c>
    </row>
    <row r="159" spans="1:6" ht="46.5" x14ac:dyDescent="0.35">
      <c r="A159" s="29" t="s">
        <v>238</v>
      </c>
      <c r="B159" s="29" t="s">
        <v>2</v>
      </c>
      <c r="C159" s="30" t="s">
        <v>800</v>
      </c>
      <c r="D159" s="31">
        <v>46260.833333333299</v>
      </c>
      <c r="E159" s="31">
        <v>46261.25</v>
      </c>
      <c r="F159" s="30" t="s">
        <v>249</v>
      </c>
    </row>
    <row r="160" spans="1:6" ht="46.5" x14ac:dyDescent="0.35">
      <c r="A160" s="29" t="s">
        <v>238</v>
      </c>
      <c r="B160" s="29" t="s">
        <v>2</v>
      </c>
      <c r="C160" s="30" t="s">
        <v>801</v>
      </c>
      <c r="D160" s="31">
        <v>46260.833333333299</v>
      </c>
      <c r="E160" s="31">
        <v>46261.25</v>
      </c>
      <c r="F160" s="30" t="s">
        <v>249</v>
      </c>
    </row>
    <row r="161" spans="1:6" ht="46.5" x14ac:dyDescent="0.35">
      <c r="A161" s="29" t="s">
        <v>235</v>
      </c>
      <c r="B161" s="29" t="s">
        <v>5</v>
      </c>
      <c r="C161" s="30" t="s">
        <v>740</v>
      </c>
      <c r="D161" s="31">
        <v>46260.875</v>
      </c>
      <c r="E161" s="31">
        <v>46261.208333333299</v>
      </c>
      <c r="F161" s="30" t="s">
        <v>253</v>
      </c>
    </row>
    <row r="162" spans="1:6" ht="46.5" x14ac:dyDescent="0.35">
      <c r="A162" s="29" t="s">
        <v>235</v>
      </c>
      <c r="B162" s="29" t="s">
        <v>5</v>
      </c>
      <c r="C162" s="30" t="s">
        <v>744</v>
      </c>
      <c r="D162" s="31">
        <v>46260.875</v>
      </c>
      <c r="E162" s="31">
        <v>46261.25</v>
      </c>
      <c r="F162" s="30" t="s">
        <v>622</v>
      </c>
    </row>
    <row r="163" spans="1:6" ht="62" x14ac:dyDescent="0.35">
      <c r="A163" s="29" t="s">
        <v>235</v>
      </c>
      <c r="B163" s="29" t="s">
        <v>5</v>
      </c>
      <c r="C163" s="30" t="s">
        <v>745</v>
      </c>
      <c r="D163" s="31">
        <v>46260.875</v>
      </c>
      <c r="E163" s="31">
        <v>46261.25</v>
      </c>
      <c r="F163" s="30" t="s">
        <v>746</v>
      </c>
    </row>
    <row r="164" spans="1:6" ht="46.5" x14ac:dyDescent="0.35">
      <c r="A164" s="29" t="s">
        <v>232</v>
      </c>
      <c r="B164" s="29" t="s">
        <v>6</v>
      </c>
      <c r="C164" s="30" t="s">
        <v>233</v>
      </c>
      <c r="D164" s="31">
        <v>45804.208333333299</v>
      </c>
      <c r="E164" s="31">
        <v>46418.208333333299</v>
      </c>
      <c r="F164" s="30" t="s">
        <v>234</v>
      </c>
    </row>
    <row r="165" spans="1:6" ht="46.5" x14ac:dyDescent="0.35">
      <c r="A165" s="29" t="s">
        <v>232</v>
      </c>
      <c r="B165" s="29" t="s">
        <v>2</v>
      </c>
      <c r="C165" s="30" t="s">
        <v>743</v>
      </c>
      <c r="D165" s="31">
        <v>46260.833333333299</v>
      </c>
      <c r="E165" s="31">
        <v>46261.25</v>
      </c>
      <c r="F165" s="30" t="s">
        <v>618</v>
      </c>
    </row>
    <row r="166" spans="1:6" ht="62" x14ac:dyDescent="0.35">
      <c r="A166" s="29" t="s">
        <v>283</v>
      </c>
      <c r="B166" s="29" t="s">
        <v>5</v>
      </c>
      <c r="C166" s="30" t="s">
        <v>284</v>
      </c>
      <c r="D166" s="31">
        <v>46260.875</v>
      </c>
      <c r="E166" s="31">
        <v>46261.208333333299</v>
      </c>
      <c r="F166" s="30" t="s">
        <v>285</v>
      </c>
    </row>
    <row r="167" spans="1:6" ht="93" x14ac:dyDescent="0.35">
      <c r="A167" s="29" t="s">
        <v>283</v>
      </c>
      <c r="B167" s="29" t="s">
        <v>5</v>
      </c>
      <c r="C167" s="30" t="s">
        <v>286</v>
      </c>
      <c r="D167" s="31">
        <v>46260.875</v>
      </c>
      <c r="E167" s="31">
        <v>46261.208333333299</v>
      </c>
      <c r="F167" s="30" t="s">
        <v>285</v>
      </c>
    </row>
    <row r="168" spans="1:6" ht="93" x14ac:dyDescent="0.35">
      <c r="A168" s="29" t="s">
        <v>111</v>
      </c>
      <c r="B168" s="29" t="s">
        <v>6</v>
      </c>
      <c r="C168" s="30" t="s">
        <v>112</v>
      </c>
      <c r="D168" s="31">
        <v>46260.833333333299</v>
      </c>
      <c r="E168" s="31">
        <v>46261.25</v>
      </c>
      <c r="F168" s="30" t="s">
        <v>113</v>
      </c>
    </row>
    <row r="169" spans="1:6" ht="62" x14ac:dyDescent="0.35">
      <c r="A169" s="29" t="s">
        <v>111</v>
      </c>
      <c r="B169" s="29" t="s">
        <v>6</v>
      </c>
      <c r="C169" s="30" t="s">
        <v>266</v>
      </c>
      <c r="D169" s="31">
        <v>46260.875</v>
      </c>
      <c r="E169" s="31">
        <v>46261.208333333299</v>
      </c>
      <c r="F169" s="30" t="s">
        <v>267</v>
      </c>
    </row>
    <row r="170" spans="1:6" ht="77.5" x14ac:dyDescent="0.35">
      <c r="A170" s="29" t="s">
        <v>111</v>
      </c>
      <c r="B170" s="29" t="s">
        <v>6</v>
      </c>
      <c r="C170" s="30" t="s">
        <v>268</v>
      </c>
      <c r="D170" s="31">
        <v>46260.875</v>
      </c>
      <c r="E170" s="31">
        <v>46261.208333333299</v>
      </c>
      <c r="F170" s="30" t="s">
        <v>267</v>
      </c>
    </row>
    <row r="171" spans="1:6" ht="77.5" x14ac:dyDescent="0.35">
      <c r="A171" s="29" t="s">
        <v>111</v>
      </c>
      <c r="B171" s="29" t="s">
        <v>6</v>
      </c>
      <c r="C171" s="30" t="s">
        <v>630</v>
      </c>
      <c r="D171" s="31">
        <v>46260.833333333299</v>
      </c>
      <c r="E171" s="31">
        <v>46261.208333333299</v>
      </c>
      <c r="F171" s="30" t="s">
        <v>631</v>
      </c>
    </row>
    <row r="172" spans="1:6" ht="108.5" x14ac:dyDescent="0.35">
      <c r="A172" s="29" t="s">
        <v>111</v>
      </c>
      <c r="B172" s="29" t="s">
        <v>2</v>
      </c>
      <c r="C172" s="30" t="s">
        <v>752</v>
      </c>
      <c r="D172" s="31">
        <v>46260.916666666701</v>
      </c>
      <c r="E172" s="31">
        <v>46261.25</v>
      </c>
      <c r="F172" s="30" t="s">
        <v>753</v>
      </c>
    </row>
    <row r="173" spans="1:6" ht="93" x14ac:dyDescent="0.35">
      <c r="A173" s="29" t="s">
        <v>111</v>
      </c>
      <c r="B173" s="29" t="s">
        <v>2</v>
      </c>
      <c r="C173" s="30" t="s">
        <v>455</v>
      </c>
      <c r="D173" s="31">
        <v>46260.875</v>
      </c>
      <c r="E173" s="31">
        <v>46261.25</v>
      </c>
      <c r="F173" s="30" t="s">
        <v>456</v>
      </c>
    </row>
    <row r="174" spans="1:6" ht="62" x14ac:dyDescent="0.35">
      <c r="A174" s="29" t="s">
        <v>111</v>
      </c>
      <c r="B174" s="29" t="s">
        <v>2</v>
      </c>
      <c r="C174" s="30" t="s">
        <v>457</v>
      </c>
      <c r="D174" s="31">
        <v>46260.875</v>
      </c>
      <c r="E174" s="31">
        <v>46261.25</v>
      </c>
      <c r="F174" s="30" t="s">
        <v>456</v>
      </c>
    </row>
    <row r="175" spans="1:6" ht="62" x14ac:dyDescent="0.35">
      <c r="A175" s="29" t="s">
        <v>111</v>
      </c>
      <c r="B175" s="29" t="s">
        <v>2</v>
      </c>
      <c r="C175" s="30" t="s">
        <v>458</v>
      </c>
      <c r="D175" s="31">
        <v>46260.875</v>
      </c>
      <c r="E175" s="31">
        <v>46261.25</v>
      </c>
      <c r="F175" s="30" t="s">
        <v>456</v>
      </c>
    </row>
    <row r="176" spans="1:6" ht="62" x14ac:dyDescent="0.35">
      <c r="A176" s="29" t="s">
        <v>269</v>
      </c>
      <c r="B176" s="29" t="s">
        <v>7</v>
      </c>
      <c r="C176" s="30" t="s">
        <v>623</v>
      </c>
      <c r="D176" s="31">
        <v>46260.875</v>
      </c>
      <c r="E176" s="31">
        <v>46261.25</v>
      </c>
      <c r="F176" s="30" t="s">
        <v>300</v>
      </c>
    </row>
    <row r="177" spans="1:6" ht="62" x14ac:dyDescent="0.35">
      <c r="A177" s="29" t="s">
        <v>269</v>
      </c>
      <c r="B177" s="29" t="s">
        <v>7</v>
      </c>
      <c r="C177" s="30" t="s">
        <v>624</v>
      </c>
      <c r="D177" s="31">
        <v>46260.875</v>
      </c>
      <c r="E177" s="31">
        <v>46261.25</v>
      </c>
      <c r="F177" s="30" t="s">
        <v>300</v>
      </c>
    </row>
    <row r="178" spans="1:6" ht="93" x14ac:dyDescent="0.35">
      <c r="A178" s="29" t="s">
        <v>269</v>
      </c>
      <c r="B178" s="29" t="s">
        <v>7</v>
      </c>
      <c r="C178" s="30" t="s">
        <v>626</v>
      </c>
      <c r="D178" s="31">
        <v>46260.875</v>
      </c>
      <c r="E178" s="31">
        <v>46261.25</v>
      </c>
      <c r="F178" s="30" t="s">
        <v>300</v>
      </c>
    </row>
    <row r="179" spans="1:6" ht="124" x14ac:dyDescent="0.35">
      <c r="A179" s="29" t="s">
        <v>167</v>
      </c>
      <c r="B179" s="29" t="s">
        <v>6</v>
      </c>
      <c r="C179" s="30" t="s">
        <v>168</v>
      </c>
      <c r="D179" s="31">
        <v>46260.833333333299</v>
      </c>
      <c r="E179" s="31">
        <v>46261.25</v>
      </c>
      <c r="F179" s="30" t="s">
        <v>169</v>
      </c>
    </row>
    <row r="180" spans="1:6" ht="124" x14ac:dyDescent="0.35">
      <c r="A180" s="29" t="s">
        <v>167</v>
      </c>
      <c r="B180" s="29" t="s">
        <v>6</v>
      </c>
      <c r="C180" s="30" t="s">
        <v>170</v>
      </c>
      <c r="D180" s="31">
        <v>46260.833333333299</v>
      </c>
      <c r="E180" s="31">
        <v>46261.25</v>
      </c>
      <c r="F180" s="30" t="s">
        <v>169</v>
      </c>
    </row>
    <row r="181" spans="1:6" ht="46.5" x14ac:dyDescent="0.35">
      <c r="A181" s="29" t="s">
        <v>167</v>
      </c>
      <c r="B181" s="29" t="s">
        <v>6</v>
      </c>
      <c r="C181" s="30" t="s">
        <v>171</v>
      </c>
      <c r="D181" s="31">
        <v>46260.833333333299</v>
      </c>
      <c r="E181" s="31">
        <v>46261.25</v>
      </c>
      <c r="F181" s="30" t="s">
        <v>169</v>
      </c>
    </row>
    <row r="182" spans="1:6" ht="62" x14ac:dyDescent="0.35">
      <c r="A182" s="29" t="s">
        <v>167</v>
      </c>
      <c r="B182" s="29" t="s">
        <v>6</v>
      </c>
      <c r="C182" s="30" t="s">
        <v>172</v>
      </c>
      <c r="D182" s="31">
        <v>46260.833333333299</v>
      </c>
      <c r="E182" s="31">
        <v>46261.25</v>
      </c>
      <c r="F182" s="30" t="s">
        <v>169</v>
      </c>
    </row>
    <row r="183" spans="1:6" ht="62" x14ac:dyDescent="0.35">
      <c r="A183" s="29" t="s">
        <v>167</v>
      </c>
      <c r="B183" s="29" t="s">
        <v>6</v>
      </c>
      <c r="C183" s="30" t="s">
        <v>173</v>
      </c>
      <c r="D183" s="31">
        <v>46260.833333333299</v>
      </c>
      <c r="E183" s="31">
        <v>46261.25</v>
      </c>
      <c r="F183" s="30" t="s">
        <v>169</v>
      </c>
    </row>
    <row r="184" spans="1:6" ht="108.5" x14ac:dyDescent="0.35">
      <c r="A184" s="29" t="s">
        <v>167</v>
      </c>
      <c r="B184" s="29" t="s">
        <v>6</v>
      </c>
      <c r="C184" s="30" t="s">
        <v>174</v>
      </c>
      <c r="D184" s="31">
        <v>46260.833333333299</v>
      </c>
      <c r="E184" s="31">
        <v>46261.25</v>
      </c>
      <c r="F184" s="30" t="s">
        <v>169</v>
      </c>
    </row>
    <row r="185" spans="1:6" ht="62" x14ac:dyDescent="0.35">
      <c r="A185" s="29" t="s">
        <v>245</v>
      </c>
      <c r="B185" s="29" t="s">
        <v>2</v>
      </c>
      <c r="C185" s="30" t="s">
        <v>246</v>
      </c>
      <c r="D185" s="31">
        <v>46260.875</v>
      </c>
      <c r="E185" s="31">
        <v>46261.25</v>
      </c>
      <c r="F185" s="30" t="s">
        <v>247</v>
      </c>
    </row>
    <row r="186" spans="1:6" ht="124" x14ac:dyDescent="0.35">
      <c r="A186" s="29" t="s">
        <v>133</v>
      </c>
      <c r="B186" s="29" t="s">
        <v>4</v>
      </c>
      <c r="C186" s="30" t="s">
        <v>134</v>
      </c>
      <c r="D186" s="31">
        <v>46260.833333333299</v>
      </c>
      <c r="E186" s="31">
        <v>46261.25</v>
      </c>
      <c r="F186" s="30" t="s">
        <v>135</v>
      </c>
    </row>
    <row r="187" spans="1:6" ht="124" x14ac:dyDescent="0.35">
      <c r="A187" s="29" t="s">
        <v>133</v>
      </c>
      <c r="B187" s="29" t="s">
        <v>4</v>
      </c>
      <c r="C187" s="30" t="s">
        <v>136</v>
      </c>
      <c r="D187" s="31">
        <v>46260.833333333299</v>
      </c>
      <c r="E187" s="31">
        <v>46261.25</v>
      </c>
      <c r="F187" s="30" t="s">
        <v>135</v>
      </c>
    </row>
    <row r="188" spans="1:6" ht="139.5" x14ac:dyDescent="0.35">
      <c r="A188" s="29" t="s">
        <v>133</v>
      </c>
      <c r="B188" s="29" t="s">
        <v>4</v>
      </c>
      <c r="C188" s="30" t="s">
        <v>137</v>
      </c>
      <c r="D188" s="31">
        <v>46260.833333333299</v>
      </c>
      <c r="E188" s="31">
        <v>46261.25</v>
      </c>
      <c r="F188" s="30" t="s">
        <v>135</v>
      </c>
    </row>
    <row r="189" spans="1:6" ht="139.5" x14ac:dyDescent="0.35">
      <c r="A189" s="29" t="s">
        <v>133</v>
      </c>
      <c r="B189" s="29" t="s">
        <v>4</v>
      </c>
      <c r="C189" s="30" t="s">
        <v>138</v>
      </c>
      <c r="D189" s="31">
        <v>46260.833333333299</v>
      </c>
      <c r="E189" s="31">
        <v>46261.25</v>
      </c>
      <c r="F189" s="30" t="s">
        <v>135</v>
      </c>
    </row>
    <row r="190" spans="1:6" ht="46.5" x14ac:dyDescent="0.35">
      <c r="A190" s="29" t="s">
        <v>133</v>
      </c>
      <c r="B190" s="29" t="s">
        <v>5</v>
      </c>
      <c r="C190" s="30" t="s">
        <v>139</v>
      </c>
      <c r="D190" s="31">
        <v>46260.833333333299</v>
      </c>
      <c r="E190" s="31">
        <v>46261.25</v>
      </c>
      <c r="F190" s="30" t="s">
        <v>135</v>
      </c>
    </row>
    <row r="191" spans="1:6" ht="31" x14ac:dyDescent="0.35">
      <c r="A191" s="29" t="s">
        <v>133</v>
      </c>
      <c r="B191" s="29" t="s">
        <v>5</v>
      </c>
      <c r="C191" s="30" t="s">
        <v>140</v>
      </c>
      <c r="D191" s="31">
        <v>46260.833333333299</v>
      </c>
      <c r="E191" s="31">
        <v>46261.25</v>
      </c>
      <c r="F191" s="30" t="s">
        <v>135</v>
      </c>
    </row>
    <row r="192" spans="1:6" ht="77.5" x14ac:dyDescent="0.35">
      <c r="A192" s="29" t="s">
        <v>133</v>
      </c>
      <c r="B192" s="29" t="s">
        <v>5</v>
      </c>
      <c r="C192" s="30" t="s">
        <v>141</v>
      </c>
      <c r="D192" s="31">
        <v>46260.833333333299</v>
      </c>
      <c r="E192" s="31">
        <v>46261.25</v>
      </c>
      <c r="F192" s="30" t="s">
        <v>135</v>
      </c>
    </row>
    <row r="193" spans="1:6" ht="77.5" x14ac:dyDescent="0.35">
      <c r="A193" s="29" t="s">
        <v>133</v>
      </c>
      <c r="B193" s="29" t="s">
        <v>5</v>
      </c>
      <c r="C193" s="30" t="s">
        <v>142</v>
      </c>
      <c r="D193" s="31">
        <v>46260.833333333299</v>
      </c>
      <c r="E193" s="31">
        <v>46261.25</v>
      </c>
      <c r="F193" s="30" t="s">
        <v>135</v>
      </c>
    </row>
    <row r="194" spans="1:6" ht="108.5" x14ac:dyDescent="0.35">
      <c r="A194" s="29" t="s">
        <v>133</v>
      </c>
      <c r="B194" s="29" t="s">
        <v>5</v>
      </c>
      <c r="C194" s="30" t="s">
        <v>153</v>
      </c>
      <c r="D194" s="31">
        <v>46260.833333333299</v>
      </c>
      <c r="E194" s="31">
        <v>46261.25</v>
      </c>
      <c r="F194" s="30" t="s">
        <v>154</v>
      </c>
    </row>
    <row r="195" spans="1:6" ht="62" x14ac:dyDescent="0.35">
      <c r="A195" s="29" t="s">
        <v>133</v>
      </c>
      <c r="B195" s="29" t="s">
        <v>4</v>
      </c>
      <c r="C195" s="30" t="s">
        <v>155</v>
      </c>
      <c r="D195" s="31">
        <v>46260.833333333299</v>
      </c>
      <c r="E195" s="31">
        <v>46261.25</v>
      </c>
      <c r="F195" s="30" t="s">
        <v>154</v>
      </c>
    </row>
    <row r="196" spans="1:6" ht="62" x14ac:dyDescent="0.35">
      <c r="A196" s="29" t="s">
        <v>133</v>
      </c>
      <c r="B196" s="29" t="s">
        <v>5</v>
      </c>
      <c r="C196" s="30" t="s">
        <v>715</v>
      </c>
      <c r="D196" s="31">
        <v>46260.833333333299</v>
      </c>
      <c r="E196" s="31">
        <v>46261.25</v>
      </c>
      <c r="F196" s="30" t="s">
        <v>716</v>
      </c>
    </row>
    <row r="197" spans="1:6" ht="46.5" x14ac:dyDescent="0.35">
      <c r="A197" s="29" t="s">
        <v>133</v>
      </c>
      <c r="B197" s="29" t="s">
        <v>5</v>
      </c>
      <c r="C197" s="30" t="s">
        <v>717</v>
      </c>
      <c r="D197" s="31">
        <v>46260.833333333299</v>
      </c>
      <c r="E197" s="31">
        <v>46261.25</v>
      </c>
      <c r="F197" s="30" t="s">
        <v>716</v>
      </c>
    </row>
    <row r="198" spans="1:6" ht="77.5" x14ac:dyDescent="0.35">
      <c r="A198" s="29" t="s">
        <v>133</v>
      </c>
      <c r="B198" s="29" t="s">
        <v>4</v>
      </c>
      <c r="C198" s="30" t="s">
        <v>725</v>
      </c>
      <c r="D198" s="31">
        <v>46260.833333333299</v>
      </c>
      <c r="E198" s="31">
        <v>46261.25</v>
      </c>
      <c r="F198" s="30" t="s">
        <v>187</v>
      </c>
    </row>
    <row r="199" spans="1:6" ht="77.5" x14ac:dyDescent="0.35">
      <c r="A199" s="29" t="s">
        <v>133</v>
      </c>
      <c r="B199" s="29" t="s">
        <v>5</v>
      </c>
      <c r="C199" s="30" t="s">
        <v>726</v>
      </c>
      <c r="D199" s="31">
        <v>46260.833333333299</v>
      </c>
      <c r="E199" s="31">
        <v>46261.208333333299</v>
      </c>
      <c r="F199" s="30" t="s">
        <v>727</v>
      </c>
    </row>
    <row r="200" spans="1:6" ht="77.5" x14ac:dyDescent="0.35">
      <c r="A200" s="29" t="s">
        <v>133</v>
      </c>
      <c r="B200" s="29" t="s">
        <v>4</v>
      </c>
      <c r="C200" s="30" t="s">
        <v>605</v>
      </c>
      <c r="D200" s="31">
        <v>46260.833333333299</v>
      </c>
      <c r="E200" s="31">
        <v>46261.208333333299</v>
      </c>
      <c r="F200" s="30" t="s">
        <v>606</v>
      </c>
    </row>
    <row r="201" spans="1:6" ht="77.5" x14ac:dyDescent="0.35">
      <c r="A201" s="29" t="s">
        <v>133</v>
      </c>
      <c r="B201" s="29" t="s">
        <v>5</v>
      </c>
      <c r="C201" s="30" t="s">
        <v>607</v>
      </c>
      <c r="D201" s="31">
        <v>46260.833333333299</v>
      </c>
      <c r="E201" s="31">
        <v>46261.208333333299</v>
      </c>
      <c r="F201" s="30" t="s">
        <v>606</v>
      </c>
    </row>
    <row r="202" spans="1:6" ht="77.5" x14ac:dyDescent="0.35">
      <c r="A202" s="29" t="s">
        <v>133</v>
      </c>
      <c r="B202" s="29" t="s">
        <v>4</v>
      </c>
      <c r="C202" s="30" t="s">
        <v>742</v>
      </c>
      <c r="D202" s="31">
        <v>46260.875</v>
      </c>
      <c r="E202" s="31">
        <v>46261.208333333299</v>
      </c>
      <c r="F202" s="30" t="s">
        <v>616</v>
      </c>
    </row>
    <row r="203" spans="1:6" ht="77.5" x14ac:dyDescent="0.35">
      <c r="A203" s="29" t="s">
        <v>133</v>
      </c>
      <c r="B203" s="29" t="s">
        <v>5</v>
      </c>
      <c r="C203" s="30" t="s">
        <v>625</v>
      </c>
      <c r="D203" s="31">
        <v>46260.875</v>
      </c>
      <c r="E203" s="31">
        <v>46261.25</v>
      </c>
      <c r="F203" s="30" t="s">
        <v>300</v>
      </c>
    </row>
    <row r="204" spans="1:6" ht="93" x14ac:dyDescent="0.35">
      <c r="A204" s="29" t="s">
        <v>133</v>
      </c>
      <c r="B204" s="29" t="s">
        <v>5</v>
      </c>
      <c r="C204" s="30" t="s">
        <v>750</v>
      </c>
      <c r="D204" s="31">
        <v>46260.875</v>
      </c>
      <c r="E204" s="31">
        <v>46261.208333333299</v>
      </c>
      <c r="F204" s="30" t="s">
        <v>751</v>
      </c>
    </row>
    <row r="205" spans="1:6" ht="77.5" x14ac:dyDescent="0.35">
      <c r="A205" s="29" t="s">
        <v>723</v>
      </c>
      <c r="B205" s="29" t="s">
        <v>7</v>
      </c>
      <c r="C205" s="30" t="s">
        <v>724</v>
      </c>
      <c r="D205" s="31">
        <v>46260.833333333299</v>
      </c>
      <c r="E205" s="31">
        <v>46261.25</v>
      </c>
      <c r="F205" s="30" t="s">
        <v>187</v>
      </c>
    </row>
    <row r="206" spans="1:6" ht="77.5" x14ac:dyDescent="0.35">
      <c r="A206" s="29" t="s">
        <v>256</v>
      </c>
      <c r="B206" s="29" t="s">
        <v>5</v>
      </c>
      <c r="C206" s="30" t="s">
        <v>257</v>
      </c>
      <c r="D206" s="31">
        <v>46260.875</v>
      </c>
      <c r="E206" s="31">
        <v>46261.25</v>
      </c>
      <c r="F206" s="30" t="s">
        <v>258</v>
      </c>
    </row>
    <row r="207" spans="1:6" ht="77.5" x14ac:dyDescent="0.35">
      <c r="A207" s="29" t="s">
        <v>256</v>
      </c>
      <c r="B207" s="29" t="s">
        <v>5</v>
      </c>
      <c r="C207" s="30" t="s">
        <v>259</v>
      </c>
      <c r="D207" s="31">
        <v>46260.875</v>
      </c>
      <c r="E207" s="31">
        <v>46261.25</v>
      </c>
      <c r="F207" s="30" t="s">
        <v>258</v>
      </c>
    </row>
    <row r="208" spans="1:6" ht="46.5" x14ac:dyDescent="0.35">
      <c r="A208" s="29" t="s">
        <v>256</v>
      </c>
      <c r="B208" s="29" t="s">
        <v>4</v>
      </c>
      <c r="C208" s="30" t="s">
        <v>747</v>
      </c>
      <c r="D208" s="31">
        <v>46260.875</v>
      </c>
      <c r="E208" s="31">
        <v>46261.25</v>
      </c>
      <c r="F208" s="30" t="s">
        <v>748</v>
      </c>
    </row>
    <row r="209" spans="1:6" ht="46.5" x14ac:dyDescent="0.35">
      <c r="A209" s="32" t="s">
        <v>256</v>
      </c>
      <c r="B209" s="32" t="s">
        <v>4</v>
      </c>
      <c r="C209" s="33" t="s">
        <v>749</v>
      </c>
      <c r="D209" s="34">
        <v>46260.875</v>
      </c>
      <c r="E209" s="34">
        <v>46261.25</v>
      </c>
      <c r="F209" s="33" t="s">
        <v>748</v>
      </c>
    </row>
    <row r="210" spans="1:6" x14ac:dyDescent="0.35">
      <c r="A210" s="29"/>
      <c r="B210" s="29"/>
      <c r="C210" s="30"/>
      <c r="D210" s="31"/>
      <c r="E210" s="31"/>
      <c r="F210" s="30"/>
    </row>
    <row r="211" spans="1:6" x14ac:dyDescent="0.35">
      <c r="A211" s="29"/>
      <c r="B211" s="29"/>
      <c r="C211" s="30"/>
      <c r="D211" s="31"/>
      <c r="E211" s="31"/>
      <c r="F211" s="30"/>
    </row>
    <row r="212" spans="1:6" x14ac:dyDescent="0.35">
      <c r="A212" s="29"/>
      <c r="B212" s="29"/>
      <c r="C212" s="30"/>
      <c r="D212" s="31"/>
      <c r="E212" s="31"/>
      <c r="F212" s="30"/>
    </row>
    <row r="213" spans="1:6" x14ac:dyDescent="0.35">
      <c r="A213" s="29"/>
      <c r="B213" s="29"/>
      <c r="C213" s="30"/>
      <c r="D213" s="31"/>
      <c r="E213" s="31"/>
      <c r="F213" s="30"/>
    </row>
    <row r="214" spans="1:6" x14ac:dyDescent="0.35">
      <c r="A214" s="29"/>
      <c r="B214" s="29"/>
      <c r="C214" s="30"/>
      <c r="D214" s="31"/>
      <c r="E214" s="31"/>
      <c r="F214" s="30"/>
    </row>
    <row r="215" spans="1:6" x14ac:dyDescent="0.35">
      <c r="A215" s="29"/>
      <c r="B215" s="29"/>
      <c r="C215" s="30"/>
      <c r="D215" s="31"/>
      <c r="E215" s="31"/>
      <c r="F215" s="30"/>
    </row>
    <row r="216" spans="1:6" x14ac:dyDescent="0.35">
      <c r="A216" s="29"/>
      <c r="B216" s="29"/>
      <c r="C216" s="30"/>
      <c r="D216" s="31"/>
      <c r="E216" s="31"/>
      <c r="F216" s="30"/>
    </row>
    <row r="217" spans="1:6" x14ac:dyDescent="0.35">
      <c r="A217" s="29"/>
      <c r="B217" s="29"/>
      <c r="C217" s="30"/>
      <c r="D217" s="31"/>
      <c r="E217" s="31"/>
      <c r="F217" s="30"/>
    </row>
    <row r="218" spans="1:6" x14ac:dyDescent="0.35">
      <c r="A218" s="29"/>
      <c r="B218" s="29"/>
      <c r="C218" s="30"/>
      <c r="D218" s="31"/>
      <c r="E218" s="31"/>
      <c r="F218" s="30"/>
    </row>
    <row r="219" spans="1:6" x14ac:dyDescent="0.35">
      <c r="A219" s="32"/>
      <c r="B219" s="32"/>
      <c r="C219" s="33"/>
      <c r="D219" s="34"/>
      <c r="E219" s="34"/>
      <c r="F219" s="33"/>
    </row>
  </sheetData>
  <autoFilter ref="A2:F168" xr:uid="{AA130394-1D05-441B-B98F-42298AADC7B0}">
    <sortState xmlns:xlrd2="http://schemas.microsoft.com/office/spreadsheetml/2017/richdata2" ref="A3:F209">
      <sortCondition ref="A2:A168"/>
    </sortState>
  </autoFilter>
  <mergeCells count="1">
    <mergeCell ref="A1:F1"/>
  </mergeCells>
  <conditionalFormatting sqref="A210:F219">
    <cfRule type="expression" dxfId="8" priority="2">
      <formula>$J210="Over 12 hours"</formula>
    </cfRule>
  </conditionalFormatting>
  <conditionalFormatting sqref="A3:F209">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203"/>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35" t="str">
        <f>"Daily closure report: "&amp;'Front page'!A5</f>
        <v>Daily closure report: Thursday, 27 August</v>
      </c>
      <c r="B1" s="35"/>
      <c r="C1" s="35"/>
      <c r="D1" s="35"/>
      <c r="E1" s="35"/>
      <c r="F1" s="35"/>
    </row>
    <row r="2" spans="1:6" s="5" customFormat="1" ht="28" x14ac:dyDescent="0.35">
      <c r="A2" s="12" t="s">
        <v>9</v>
      </c>
      <c r="B2" s="12" t="s">
        <v>1</v>
      </c>
      <c r="C2" s="12" t="s">
        <v>0</v>
      </c>
      <c r="D2" s="11" t="s">
        <v>11</v>
      </c>
      <c r="E2" s="11" t="s">
        <v>12</v>
      </c>
      <c r="F2" s="12" t="s">
        <v>10</v>
      </c>
    </row>
    <row r="3" spans="1:6" s="4" customFormat="1" ht="62" x14ac:dyDescent="0.35">
      <c r="A3" s="26" t="s">
        <v>45</v>
      </c>
      <c r="B3" s="26" t="s">
        <v>2</v>
      </c>
      <c r="C3" s="26" t="s">
        <v>515</v>
      </c>
      <c r="D3" s="28">
        <v>46261.875</v>
      </c>
      <c r="E3" s="28">
        <v>46262.208333333299</v>
      </c>
      <c r="F3" s="26" t="s">
        <v>516</v>
      </c>
    </row>
    <row r="4" spans="1:6" s="4" customFormat="1" ht="77.5" x14ac:dyDescent="0.35">
      <c r="A4" s="26" t="s">
        <v>45</v>
      </c>
      <c r="B4" s="26" t="s">
        <v>2</v>
      </c>
      <c r="C4" s="26" t="s">
        <v>519</v>
      </c>
      <c r="D4" s="28">
        <v>46261.833333333299</v>
      </c>
      <c r="E4" s="28">
        <v>46262.25</v>
      </c>
      <c r="F4" s="26" t="s">
        <v>520</v>
      </c>
    </row>
    <row r="5" spans="1:6" s="4" customFormat="1" ht="77.5" x14ac:dyDescent="0.35">
      <c r="A5" s="26" t="s">
        <v>45</v>
      </c>
      <c r="B5" s="26" t="s">
        <v>23</v>
      </c>
      <c r="C5" s="26" t="s">
        <v>53</v>
      </c>
      <c r="D5" s="28">
        <v>45847.208333333299</v>
      </c>
      <c r="E5" s="28">
        <v>46507.999305555597</v>
      </c>
      <c r="F5" s="26" t="s">
        <v>54</v>
      </c>
    </row>
    <row r="6" spans="1:6" s="4" customFormat="1" ht="62" x14ac:dyDescent="0.35">
      <c r="A6" s="26" t="s">
        <v>45</v>
      </c>
      <c r="B6" s="26" t="s">
        <v>6</v>
      </c>
      <c r="C6" s="26" t="s">
        <v>114</v>
      </c>
      <c r="D6" s="28">
        <v>46261.833333333299</v>
      </c>
      <c r="E6" s="28">
        <v>46262.25</v>
      </c>
      <c r="F6" s="26" t="s">
        <v>115</v>
      </c>
    </row>
    <row r="7" spans="1:6" s="4" customFormat="1" ht="62" x14ac:dyDescent="0.35">
      <c r="A7" s="26" t="s">
        <v>45</v>
      </c>
      <c r="B7" s="26" t="s">
        <v>6</v>
      </c>
      <c r="C7" s="26" t="s">
        <v>116</v>
      </c>
      <c r="D7" s="28">
        <v>46261.833333333299</v>
      </c>
      <c r="E7" s="28">
        <v>46262.25</v>
      </c>
      <c r="F7" s="26" t="s">
        <v>115</v>
      </c>
    </row>
    <row r="8" spans="1:6" s="4" customFormat="1" ht="46.5" x14ac:dyDescent="0.35">
      <c r="A8" s="26" t="s">
        <v>45</v>
      </c>
      <c r="B8" s="26" t="s">
        <v>6</v>
      </c>
      <c r="C8" s="26" t="s">
        <v>117</v>
      </c>
      <c r="D8" s="28">
        <v>46261.833333333299</v>
      </c>
      <c r="E8" s="28">
        <v>46262.25</v>
      </c>
      <c r="F8" s="26" t="s">
        <v>115</v>
      </c>
    </row>
    <row r="9" spans="1:6" s="4" customFormat="1" ht="77.5" x14ac:dyDescent="0.35">
      <c r="A9" s="26" t="s">
        <v>45</v>
      </c>
      <c r="B9" s="26" t="s">
        <v>6</v>
      </c>
      <c r="C9" s="26" t="s">
        <v>118</v>
      </c>
      <c r="D9" s="28">
        <v>46261.833333333299</v>
      </c>
      <c r="E9" s="28">
        <v>46262.25</v>
      </c>
      <c r="F9" s="26" t="s">
        <v>115</v>
      </c>
    </row>
    <row r="10" spans="1:6" s="4" customFormat="1" ht="46.5" x14ac:dyDescent="0.35">
      <c r="A10" s="26" t="s">
        <v>45</v>
      </c>
      <c r="B10" s="26" t="s">
        <v>6</v>
      </c>
      <c r="C10" s="26" t="s">
        <v>119</v>
      </c>
      <c r="D10" s="28">
        <v>46261.833333333299</v>
      </c>
      <c r="E10" s="28">
        <v>46262.25</v>
      </c>
      <c r="F10" s="26" t="s">
        <v>115</v>
      </c>
    </row>
    <row r="11" spans="1:6" s="4" customFormat="1" ht="46.5" x14ac:dyDescent="0.35">
      <c r="A11" s="26" t="s">
        <v>45</v>
      </c>
      <c r="B11" s="26" t="s">
        <v>6</v>
      </c>
      <c r="C11" s="26" t="s">
        <v>120</v>
      </c>
      <c r="D11" s="28">
        <v>46261.833333333299</v>
      </c>
      <c r="E11" s="28">
        <v>46262.25</v>
      </c>
      <c r="F11" s="26" t="s">
        <v>115</v>
      </c>
    </row>
    <row r="12" spans="1:6" s="3" customFormat="1" ht="46.5" x14ac:dyDescent="0.35">
      <c r="A12" s="26" t="s">
        <v>45</v>
      </c>
      <c r="B12" s="26" t="s">
        <v>2</v>
      </c>
      <c r="C12" s="26" t="s">
        <v>585</v>
      </c>
      <c r="D12" s="28">
        <v>46261.833333333299</v>
      </c>
      <c r="E12" s="28">
        <v>46262.25</v>
      </c>
      <c r="F12" s="26" t="s">
        <v>586</v>
      </c>
    </row>
    <row r="13" spans="1:6" s="3" customFormat="1" ht="46.5" x14ac:dyDescent="0.35">
      <c r="A13" s="26" t="s">
        <v>45</v>
      </c>
      <c r="B13" s="26" t="s">
        <v>6</v>
      </c>
      <c r="C13" s="26" t="s">
        <v>587</v>
      </c>
      <c r="D13" s="28">
        <v>46261.833333333299</v>
      </c>
      <c r="E13" s="28">
        <v>46262.25</v>
      </c>
      <c r="F13" s="26" t="s">
        <v>588</v>
      </c>
    </row>
    <row r="14" spans="1:6" s="3" customFormat="1" ht="46.5" x14ac:dyDescent="0.35">
      <c r="A14" s="26" t="s">
        <v>45</v>
      </c>
      <c r="B14" s="26" t="s">
        <v>6</v>
      </c>
      <c r="C14" s="26" t="s">
        <v>589</v>
      </c>
      <c r="D14" s="28">
        <v>46261.833333333299</v>
      </c>
      <c r="E14" s="28">
        <v>46262.25</v>
      </c>
      <c r="F14" s="26" t="s">
        <v>588</v>
      </c>
    </row>
    <row r="15" spans="1:6" s="3" customFormat="1" ht="62" x14ac:dyDescent="0.35">
      <c r="A15" s="26" t="s">
        <v>61</v>
      </c>
      <c r="B15" s="26" t="s">
        <v>2</v>
      </c>
      <c r="C15" s="26" t="s">
        <v>62</v>
      </c>
      <c r="D15" s="28">
        <v>46261.875</v>
      </c>
      <c r="E15" s="28">
        <v>46262.208333333299</v>
      </c>
      <c r="F15" s="26" t="s">
        <v>63</v>
      </c>
    </row>
    <row r="16" spans="1:6" s="3" customFormat="1" ht="46.5" x14ac:dyDescent="0.35">
      <c r="A16" s="26" t="s">
        <v>61</v>
      </c>
      <c r="B16" s="26" t="s">
        <v>2</v>
      </c>
      <c r="C16" s="26" t="s">
        <v>534</v>
      </c>
      <c r="D16" s="28">
        <v>46261.875</v>
      </c>
      <c r="E16" s="28">
        <v>46262.208333333299</v>
      </c>
      <c r="F16" s="26" t="s">
        <v>535</v>
      </c>
    </row>
    <row r="17" spans="1:6" s="3" customFormat="1" ht="46.5" x14ac:dyDescent="0.35">
      <c r="A17" s="26" t="s">
        <v>61</v>
      </c>
      <c r="B17" s="26" t="s">
        <v>6</v>
      </c>
      <c r="C17" s="26" t="s">
        <v>572</v>
      </c>
      <c r="D17" s="28">
        <v>46261.833333333299</v>
      </c>
      <c r="E17" s="28">
        <v>46262.208333333299</v>
      </c>
      <c r="F17" s="26" t="s">
        <v>573</v>
      </c>
    </row>
    <row r="18" spans="1:6" s="3" customFormat="1" ht="46.5" x14ac:dyDescent="0.35">
      <c r="A18" s="26" t="s">
        <v>61</v>
      </c>
      <c r="B18" s="26" t="s">
        <v>2</v>
      </c>
      <c r="C18" s="26" t="s">
        <v>576</v>
      </c>
      <c r="D18" s="28">
        <v>46261.833333333299</v>
      </c>
      <c r="E18" s="28">
        <v>46262.25</v>
      </c>
      <c r="F18" s="26" t="s">
        <v>197</v>
      </c>
    </row>
    <row r="19" spans="1:6" s="4" customFormat="1" ht="46.5" x14ac:dyDescent="0.35">
      <c r="A19" s="26" t="s">
        <v>61</v>
      </c>
      <c r="B19" s="26" t="s">
        <v>2</v>
      </c>
      <c r="C19" s="26" t="s">
        <v>577</v>
      </c>
      <c r="D19" s="28">
        <v>46261.833333333299</v>
      </c>
      <c r="E19" s="28">
        <v>46262.25</v>
      </c>
      <c r="F19" s="26" t="s">
        <v>197</v>
      </c>
    </row>
    <row r="20" spans="1:6" s="4" customFormat="1" ht="62" x14ac:dyDescent="0.35">
      <c r="A20" s="26" t="s">
        <v>61</v>
      </c>
      <c r="B20" s="26" t="s">
        <v>2</v>
      </c>
      <c r="C20" s="26" t="s">
        <v>578</v>
      </c>
      <c r="D20" s="28">
        <v>46261.833333333299</v>
      </c>
      <c r="E20" s="28">
        <v>46262.25</v>
      </c>
      <c r="F20" s="26" t="s">
        <v>197</v>
      </c>
    </row>
    <row r="21" spans="1:6" s="4" customFormat="1" ht="62" x14ac:dyDescent="0.35">
      <c r="A21" s="26" t="s">
        <v>61</v>
      </c>
      <c r="B21" s="26" t="s">
        <v>2</v>
      </c>
      <c r="C21" s="26" t="s">
        <v>579</v>
      </c>
      <c r="D21" s="28">
        <v>46261.833333333299</v>
      </c>
      <c r="E21" s="28">
        <v>46262.25</v>
      </c>
      <c r="F21" s="26" t="s">
        <v>197</v>
      </c>
    </row>
    <row r="22" spans="1:6" s="4" customFormat="1" ht="62" x14ac:dyDescent="0.35">
      <c r="A22" s="26" t="s">
        <v>61</v>
      </c>
      <c r="B22" s="26" t="s">
        <v>2</v>
      </c>
      <c r="C22" s="26" t="s">
        <v>580</v>
      </c>
      <c r="D22" s="28">
        <v>46261.833333333299</v>
      </c>
      <c r="E22" s="28">
        <v>46262.25</v>
      </c>
      <c r="F22" s="26" t="s">
        <v>197</v>
      </c>
    </row>
    <row r="23" spans="1:6" s="4" customFormat="1" ht="62" x14ac:dyDescent="0.35">
      <c r="A23" s="26" t="s">
        <v>61</v>
      </c>
      <c r="B23" s="26" t="s">
        <v>6</v>
      </c>
      <c r="C23" s="26" t="s">
        <v>590</v>
      </c>
      <c r="D23" s="28">
        <v>46261.833333333299</v>
      </c>
      <c r="E23" s="28">
        <v>46262.25</v>
      </c>
      <c r="F23" s="26" t="s">
        <v>591</v>
      </c>
    </row>
    <row r="24" spans="1:6" s="4" customFormat="1" ht="62" x14ac:dyDescent="0.35">
      <c r="A24" s="26" t="s">
        <v>61</v>
      </c>
      <c r="B24" s="26" t="s">
        <v>6</v>
      </c>
      <c r="C24" s="26" t="s">
        <v>592</v>
      </c>
      <c r="D24" s="28">
        <v>46261.833333333299</v>
      </c>
      <c r="E24" s="28">
        <v>46262.25</v>
      </c>
      <c r="F24" s="26" t="s">
        <v>591</v>
      </c>
    </row>
    <row r="25" spans="1:6" s="4" customFormat="1" ht="62" x14ac:dyDescent="0.35">
      <c r="A25" s="26" t="s">
        <v>61</v>
      </c>
      <c r="B25" s="26" t="s">
        <v>6</v>
      </c>
      <c r="C25" s="26" t="s">
        <v>665</v>
      </c>
      <c r="D25" s="28">
        <v>46261.916666666701</v>
      </c>
      <c r="E25" s="28">
        <v>46262.229166666701</v>
      </c>
      <c r="F25" s="26" t="s">
        <v>666</v>
      </c>
    </row>
    <row r="26" spans="1:6" s="4" customFormat="1" ht="62" x14ac:dyDescent="0.35">
      <c r="A26" s="26" t="s">
        <v>405</v>
      </c>
      <c r="B26" s="26" t="s">
        <v>6</v>
      </c>
      <c r="C26" s="26" t="s">
        <v>406</v>
      </c>
      <c r="D26" s="28">
        <v>46261.833333333299</v>
      </c>
      <c r="E26" s="28">
        <v>46262.166666666701</v>
      </c>
      <c r="F26" s="26" t="s">
        <v>407</v>
      </c>
    </row>
    <row r="27" spans="1:6" s="4" customFormat="1" ht="62" x14ac:dyDescent="0.35">
      <c r="A27" s="26" t="s">
        <v>528</v>
      </c>
      <c r="B27" s="26" t="s">
        <v>6</v>
      </c>
      <c r="C27" s="26" t="s">
        <v>529</v>
      </c>
      <c r="D27" s="28">
        <v>46261.875</v>
      </c>
      <c r="E27" s="28">
        <v>46262.208333333299</v>
      </c>
      <c r="F27" s="26" t="s">
        <v>530</v>
      </c>
    </row>
    <row r="28" spans="1:6" s="4" customFormat="1" ht="93" x14ac:dyDescent="0.35">
      <c r="A28" s="26" t="s">
        <v>528</v>
      </c>
      <c r="B28" s="26" t="s">
        <v>6</v>
      </c>
      <c r="C28" s="26" t="s">
        <v>531</v>
      </c>
      <c r="D28" s="28">
        <v>46261.875</v>
      </c>
      <c r="E28" s="28">
        <v>46262.208333333299</v>
      </c>
      <c r="F28" s="26" t="s">
        <v>530</v>
      </c>
    </row>
    <row r="29" spans="1:6" s="4" customFormat="1" ht="93" x14ac:dyDescent="0.35">
      <c r="A29" s="26" t="s">
        <v>17</v>
      </c>
      <c r="B29" s="26" t="s">
        <v>6</v>
      </c>
      <c r="C29" s="26" t="s">
        <v>18</v>
      </c>
      <c r="D29" s="28">
        <v>46261.875</v>
      </c>
      <c r="E29" s="28">
        <v>46262.208333333299</v>
      </c>
      <c r="F29" s="26" t="s">
        <v>19</v>
      </c>
    </row>
    <row r="30" spans="1:6" s="4" customFormat="1" ht="93" x14ac:dyDescent="0.35">
      <c r="A30" s="26" t="s">
        <v>17</v>
      </c>
      <c r="B30" s="26" t="s">
        <v>6</v>
      </c>
      <c r="C30" s="26" t="s">
        <v>517</v>
      </c>
      <c r="D30" s="28">
        <v>46261.875</v>
      </c>
      <c r="E30" s="28">
        <v>46262.208333333299</v>
      </c>
      <c r="F30" s="26" t="s">
        <v>518</v>
      </c>
    </row>
    <row r="31" spans="1:6" s="4" customFormat="1" ht="93" x14ac:dyDescent="0.35">
      <c r="A31" s="26" t="s">
        <v>17</v>
      </c>
      <c r="B31" s="26" t="s">
        <v>6</v>
      </c>
      <c r="C31" s="26" t="s">
        <v>521</v>
      </c>
      <c r="D31" s="28">
        <v>46261.875</v>
      </c>
      <c r="E31" s="28">
        <v>46262.208333333299</v>
      </c>
      <c r="F31" s="26" t="s">
        <v>522</v>
      </c>
    </row>
    <row r="32" spans="1:6" s="4" customFormat="1" ht="93" x14ac:dyDescent="0.35">
      <c r="A32" s="26" t="s">
        <v>658</v>
      </c>
      <c r="B32" s="26" t="s">
        <v>4</v>
      </c>
      <c r="C32" s="26" t="s">
        <v>659</v>
      </c>
      <c r="D32" s="28">
        <v>46261.916666666701</v>
      </c>
      <c r="E32" s="28">
        <v>46262.229166666701</v>
      </c>
      <c r="F32" s="26" t="s">
        <v>660</v>
      </c>
    </row>
    <row r="33" spans="1:6" s="4" customFormat="1" ht="93" x14ac:dyDescent="0.35">
      <c r="A33" s="26" t="s">
        <v>29</v>
      </c>
      <c r="B33" s="26" t="s">
        <v>5</v>
      </c>
      <c r="C33" s="26" t="s">
        <v>523</v>
      </c>
      <c r="D33" s="28">
        <v>46261.833333333299</v>
      </c>
      <c r="E33" s="28">
        <v>46262.25</v>
      </c>
      <c r="F33" s="26" t="s">
        <v>524</v>
      </c>
    </row>
    <row r="34" spans="1:6" s="4" customFormat="1" ht="93" x14ac:dyDescent="0.35">
      <c r="A34" s="26" t="s">
        <v>29</v>
      </c>
      <c r="B34" s="26" t="s">
        <v>5</v>
      </c>
      <c r="C34" s="26" t="s">
        <v>42</v>
      </c>
      <c r="D34" s="28">
        <v>46261.833333333299</v>
      </c>
      <c r="E34" s="28">
        <v>46262.25</v>
      </c>
      <c r="F34" s="26" t="s">
        <v>43</v>
      </c>
    </row>
    <row r="35" spans="1:6" s="4" customFormat="1" ht="93" x14ac:dyDescent="0.35">
      <c r="A35" s="26" t="s">
        <v>29</v>
      </c>
      <c r="B35" s="26" t="s">
        <v>5</v>
      </c>
      <c r="C35" s="26" t="s">
        <v>44</v>
      </c>
      <c r="D35" s="28">
        <v>46261.833333333299</v>
      </c>
      <c r="E35" s="28">
        <v>46262.25</v>
      </c>
      <c r="F35" s="26" t="s">
        <v>43</v>
      </c>
    </row>
    <row r="36" spans="1:6" s="4" customFormat="1" ht="77.5" x14ac:dyDescent="0.35">
      <c r="A36" s="26" t="s">
        <v>29</v>
      </c>
      <c r="B36" s="26" t="s">
        <v>5</v>
      </c>
      <c r="C36" s="26" t="s">
        <v>525</v>
      </c>
      <c r="D36" s="28">
        <v>46261.833333333299</v>
      </c>
      <c r="E36" s="28">
        <v>46262.25</v>
      </c>
      <c r="F36" s="26" t="s">
        <v>526</v>
      </c>
    </row>
    <row r="37" spans="1:6" s="4" customFormat="1" ht="77.5" x14ac:dyDescent="0.35">
      <c r="A37" s="26" t="s">
        <v>29</v>
      </c>
      <c r="B37" s="26" t="s">
        <v>4</v>
      </c>
      <c r="C37" s="26" t="s">
        <v>527</v>
      </c>
      <c r="D37" s="28">
        <v>46261.833333333299</v>
      </c>
      <c r="E37" s="28">
        <v>46262.25</v>
      </c>
      <c r="F37" s="26" t="s">
        <v>526</v>
      </c>
    </row>
    <row r="38" spans="1:6" s="4" customFormat="1" ht="93" x14ac:dyDescent="0.35">
      <c r="A38" s="26" t="s">
        <v>210</v>
      </c>
      <c r="B38" s="26" t="s">
        <v>6</v>
      </c>
      <c r="C38" s="26" t="s">
        <v>593</v>
      </c>
      <c r="D38" s="28">
        <v>46261.833333333299</v>
      </c>
      <c r="E38" s="28">
        <v>46262.25</v>
      </c>
      <c r="F38" s="26" t="s">
        <v>594</v>
      </c>
    </row>
    <row r="39" spans="1:6" s="4" customFormat="1" ht="93" x14ac:dyDescent="0.35">
      <c r="A39" s="26" t="s">
        <v>210</v>
      </c>
      <c r="B39" s="26" t="s">
        <v>2</v>
      </c>
      <c r="C39" s="26" t="s">
        <v>595</v>
      </c>
      <c r="D39" s="28">
        <v>46261.833333333299</v>
      </c>
      <c r="E39" s="28">
        <v>46262.25</v>
      </c>
      <c r="F39" s="26" t="s">
        <v>594</v>
      </c>
    </row>
    <row r="40" spans="1:6" s="4" customFormat="1" ht="93" x14ac:dyDescent="0.35">
      <c r="A40" s="26" t="s">
        <v>210</v>
      </c>
      <c r="B40" s="26" t="s">
        <v>2</v>
      </c>
      <c r="C40" s="26" t="s">
        <v>596</v>
      </c>
      <c r="D40" s="28">
        <v>46261.833333333299</v>
      </c>
      <c r="E40" s="28">
        <v>46262.25</v>
      </c>
      <c r="F40" s="26" t="s">
        <v>597</v>
      </c>
    </row>
    <row r="41" spans="1:6" s="4" customFormat="1" ht="93" x14ac:dyDescent="0.35">
      <c r="A41" s="26" t="s">
        <v>358</v>
      </c>
      <c r="B41" s="26" t="s">
        <v>5</v>
      </c>
      <c r="C41" s="26" t="s">
        <v>639</v>
      </c>
      <c r="D41" s="28">
        <v>46261.833333333299</v>
      </c>
      <c r="E41" s="28">
        <v>46262.25</v>
      </c>
      <c r="F41" s="26" t="s">
        <v>371</v>
      </c>
    </row>
    <row r="42" spans="1:6" s="4" customFormat="1" ht="93" x14ac:dyDescent="0.35">
      <c r="A42" s="26" t="s">
        <v>348</v>
      </c>
      <c r="B42" s="26" t="s">
        <v>23</v>
      </c>
      <c r="C42" s="26" t="s">
        <v>637</v>
      </c>
      <c r="D42" s="28">
        <v>46261.833333333299</v>
      </c>
      <c r="E42" s="28">
        <v>46262.25</v>
      </c>
      <c r="F42" s="26" t="s">
        <v>638</v>
      </c>
    </row>
    <row r="43" spans="1:6" s="4" customFormat="1" ht="93" x14ac:dyDescent="0.35">
      <c r="A43" s="26" t="s">
        <v>368</v>
      </c>
      <c r="B43" s="26" t="s">
        <v>2</v>
      </c>
      <c r="C43" s="26" t="s">
        <v>379</v>
      </c>
      <c r="D43" s="28">
        <v>46261.833333333299</v>
      </c>
      <c r="E43" s="28">
        <v>46262.25</v>
      </c>
      <c r="F43" s="26" t="s">
        <v>380</v>
      </c>
    </row>
    <row r="44" spans="1:6" s="4" customFormat="1" ht="77.5" x14ac:dyDescent="0.35">
      <c r="A44" s="26" t="s">
        <v>645</v>
      </c>
      <c r="B44" s="26" t="s">
        <v>23</v>
      </c>
      <c r="C44" s="26" t="s">
        <v>805</v>
      </c>
      <c r="D44" s="28">
        <v>46261.875</v>
      </c>
      <c r="E44" s="28">
        <v>46262.25</v>
      </c>
      <c r="F44" s="26" t="s">
        <v>646</v>
      </c>
    </row>
    <row r="45" spans="1:6" s="4" customFormat="1" ht="77.5" x14ac:dyDescent="0.35">
      <c r="A45" s="26" t="s">
        <v>351</v>
      </c>
      <c r="B45" s="26" t="s">
        <v>4</v>
      </c>
      <c r="C45" s="26" t="s">
        <v>643</v>
      </c>
      <c r="D45" s="28">
        <v>46261.833333333299</v>
      </c>
      <c r="E45" s="28">
        <v>46262.25</v>
      </c>
      <c r="F45" s="26" t="s">
        <v>644</v>
      </c>
    </row>
    <row r="46" spans="1:6" s="4" customFormat="1" ht="46.5" x14ac:dyDescent="0.35">
      <c r="A46" s="26" t="s">
        <v>387</v>
      </c>
      <c r="B46" s="26" t="s">
        <v>2</v>
      </c>
      <c r="C46" s="26" t="s">
        <v>388</v>
      </c>
      <c r="D46" s="28">
        <v>46261.875</v>
      </c>
      <c r="E46" s="28">
        <v>46262.229166666701</v>
      </c>
      <c r="F46" s="26" t="s">
        <v>389</v>
      </c>
    </row>
    <row r="47" spans="1:6" s="4" customFormat="1" ht="62" x14ac:dyDescent="0.35">
      <c r="A47" s="26" t="s">
        <v>319</v>
      </c>
      <c r="B47" s="26" t="s">
        <v>23</v>
      </c>
      <c r="C47" s="26" t="s">
        <v>333</v>
      </c>
      <c r="D47" s="28">
        <v>46261.875</v>
      </c>
      <c r="E47" s="28">
        <v>46262.25</v>
      </c>
      <c r="F47" s="26" t="s">
        <v>334</v>
      </c>
    </row>
    <row r="48" spans="1:6" s="4" customFormat="1" ht="62" x14ac:dyDescent="0.35">
      <c r="A48" s="26" t="s">
        <v>319</v>
      </c>
      <c r="B48" s="26" t="s">
        <v>6</v>
      </c>
      <c r="C48" s="26" t="s">
        <v>632</v>
      </c>
      <c r="D48" s="28">
        <v>46261.875</v>
      </c>
      <c r="E48" s="28">
        <v>46262.25</v>
      </c>
      <c r="F48" s="26" t="s">
        <v>633</v>
      </c>
    </row>
    <row r="49" spans="1:6" s="4" customFormat="1" ht="62" x14ac:dyDescent="0.35">
      <c r="A49" s="26" t="s">
        <v>319</v>
      </c>
      <c r="B49" s="26" t="s">
        <v>6</v>
      </c>
      <c r="C49" s="26" t="s">
        <v>634</v>
      </c>
      <c r="D49" s="28">
        <v>46261.875</v>
      </c>
      <c r="E49" s="28">
        <v>46262.25</v>
      </c>
      <c r="F49" s="26" t="s">
        <v>633</v>
      </c>
    </row>
    <row r="50" spans="1:6" s="4" customFormat="1" ht="62" x14ac:dyDescent="0.35">
      <c r="A50" s="26" t="s">
        <v>319</v>
      </c>
      <c r="B50" s="26" t="s">
        <v>2</v>
      </c>
      <c r="C50" s="26" t="s">
        <v>635</v>
      </c>
      <c r="D50" s="28">
        <v>46261.875</v>
      </c>
      <c r="E50" s="28">
        <v>46262.25</v>
      </c>
      <c r="F50" s="26" t="s">
        <v>633</v>
      </c>
    </row>
    <row r="51" spans="1:6" s="4" customFormat="1" ht="62" x14ac:dyDescent="0.35">
      <c r="A51" s="26" t="s">
        <v>319</v>
      </c>
      <c r="B51" s="26" t="s">
        <v>2</v>
      </c>
      <c r="C51" s="26" t="s">
        <v>636</v>
      </c>
      <c r="D51" s="28">
        <v>46261.875</v>
      </c>
      <c r="E51" s="28">
        <v>46262.25</v>
      </c>
      <c r="F51" s="26" t="s">
        <v>633</v>
      </c>
    </row>
    <row r="52" spans="1:6" s="4" customFormat="1" ht="62" x14ac:dyDescent="0.35">
      <c r="A52" s="26" t="s">
        <v>319</v>
      </c>
      <c r="B52" s="26" t="s">
        <v>2</v>
      </c>
      <c r="C52" s="26" t="s">
        <v>654</v>
      </c>
      <c r="D52" s="28">
        <v>46261.916666666701</v>
      </c>
      <c r="E52" s="28">
        <v>46262.229166666701</v>
      </c>
      <c r="F52" s="26" t="s">
        <v>655</v>
      </c>
    </row>
    <row r="53" spans="1:6" s="4" customFormat="1" ht="62" x14ac:dyDescent="0.35">
      <c r="A53" s="26" t="s">
        <v>419</v>
      </c>
      <c r="B53" s="26" t="s">
        <v>5</v>
      </c>
      <c r="C53" s="26" t="s">
        <v>669</v>
      </c>
      <c r="D53" s="28">
        <v>46261.833333333299</v>
      </c>
      <c r="E53" s="28">
        <v>46262.25</v>
      </c>
      <c r="F53" s="26" t="s">
        <v>670</v>
      </c>
    </row>
    <row r="54" spans="1:6" s="4" customFormat="1" ht="62" x14ac:dyDescent="0.35">
      <c r="A54" s="26" t="s">
        <v>419</v>
      </c>
      <c r="B54" s="26" t="s">
        <v>5</v>
      </c>
      <c r="C54" s="26" t="s">
        <v>671</v>
      </c>
      <c r="D54" s="28">
        <v>46261.833333333299</v>
      </c>
      <c r="E54" s="28">
        <v>46262.25</v>
      </c>
      <c r="F54" s="26" t="s">
        <v>670</v>
      </c>
    </row>
    <row r="55" spans="1:6" s="4" customFormat="1" ht="108.5" x14ac:dyDescent="0.35">
      <c r="A55" s="26" t="s">
        <v>335</v>
      </c>
      <c r="B55" s="26" t="s">
        <v>5</v>
      </c>
      <c r="C55" s="26" t="s">
        <v>802</v>
      </c>
      <c r="D55" s="28">
        <v>46261.875</v>
      </c>
      <c r="E55" s="28">
        <v>46262.25</v>
      </c>
      <c r="F55" s="26" t="s">
        <v>803</v>
      </c>
    </row>
    <row r="56" spans="1:6" s="4" customFormat="1" ht="108.5" x14ac:dyDescent="0.35">
      <c r="A56" s="26" t="s">
        <v>335</v>
      </c>
      <c r="B56" s="26" t="s">
        <v>4</v>
      </c>
      <c r="C56" s="26" t="s">
        <v>804</v>
      </c>
      <c r="D56" s="28">
        <v>46261.875</v>
      </c>
      <c r="E56" s="28">
        <v>46262.25</v>
      </c>
      <c r="F56" s="26" t="s">
        <v>803</v>
      </c>
    </row>
    <row r="57" spans="1:6" s="4" customFormat="1" ht="108.5" x14ac:dyDescent="0.35">
      <c r="A57" s="26" t="s">
        <v>335</v>
      </c>
      <c r="B57" s="26" t="s">
        <v>23</v>
      </c>
      <c r="C57" s="26" t="s">
        <v>672</v>
      </c>
      <c r="D57" s="28">
        <v>46261.833333333299</v>
      </c>
      <c r="E57" s="28">
        <v>46262.25</v>
      </c>
      <c r="F57" s="26" t="s">
        <v>673</v>
      </c>
    </row>
    <row r="58" spans="1:6" s="4" customFormat="1" ht="77.5" x14ac:dyDescent="0.35">
      <c r="A58" s="26" t="s">
        <v>335</v>
      </c>
      <c r="B58" s="26" t="s">
        <v>23</v>
      </c>
      <c r="C58" s="26" t="s">
        <v>426</v>
      </c>
      <c r="D58" s="28">
        <v>46261.875</v>
      </c>
      <c r="E58" s="28">
        <v>46262.25</v>
      </c>
      <c r="F58" s="26" t="s">
        <v>427</v>
      </c>
    </row>
    <row r="59" spans="1:6" s="4" customFormat="1" ht="77.5" x14ac:dyDescent="0.35">
      <c r="A59" s="26" t="s">
        <v>313</v>
      </c>
      <c r="B59" s="26" t="s">
        <v>2</v>
      </c>
      <c r="C59" s="26" t="s">
        <v>314</v>
      </c>
      <c r="D59" s="28">
        <v>46261.875</v>
      </c>
      <c r="E59" s="28">
        <v>46262.25</v>
      </c>
      <c r="F59" s="26" t="s">
        <v>315</v>
      </c>
    </row>
    <row r="60" spans="1:6" s="4" customFormat="1" ht="77.5" x14ac:dyDescent="0.35">
      <c r="A60" s="26" t="s">
        <v>439</v>
      </c>
      <c r="B60" s="26" t="s">
        <v>23</v>
      </c>
      <c r="C60" s="26" t="s">
        <v>440</v>
      </c>
      <c r="D60" s="28">
        <v>46261.833333333299</v>
      </c>
      <c r="E60" s="28">
        <v>46262.25</v>
      </c>
      <c r="F60" s="26" t="s">
        <v>441</v>
      </c>
    </row>
    <row r="61" spans="1:6" s="4" customFormat="1" ht="77.5" x14ac:dyDescent="0.35">
      <c r="A61" s="26" t="s">
        <v>676</v>
      </c>
      <c r="B61" s="26" t="s">
        <v>23</v>
      </c>
      <c r="C61" s="26" t="s">
        <v>677</v>
      </c>
      <c r="D61" s="28">
        <v>46261.833333333299</v>
      </c>
      <c r="E61" s="28">
        <v>46262.25</v>
      </c>
      <c r="F61" s="26" t="s">
        <v>678</v>
      </c>
    </row>
    <row r="62" spans="1:6" s="4" customFormat="1" ht="93" x14ac:dyDescent="0.35">
      <c r="A62" s="26" t="s">
        <v>108</v>
      </c>
      <c r="B62" s="26" t="s">
        <v>2</v>
      </c>
      <c r="C62" s="26" t="s">
        <v>549</v>
      </c>
      <c r="D62" s="28">
        <v>46261.833333333299</v>
      </c>
      <c r="E62" s="28">
        <v>46262.25</v>
      </c>
      <c r="F62" s="26" t="s">
        <v>110</v>
      </c>
    </row>
    <row r="63" spans="1:6" s="4" customFormat="1" ht="93" x14ac:dyDescent="0.35">
      <c r="A63" s="26" t="s">
        <v>108</v>
      </c>
      <c r="B63" s="26" t="s">
        <v>2</v>
      </c>
      <c r="C63" s="26" t="s">
        <v>550</v>
      </c>
      <c r="D63" s="28">
        <v>46261.833333333299</v>
      </c>
      <c r="E63" s="28">
        <v>46262.25</v>
      </c>
      <c r="F63" s="26" t="s">
        <v>110</v>
      </c>
    </row>
    <row r="64" spans="1:6" s="4" customFormat="1" ht="93" x14ac:dyDescent="0.35">
      <c r="A64" s="26" t="s">
        <v>108</v>
      </c>
      <c r="B64" s="26" t="s">
        <v>2</v>
      </c>
      <c r="C64" s="26" t="s">
        <v>551</v>
      </c>
      <c r="D64" s="28">
        <v>46261.833333333299</v>
      </c>
      <c r="E64" s="28">
        <v>46262.25</v>
      </c>
      <c r="F64" s="26" t="s">
        <v>110</v>
      </c>
    </row>
    <row r="65" spans="1:6" s="4" customFormat="1" ht="93" x14ac:dyDescent="0.35">
      <c r="A65" s="26" t="s">
        <v>108</v>
      </c>
      <c r="B65" s="26" t="s">
        <v>2</v>
      </c>
      <c r="C65" s="26" t="s">
        <v>552</v>
      </c>
      <c r="D65" s="28">
        <v>46261.833333333299</v>
      </c>
      <c r="E65" s="28">
        <v>46262.25</v>
      </c>
      <c r="F65" s="26" t="s">
        <v>110</v>
      </c>
    </row>
    <row r="66" spans="1:6" s="4" customFormat="1" ht="77.5" x14ac:dyDescent="0.35">
      <c r="A66" s="26" t="s">
        <v>108</v>
      </c>
      <c r="B66" s="26" t="s">
        <v>4</v>
      </c>
      <c r="C66" s="26" t="s">
        <v>415</v>
      </c>
      <c r="D66" s="28">
        <v>46261.8125</v>
      </c>
      <c r="E66" s="28">
        <v>46262.25</v>
      </c>
      <c r="F66" s="26" t="s">
        <v>416</v>
      </c>
    </row>
    <row r="67" spans="1:6" s="4" customFormat="1" ht="77.5" x14ac:dyDescent="0.35">
      <c r="A67" s="26" t="s">
        <v>108</v>
      </c>
      <c r="B67" s="26" t="s">
        <v>5</v>
      </c>
      <c r="C67" s="26" t="s">
        <v>417</v>
      </c>
      <c r="D67" s="28">
        <v>46261.8125</v>
      </c>
      <c r="E67" s="28">
        <v>46262.25</v>
      </c>
      <c r="F67" s="26" t="s">
        <v>418</v>
      </c>
    </row>
    <row r="68" spans="1:6" s="4" customFormat="1" ht="77.5" x14ac:dyDescent="0.35">
      <c r="A68" s="26" t="s">
        <v>108</v>
      </c>
      <c r="B68" s="26" t="s">
        <v>6</v>
      </c>
      <c r="C68" s="26" t="s">
        <v>447</v>
      </c>
      <c r="D68" s="28">
        <v>46202.875</v>
      </c>
      <c r="E68" s="28">
        <v>46508.208333333299</v>
      </c>
      <c r="F68" s="26" t="s">
        <v>448</v>
      </c>
    </row>
    <row r="69" spans="1:6" s="4" customFormat="1" ht="77.5" x14ac:dyDescent="0.35">
      <c r="A69" s="26" t="s">
        <v>108</v>
      </c>
      <c r="B69" s="26" t="s">
        <v>6</v>
      </c>
      <c r="C69" s="26" t="s">
        <v>685</v>
      </c>
      <c r="D69" s="28">
        <v>46261.875</v>
      </c>
      <c r="E69" s="28">
        <v>46262.25</v>
      </c>
      <c r="F69" s="26" t="s">
        <v>460</v>
      </c>
    </row>
    <row r="70" spans="1:6" s="4" customFormat="1" ht="77.5" x14ac:dyDescent="0.35">
      <c r="A70" s="26" t="s">
        <v>442</v>
      </c>
      <c r="B70" s="26" t="s">
        <v>2</v>
      </c>
      <c r="C70" s="26" t="s">
        <v>443</v>
      </c>
      <c r="D70" s="28">
        <v>46261.875</v>
      </c>
      <c r="E70" s="28">
        <v>46262.25</v>
      </c>
      <c r="F70" s="26" t="s">
        <v>444</v>
      </c>
    </row>
    <row r="71" spans="1:6" s="4" customFormat="1" ht="77.5" x14ac:dyDescent="0.35">
      <c r="A71" s="26" t="s">
        <v>442</v>
      </c>
      <c r="B71" s="26" t="s">
        <v>6</v>
      </c>
      <c r="C71" s="26" t="s">
        <v>445</v>
      </c>
      <c r="D71" s="28">
        <v>46261.875</v>
      </c>
      <c r="E71" s="28">
        <v>46262.25</v>
      </c>
      <c r="F71" s="26" t="s">
        <v>446</v>
      </c>
    </row>
    <row r="72" spans="1:6" s="4" customFormat="1" ht="77.5" x14ac:dyDescent="0.35">
      <c r="A72" s="26" t="s">
        <v>466</v>
      </c>
      <c r="B72" s="26" t="s">
        <v>6</v>
      </c>
      <c r="C72" s="26" t="s">
        <v>545</v>
      </c>
      <c r="D72" s="28">
        <v>46261.833333333299</v>
      </c>
      <c r="E72" s="28">
        <v>46262.25</v>
      </c>
      <c r="F72" s="26" t="s">
        <v>546</v>
      </c>
    </row>
    <row r="73" spans="1:6" s="4" customFormat="1" ht="77.5" x14ac:dyDescent="0.35">
      <c r="A73" s="26" t="s">
        <v>466</v>
      </c>
      <c r="B73" s="26" t="s">
        <v>6</v>
      </c>
      <c r="C73" s="26" t="s">
        <v>547</v>
      </c>
      <c r="D73" s="28">
        <v>46261.833333333299</v>
      </c>
      <c r="E73" s="28">
        <v>46262.25</v>
      </c>
      <c r="F73" s="26" t="s">
        <v>546</v>
      </c>
    </row>
    <row r="74" spans="1:6" s="4" customFormat="1" ht="77.5" x14ac:dyDescent="0.35">
      <c r="A74" s="26" t="s">
        <v>466</v>
      </c>
      <c r="B74" s="26" t="s">
        <v>7</v>
      </c>
      <c r="C74" s="26" t="s">
        <v>467</v>
      </c>
      <c r="D74" s="28">
        <v>46217.625</v>
      </c>
      <c r="E74" s="28">
        <v>46387.875</v>
      </c>
      <c r="F74" s="26" t="s">
        <v>468</v>
      </c>
    </row>
    <row r="75" spans="1:6" s="4" customFormat="1" ht="46.5" x14ac:dyDescent="0.35">
      <c r="A75" s="26" t="s">
        <v>469</v>
      </c>
      <c r="B75" s="26" t="s">
        <v>2</v>
      </c>
      <c r="C75" s="26" t="s">
        <v>488</v>
      </c>
      <c r="D75" s="28">
        <v>46260.833333333299</v>
      </c>
      <c r="E75" s="28">
        <v>46266.25</v>
      </c>
      <c r="F75" s="26" t="s">
        <v>489</v>
      </c>
    </row>
    <row r="76" spans="1:6" s="4" customFormat="1" ht="93" x14ac:dyDescent="0.35">
      <c r="A76" s="26" t="s">
        <v>469</v>
      </c>
      <c r="B76" s="26" t="s">
        <v>6</v>
      </c>
      <c r="C76" s="26" t="s">
        <v>490</v>
      </c>
      <c r="D76" s="28">
        <v>46260.833333333299</v>
      </c>
      <c r="E76" s="28">
        <v>46266.25</v>
      </c>
      <c r="F76" s="26" t="s">
        <v>489</v>
      </c>
    </row>
    <row r="77" spans="1:6" s="4" customFormat="1" ht="93" x14ac:dyDescent="0.35">
      <c r="A77" s="26" t="s">
        <v>469</v>
      </c>
      <c r="B77" s="26" t="s">
        <v>2</v>
      </c>
      <c r="C77" s="26" t="s">
        <v>686</v>
      </c>
      <c r="D77" s="28">
        <v>46261.833333333299</v>
      </c>
      <c r="E77" s="28">
        <v>46262.25</v>
      </c>
      <c r="F77" s="26" t="s">
        <v>687</v>
      </c>
    </row>
    <row r="78" spans="1:6" s="4" customFormat="1" ht="46.5" x14ac:dyDescent="0.35">
      <c r="A78" s="26" t="s">
        <v>469</v>
      </c>
      <c r="B78" s="26" t="s">
        <v>23</v>
      </c>
      <c r="C78" s="26" t="s">
        <v>473</v>
      </c>
      <c r="D78" s="28">
        <v>46261.875</v>
      </c>
      <c r="E78" s="28">
        <v>46262.25</v>
      </c>
      <c r="F78" s="26" t="s">
        <v>474</v>
      </c>
    </row>
    <row r="79" spans="1:6" s="4" customFormat="1" ht="77.5" x14ac:dyDescent="0.35">
      <c r="A79" s="26" t="s">
        <v>20</v>
      </c>
      <c r="B79" s="26" t="s">
        <v>4</v>
      </c>
      <c r="C79" s="26" t="s">
        <v>21</v>
      </c>
      <c r="D79" s="28">
        <v>46261.833333333299</v>
      </c>
      <c r="E79" s="28">
        <v>46262.25</v>
      </c>
      <c r="F79" s="26" t="s">
        <v>22</v>
      </c>
    </row>
    <row r="80" spans="1:6" s="4" customFormat="1" ht="77.5" x14ac:dyDescent="0.35">
      <c r="A80" s="26" t="s">
        <v>20</v>
      </c>
      <c r="B80" s="26" t="s">
        <v>4</v>
      </c>
      <c r="C80" s="26" t="s">
        <v>25</v>
      </c>
      <c r="D80" s="28">
        <v>46261.833333333299</v>
      </c>
      <c r="E80" s="28">
        <v>46262.25</v>
      </c>
      <c r="F80" s="26" t="s">
        <v>22</v>
      </c>
    </row>
    <row r="81" spans="1:6" s="4" customFormat="1" ht="77.5" x14ac:dyDescent="0.35">
      <c r="A81" s="26" t="s">
        <v>482</v>
      </c>
      <c r="B81" s="26" t="s">
        <v>4</v>
      </c>
      <c r="C81" s="26" t="s">
        <v>483</v>
      </c>
      <c r="D81" s="28">
        <v>46261.833333333299</v>
      </c>
      <c r="E81" s="28">
        <v>46262.208333333299</v>
      </c>
      <c r="F81" s="26" t="s">
        <v>484</v>
      </c>
    </row>
    <row r="82" spans="1:6" s="4" customFormat="1" ht="62" x14ac:dyDescent="0.35">
      <c r="A82" s="26" t="s">
        <v>482</v>
      </c>
      <c r="B82" s="26" t="s">
        <v>4</v>
      </c>
      <c r="C82" s="26" t="s">
        <v>485</v>
      </c>
      <c r="D82" s="28">
        <v>46261.833333333299</v>
      </c>
      <c r="E82" s="28">
        <v>46262.208333333299</v>
      </c>
      <c r="F82" s="26" t="s">
        <v>484</v>
      </c>
    </row>
    <row r="83" spans="1:6" s="4" customFormat="1" ht="62" x14ac:dyDescent="0.35">
      <c r="A83" s="26" t="s">
        <v>482</v>
      </c>
      <c r="B83" s="26" t="s">
        <v>5</v>
      </c>
      <c r="C83" s="26" t="s">
        <v>690</v>
      </c>
      <c r="D83" s="28">
        <v>46261.833333333299</v>
      </c>
      <c r="E83" s="28">
        <v>46262.208333333299</v>
      </c>
      <c r="F83" s="26" t="s">
        <v>691</v>
      </c>
    </row>
    <row r="84" spans="1:6" s="4" customFormat="1" ht="62" x14ac:dyDescent="0.35">
      <c r="A84" s="26" t="s">
        <v>461</v>
      </c>
      <c r="B84" s="26" t="s">
        <v>23</v>
      </c>
      <c r="C84" s="26" t="s">
        <v>462</v>
      </c>
      <c r="D84" s="28">
        <v>46230.833333333299</v>
      </c>
      <c r="E84" s="28">
        <v>46403.25</v>
      </c>
      <c r="F84" s="26" t="s">
        <v>463</v>
      </c>
    </row>
    <row r="85" spans="1:6" s="4" customFormat="1" ht="62" x14ac:dyDescent="0.35">
      <c r="A85" s="26" t="s">
        <v>461</v>
      </c>
      <c r="B85" s="26" t="s">
        <v>2</v>
      </c>
      <c r="C85" s="26" t="s">
        <v>688</v>
      </c>
      <c r="D85" s="28">
        <v>46261.875</v>
      </c>
      <c r="E85" s="28">
        <v>46262.25</v>
      </c>
      <c r="F85" s="26" t="s">
        <v>689</v>
      </c>
    </row>
    <row r="86" spans="1:6" s="4" customFormat="1" ht="62" x14ac:dyDescent="0.35">
      <c r="A86" s="26" t="s">
        <v>280</v>
      </c>
      <c r="B86" s="26" t="s">
        <v>6</v>
      </c>
      <c r="C86" s="26" t="s">
        <v>494</v>
      </c>
      <c r="D86" s="28">
        <v>46230.208333333299</v>
      </c>
      <c r="E86" s="28">
        <v>46266.208333333299</v>
      </c>
      <c r="F86" s="26" t="s">
        <v>495</v>
      </c>
    </row>
    <row r="87" spans="1:6" s="4" customFormat="1" ht="77.5" x14ac:dyDescent="0.35">
      <c r="A87" s="26" t="s">
        <v>185</v>
      </c>
      <c r="B87" s="26" t="s">
        <v>6</v>
      </c>
      <c r="C87" s="26" t="s">
        <v>186</v>
      </c>
      <c r="D87" s="28">
        <v>46237.833333333299</v>
      </c>
      <c r="E87" s="28">
        <v>46326.25</v>
      </c>
      <c r="F87" s="26" t="s">
        <v>187</v>
      </c>
    </row>
    <row r="88" spans="1:6" s="4" customFormat="1" ht="77.5" x14ac:dyDescent="0.35">
      <c r="A88" s="26" t="s">
        <v>185</v>
      </c>
      <c r="B88" s="26" t="s">
        <v>2</v>
      </c>
      <c r="C88" s="26" t="s">
        <v>188</v>
      </c>
      <c r="D88" s="28">
        <v>46237.833333333299</v>
      </c>
      <c r="E88" s="28">
        <v>46326.25</v>
      </c>
      <c r="F88" s="26" t="s">
        <v>187</v>
      </c>
    </row>
    <row r="89" spans="1:6" s="4" customFormat="1" ht="77.5" x14ac:dyDescent="0.35">
      <c r="A89" s="26" t="s">
        <v>178</v>
      </c>
      <c r="B89" s="26" t="s">
        <v>5</v>
      </c>
      <c r="C89" s="26" t="s">
        <v>179</v>
      </c>
      <c r="D89" s="28">
        <v>46261.833333333299</v>
      </c>
      <c r="E89" s="28">
        <v>46262.25</v>
      </c>
      <c r="F89" s="26" t="s">
        <v>180</v>
      </c>
    </row>
    <row r="90" spans="1:6" s="4" customFormat="1" ht="77.5" x14ac:dyDescent="0.35">
      <c r="A90" s="26" t="s">
        <v>163</v>
      </c>
      <c r="B90" s="26" t="s">
        <v>23</v>
      </c>
      <c r="C90" s="26" t="s">
        <v>574</v>
      </c>
      <c r="D90" s="28">
        <v>46261.833333333299</v>
      </c>
      <c r="E90" s="28">
        <v>46262.25</v>
      </c>
      <c r="F90" s="26" t="s">
        <v>575</v>
      </c>
    </row>
    <row r="91" spans="1:6" s="4" customFormat="1" ht="46.5" x14ac:dyDescent="0.35">
      <c r="A91" s="26" t="s">
        <v>203</v>
      </c>
      <c r="B91" s="26" t="s">
        <v>4</v>
      </c>
      <c r="C91" s="26" t="s">
        <v>581</v>
      </c>
      <c r="D91" s="28">
        <v>46261.833333333299</v>
      </c>
      <c r="E91" s="28">
        <v>46262.25</v>
      </c>
      <c r="F91" s="26" t="s">
        <v>205</v>
      </c>
    </row>
    <row r="92" spans="1:6" s="4" customFormat="1" ht="46.5" x14ac:dyDescent="0.35">
      <c r="A92" s="26" t="s">
        <v>203</v>
      </c>
      <c r="B92" s="26" t="s">
        <v>4</v>
      </c>
      <c r="C92" s="26" t="s">
        <v>582</v>
      </c>
      <c r="D92" s="28">
        <v>46261.833333333299</v>
      </c>
      <c r="E92" s="28">
        <v>46262.25</v>
      </c>
      <c r="F92" s="26" t="s">
        <v>205</v>
      </c>
    </row>
    <row r="93" spans="1:6" s="4" customFormat="1" ht="46.5" x14ac:dyDescent="0.35">
      <c r="A93" s="26" t="s">
        <v>203</v>
      </c>
      <c r="B93" s="26" t="s">
        <v>4</v>
      </c>
      <c r="C93" s="26" t="s">
        <v>583</v>
      </c>
      <c r="D93" s="28">
        <v>46261.833333333299</v>
      </c>
      <c r="E93" s="28">
        <v>46262.25</v>
      </c>
      <c r="F93" s="26" t="s">
        <v>205</v>
      </c>
    </row>
    <row r="94" spans="1:6" s="4" customFormat="1" ht="46.5" x14ac:dyDescent="0.35">
      <c r="A94" s="26" t="s">
        <v>203</v>
      </c>
      <c r="B94" s="26" t="s">
        <v>4</v>
      </c>
      <c r="C94" s="26" t="s">
        <v>584</v>
      </c>
      <c r="D94" s="28">
        <v>46261.833333333299</v>
      </c>
      <c r="E94" s="28">
        <v>46262.25</v>
      </c>
      <c r="F94" s="26" t="s">
        <v>205</v>
      </c>
    </row>
    <row r="95" spans="1:6" s="4" customFormat="1" ht="46.5" x14ac:dyDescent="0.35">
      <c r="A95" s="26" t="s">
        <v>295</v>
      </c>
      <c r="B95" s="26" t="s">
        <v>6</v>
      </c>
      <c r="C95" s="26" t="s">
        <v>611</v>
      </c>
      <c r="D95" s="28">
        <v>46261.875</v>
      </c>
      <c r="E95" s="28">
        <v>46262.208333333299</v>
      </c>
      <c r="F95" s="26" t="s">
        <v>612</v>
      </c>
    </row>
    <row r="96" spans="1:6" s="4" customFormat="1" ht="77.5" x14ac:dyDescent="0.35">
      <c r="A96" s="26" t="s">
        <v>58</v>
      </c>
      <c r="B96" s="26" t="s">
        <v>6</v>
      </c>
      <c r="C96" s="26" t="s">
        <v>548</v>
      </c>
      <c r="D96" s="28">
        <v>46261.833333333299</v>
      </c>
      <c r="E96" s="28">
        <v>46262.25</v>
      </c>
      <c r="F96" s="26" t="s">
        <v>98</v>
      </c>
    </row>
    <row r="97" spans="1:6" s="4" customFormat="1" ht="77.5" x14ac:dyDescent="0.35">
      <c r="A97" s="26" t="s">
        <v>58</v>
      </c>
      <c r="B97" s="26" t="s">
        <v>6</v>
      </c>
      <c r="C97" s="26" t="s">
        <v>553</v>
      </c>
      <c r="D97" s="28">
        <v>46261.833333333299</v>
      </c>
      <c r="E97" s="28">
        <v>46262.25</v>
      </c>
      <c r="F97" s="26" t="s">
        <v>554</v>
      </c>
    </row>
    <row r="98" spans="1:6" s="4" customFormat="1" ht="31" x14ac:dyDescent="0.35">
      <c r="A98" s="26" t="s">
        <v>58</v>
      </c>
      <c r="B98" s="26" t="s">
        <v>6</v>
      </c>
      <c r="C98" s="26" t="s">
        <v>555</v>
      </c>
      <c r="D98" s="28">
        <v>46261.833333333299</v>
      </c>
      <c r="E98" s="28">
        <v>46262.25</v>
      </c>
      <c r="F98" s="26" t="s">
        <v>554</v>
      </c>
    </row>
    <row r="99" spans="1:6" s="4" customFormat="1" ht="46.5" x14ac:dyDescent="0.35">
      <c r="A99" s="26" t="s">
        <v>58</v>
      </c>
      <c r="B99" s="26" t="s">
        <v>6</v>
      </c>
      <c r="C99" s="26" t="s">
        <v>556</v>
      </c>
      <c r="D99" s="28">
        <v>46261.833333333299</v>
      </c>
      <c r="E99" s="28">
        <v>46262.25</v>
      </c>
      <c r="F99" s="26" t="s">
        <v>557</v>
      </c>
    </row>
    <row r="100" spans="1:6" s="5" customFormat="1" ht="46.5" x14ac:dyDescent="0.35">
      <c r="A100" s="26" t="s">
        <v>58</v>
      </c>
      <c r="B100" s="26" t="s">
        <v>2</v>
      </c>
      <c r="C100" s="26" t="s">
        <v>564</v>
      </c>
      <c r="D100" s="28">
        <v>46261.833333333299</v>
      </c>
      <c r="E100" s="28">
        <v>46262.25</v>
      </c>
      <c r="F100" s="26" t="s">
        <v>565</v>
      </c>
    </row>
    <row r="101" spans="1:6" s="5" customFormat="1" ht="46.5" x14ac:dyDescent="0.35">
      <c r="A101" s="26" t="s">
        <v>58</v>
      </c>
      <c r="B101" s="26" t="s">
        <v>2</v>
      </c>
      <c r="C101" s="26" t="s">
        <v>566</v>
      </c>
      <c r="D101" s="28">
        <v>46261.833333333299</v>
      </c>
      <c r="E101" s="28">
        <v>46262.25</v>
      </c>
      <c r="F101" s="26" t="s">
        <v>565</v>
      </c>
    </row>
    <row r="102" spans="1:6" s="5" customFormat="1" ht="46.5" x14ac:dyDescent="0.35">
      <c r="A102" s="26" t="s">
        <v>58</v>
      </c>
      <c r="B102" s="26" t="s">
        <v>2</v>
      </c>
      <c r="C102" s="26" t="s">
        <v>567</v>
      </c>
      <c r="D102" s="28">
        <v>46261.833333333299</v>
      </c>
      <c r="E102" s="28">
        <v>46262.25</v>
      </c>
      <c r="F102" s="26" t="s">
        <v>565</v>
      </c>
    </row>
    <row r="103" spans="1:6" s="5" customFormat="1" ht="46.5" x14ac:dyDescent="0.35">
      <c r="A103" s="26" t="s">
        <v>58</v>
      </c>
      <c r="B103" s="26" t="s">
        <v>2</v>
      </c>
      <c r="C103" s="26" t="s">
        <v>570</v>
      </c>
      <c r="D103" s="28">
        <v>46261.833333333299</v>
      </c>
      <c r="E103" s="28">
        <v>46262.25</v>
      </c>
      <c r="F103" s="26" t="s">
        <v>571</v>
      </c>
    </row>
    <row r="104" spans="1:6" s="5" customFormat="1" ht="46.5" x14ac:dyDescent="0.35">
      <c r="A104" s="26" t="s">
        <v>58</v>
      </c>
      <c r="B104" s="26" t="s">
        <v>2</v>
      </c>
      <c r="C104" s="26" t="s">
        <v>662</v>
      </c>
      <c r="D104" s="28">
        <v>46261.916666666701</v>
      </c>
      <c r="E104" s="28">
        <v>46262.229166666701</v>
      </c>
      <c r="F104" s="26" t="s">
        <v>663</v>
      </c>
    </row>
    <row r="105" spans="1:6" s="5" customFormat="1" ht="46.5" x14ac:dyDescent="0.35">
      <c r="A105" s="26" t="s">
        <v>58</v>
      </c>
      <c r="B105" s="26" t="s">
        <v>6</v>
      </c>
      <c r="C105" s="26" t="s">
        <v>692</v>
      </c>
      <c r="D105" s="28">
        <v>46261.833333333299</v>
      </c>
      <c r="E105" s="28">
        <v>46262.208333333299</v>
      </c>
      <c r="F105" s="26" t="s">
        <v>691</v>
      </c>
    </row>
    <row r="106" spans="1:6" s="5" customFormat="1" ht="46.5" x14ac:dyDescent="0.35">
      <c r="A106" s="26" t="s">
        <v>26</v>
      </c>
      <c r="B106" s="26" t="s">
        <v>2</v>
      </c>
      <c r="C106" s="26" t="s">
        <v>27</v>
      </c>
      <c r="D106" s="28">
        <v>46261.875</v>
      </c>
      <c r="E106" s="28">
        <v>46262.208333333299</v>
      </c>
      <c r="F106" s="26" t="s">
        <v>28</v>
      </c>
    </row>
    <row r="107" spans="1:6" s="5" customFormat="1" ht="62" x14ac:dyDescent="0.35">
      <c r="A107" s="26" t="s">
        <v>26</v>
      </c>
      <c r="B107" s="26" t="s">
        <v>6</v>
      </c>
      <c r="C107" s="26" t="s">
        <v>532</v>
      </c>
      <c r="D107" s="28">
        <v>46261.875</v>
      </c>
      <c r="E107" s="28">
        <v>46262.208333333299</v>
      </c>
      <c r="F107" s="26" t="s">
        <v>533</v>
      </c>
    </row>
    <row r="108" spans="1:6" s="5" customFormat="1" ht="46.5" x14ac:dyDescent="0.35">
      <c r="A108" s="26" t="s">
        <v>156</v>
      </c>
      <c r="B108" s="26" t="s">
        <v>6</v>
      </c>
      <c r="C108" s="26" t="s">
        <v>157</v>
      </c>
      <c r="D108" s="28">
        <v>46261.833333333299</v>
      </c>
      <c r="E108" s="28">
        <v>46262.25</v>
      </c>
      <c r="F108" s="26" t="s">
        <v>154</v>
      </c>
    </row>
    <row r="109" spans="1:6" s="5" customFormat="1" ht="46.5" x14ac:dyDescent="0.35">
      <c r="A109" s="26" t="s">
        <v>156</v>
      </c>
      <c r="B109" s="26" t="s">
        <v>6</v>
      </c>
      <c r="C109" s="26" t="s">
        <v>158</v>
      </c>
      <c r="D109" s="28">
        <v>46261.833333333299</v>
      </c>
      <c r="E109" s="28">
        <v>46262.25</v>
      </c>
      <c r="F109" s="26" t="s">
        <v>154</v>
      </c>
    </row>
    <row r="110" spans="1:6" s="5" customFormat="1" ht="46.5" x14ac:dyDescent="0.35">
      <c r="A110" s="26" t="s">
        <v>145</v>
      </c>
      <c r="B110" s="26" t="s">
        <v>4</v>
      </c>
      <c r="C110" s="26" t="s">
        <v>146</v>
      </c>
      <c r="D110" s="28">
        <v>46261.833333333299</v>
      </c>
      <c r="E110" s="28">
        <v>46262.25</v>
      </c>
      <c r="F110" s="26" t="s">
        <v>147</v>
      </c>
    </row>
    <row r="111" spans="1:6" s="5" customFormat="1" ht="46.5" x14ac:dyDescent="0.35">
      <c r="A111" s="26" t="s">
        <v>145</v>
      </c>
      <c r="B111" s="26" t="s">
        <v>4</v>
      </c>
      <c r="C111" s="26" t="s">
        <v>148</v>
      </c>
      <c r="D111" s="28">
        <v>46261.833333333299</v>
      </c>
      <c r="E111" s="28">
        <v>46262.25</v>
      </c>
      <c r="F111" s="26" t="s">
        <v>147</v>
      </c>
    </row>
    <row r="112" spans="1:6" s="5" customFormat="1" ht="46.5" x14ac:dyDescent="0.35">
      <c r="A112" s="26" t="s">
        <v>145</v>
      </c>
      <c r="B112" s="26" t="s">
        <v>4</v>
      </c>
      <c r="C112" s="26" t="s">
        <v>149</v>
      </c>
      <c r="D112" s="28">
        <v>46261.833333333299</v>
      </c>
      <c r="E112" s="28">
        <v>46262.25</v>
      </c>
      <c r="F112" s="26" t="s">
        <v>147</v>
      </c>
    </row>
    <row r="113" spans="1:6" s="5" customFormat="1" ht="46.5" x14ac:dyDescent="0.35">
      <c r="A113" s="26" t="s">
        <v>355</v>
      </c>
      <c r="B113" s="26" t="s">
        <v>4</v>
      </c>
      <c r="C113" s="26" t="s">
        <v>640</v>
      </c>
      <c r="D113" s="28">
        <v>46261.833333333299</v>
      </c>
      <c r="E113" s="28">
        <v>46262.25</v>
      </c>
      <c r="F113" s="26" t="s">
        <v>641</v>
      </c>
    </row>
    <row r="114" spans="1:6" s="5" customFormat="1" ht="46.5" x14ac:dyDescent="0.35">
      <c r="A114" s="26" t="s">
        <v>355</v>
      </c>
      <c r="B114" s="26" t="s">
        <v>5</v>
      </c>
      <c r="C114" s="26" t="s">
        <v>642</v>
      </c>
      <c r="D114" s="28">
        <v>46261.833333333299</v>
      </c>
      <c r="E114" s="28">
        <v>46262.25</v>
      </c>
      <c r="F114" s="26" t="s">
        <v>641</v>
      </c>
    </row>
    <row r="115" spans="1:6" s="5" customFormat="1" ht="46.5" x14ac:dyDescent="0.35">
      <c r="A115" s="26" t="s">
        <v>355</v>
      </c>
      <c r="B115" s="26" t="s">
        <v>5</v>
      </c>
      <c r="C115" s="26" t="s">
        <v>391</v>
      </c>
      <c r="D115" s="28">
        <v>46261.916666666701</v>
      </c>
      <c r="E115" s="28">
        <v>46262.229166666701</v>
      </c>
      <c r="F115" s="26" t="s">
        <v>653</v>
      </c>
    </row>
    <row r="116" spans="1:6" s="5" customFormat="1" ht="46.5" x14ac:dyDescent="0.35">
      <c r="A116" s="26" t="s">
        <v>384</v>
      </c>
      <c r="B116" s="26" t="s">
        <v>8</v>
      </c>
      <c r="C116" s="26" t="s">
        <v>647</v>
      </c>
      <c r="D116" s="28">
        <v>46261.916666666701</v>
      </c>
      <c r="E116" s="28">
        <v>46262.229166666701</v>
      </c>
      <c r="F116" s="26" t="s">
        <v>648</v>
      </c>
    </row>
    <row r="117" spans="1:6" s="5" customFormat="1" ht="46.5" x14ac:dyDescent="0.35">
      <c r="A117" s="26" t="s">
        <v>384</v>
      </c>
      <c r="B117" s="26" t="s">
        <v>7</v>
      </c>
      <c r="C117" s="26" t="s">
        <v>649</v>
      </c>
      <c r="D117" s="28">
        <v>46261.916666666701</v>
      </c>
      <c r="E117" s="28">
        <v>46262.229166666701</v>
      </c>
      <c r="F117" s="26" t="s">
        <v>650</v>
      </c>
    </row>
    <row r="118" spans="1:6" s="5" customFormat="1" ht="46.5" x14ac:dyDescent="0.35">
      <c r="A118" s="26" t="s">
        <v>384</v>
      </c>
      <c r="B118" s="26" t="s">
        <v>7</v>
      </c>
      <c r="C118" s="26" t="s">
        <v>651</v>
      </c>
      <c r="D118" s="28">
        <v>46261.916666666701</v>
      </c>
      <c r="E118" s="28">
        <v>46262.229166666701</v>
      </c>
      <c r="F118" s="26" t="s">
        <v>652</v>
      </c>
    </row>
    <row r="119" spans="1:6" s="5" customFormat="1" ht="46.5" x14ac:dyDescent="0.35">
      <c r="A119" s="26" t="s">
        <v>384</v>
      </c>
      <c r="B119" s="26" t="s">
        <v>8</v>
      </c>
      <c r="C119" s="26" t="s">
        <v>656</v>
      </c>
      <c r="D119" s="28">
        <v>46261.916666666701</v>
      </c>
      <c r="E119" s="28">
        <v>46262.229166666701</v>
      </c>
      <c r="F119" s="26" t="s">
        <v>657</v>
      </c>
    </row>
    <row r="120" spans="1:6" s="5" customFormat="1" ht="46.5" x14ac:dyDescent="0.35">
      <c r="A120" s="26" t="s">
        <v>384</v>
      </c>
      <c r="B120" s="26" t="s">
        <v>8</v>
      </c>
      <c r="C120" s="26" t="s">
        <v>661</v>
      </c>
      <c r="D120" s="28">
        <v>46261.916666666701</v>
      </c>
      <c r="E120" s="28">
        <v>46262.229166666701</v>
      </c>
      <c r="F120" s="26" t="s">
        <v>660</v>
      </c>
    </row>
    <row r="121" spans="1:6" s="5" customFormat="1" ht="46.5" x14ac:dyDescent="0.35">
      <c r="A121" s="26" t="s">
        <v>384</v>
      </c>
      <c r="B121" s="26" t="s">
        <v>8</v>
      </c>
      <c r="C121" s="26" t="s">
        <v>806</v>
      </c>
      <c r="D121" s="28">
        <v>46261.916666666701</v>
      </c>
      <c r="E121" s="28">
        <v>46262.229166666701</v>
      </c>
      <c r="F121" s="26" t="s">
        <v>664</v>
      </c>
    </row>
    <row r="122" spans="1:6" s="5" customFormat="1" ht="46.5" x14ac:dyDescent="0.35">
      <c r="A122" s="26" t="s">
        <v>384</v>
      </c>
      <c r="B122" s="26" t="s">
        <v>8</v>
      </c>
      <c r="C122" s="26" t="s">
        <v>667</v>
      </c>
      <c r="D122" s="28">
        <v>46261.916666666701</v>
      </c>
      <c r="E122" s="28">
        <v>46262.229166666701</v>
      </c>
      <c r="F122" s="26" t="s">
        <v>668</v>
      </c>
    </row>
    <row r="123" spans="1:6" s="5" customFormat="1" ht="62" x14ac:dyDescent="0.35">
      <c r="A123" s="26" t="s">
        <v>316</v>
      </c>
      <c r="B123" s="26" t="s">
        <v>5</v>
      </c>
      <c r="C123" s="26" t="s">
        <v>317</v>
      </c>
      <c r="D123" s="28">
        <v>46261.875</v>
      </c>
      <c r="E123" s="28">
        <v>46262.25</v>
      </c>
      <c r="F123" s="26" t="s">
        <v>318</v>
      </c>
    </row>
    <row r="124" spans="1:6" s="5" customFormat="1" ht="46.5" x14ac:dyDescent="0.35">
      <c r="A124" s="26" t="s">
        <v>310</v>
      </c>
      <c r="B124" s="26" t="s">
        <v>2</v>
      </c>
      <c r="C124" s="26" t="s">
        <v>311</v>
      </c>
      <c r="D124" s="28">
        <v>46237.25</v>
      </c>
      <c r="E124" s="28">
        <v>46692.25</v>
      </c>
      <c r="F124" s="26" t="s">
        <v>312</v>
      </c>
    </row>
    <row r="125" spans="1:6" s="5" customFormat="1" ht="46.5" x14ac:dyDescent="0.35">
      <c r="A125" s="26" t="s">
        <v>679</v>
      </c>
      <c r="B125" s="26" t="s">
        <v>2</v>
      </c>
      <c r="C125" s="26" t="s">
        <v>680</v>
      </c>
      <c r="D125" s="28">
        <v>46261.895833333299</v>
      </c>
      <c r="E125" s="28">
        <v>46262.25</v>
      </c>
      <c r="F125" s="26" t="s">
        <v>681</v>
      </c>
    </row>
    <row r="126" spans="1:6" s="5" customFormat="1" ht="46.5" x14ac:dyDescent="0.35">
      <c r="A126" s="26" t="s">
        <v>679</v>
      </c>
      <c r="B126" s="26" t="s">
        <v>2</v>
      </c>
      <c r="C126" s="26" t="s">
        <v>682</v>
      </c>
      <c r="D126" s="28">
        <v>46261.895833333299</v>
      </c>
      <c r="E126" s="28">
        <v>46262.25</v>
      </c>
      <c r="F126" s="26" t="s">
        <v>681</v>
      </c>
    </row>
    <row r="127" spans="1:6" s="5" customFormat="1" ht="46.5" x14ac:dyDescent="0.35">
      <c r="A127" s="26" t="s">
        <v>80</v>
      </c>
      <c r="B127" s="26" t="s">
        <v>2</v>
      </c>
      <c r="C127" s="26" t="s">
        <v>536</v>
      </c>
      <c r="D127" s="28">
        <v>46261.927083333299</v>
      </c>
      <c r="E127" s="28">
        <v>46262.25</v>
      </c>
      <c r="F127" s="26" t="s">
        <v>537</v>
      </c>
    </row>
    <row r="128" spans="1:6" s="5" customFormat="1" ht="46.5" x14ac:dyDescent="0.35">
      <c r="A128" s="26" t="s">
        <v>80</v>
      </c>
      <c r="B128" s="26" t="s">
        <v>2</v>
      </c>
      <c r="C128" s="26" t="s">
        <v>538</v>
      </c>
      <c r="D128" s="28">
        <v>46261.927083333299</v>
      </c>
      <c r="E128" s="28">
        <v>46262.25</v>
      </c>
      <c r="F128" s="26" t="s">
        <v>537</v>
      </c>
    </row>
    <row r="129" spans="1:6" s="5" customFormat="1" ht="46.5" x14ac:dyDescent="0.35">
      <c r="A129" s="26" t="s">
        <v>80</v>
      </c>
      <c r="B129" s="26" t="s">
        <v>2</v>
      </c>
      <c r="C129" s="26" t="s">
        <v>539</v>
      </c>
      <c r="D129" s="28">
        <v>46261.927083333299</v>
      </c>
      <c r="E129" s="28">
        <v>46262.25</v>
      </c>
      <c r="F129" s="26" t="s">
        <v>537</v>
      </c>
    </row>
    <row r="130" spans="1:6" s="5" customFormat="1" ht="46.5" x14ac:dyDescent="0.35">
      <c r="A130" s="26" t="s">
        <v>80</v>
      </c>
      <c r="B130" s="26" t="s">
        <v>2</v>
      </c>
      <c r="C130" s="26" t="s">
        <v>540</v>
      </c>
      <c r="D130" s="28">
        <v>46261.927083333299</v>
      </c>
      <c r="E130" s="28">
        <v>46262.25</v>
      </c>
      <c r="F130" s="26" t="s">
        <v>537</v>
      </c>
    </row>
    <row r="131" spans="1:6" s="5" customFormat="1" ht="46.5" x14ac:dyDescent="0.35">
      <c r="A131" s="26" t="s">
        <v>80</v>
      </c>
      <c r="B131" s="26" t="s">
        <v>2</v>
      </c>
      <c r="C131" s="26" t="s">
        <v>541</v>
      </c>
      <c r="D131" s="28">
        <v>46261.927083333299</v>
      </c>
      <c r="E131" s="28">
        <v>46262.25</v>
      </c>
      <c r="F131" s="26" t="s">
        <v>537</v>
      </c>
    </row>
    <row r="132" spans="1:6" s="5" customFormat="1" ht="46.5" x14ac:dyDescent="0.35">
      <c r="A132" s="26" t="s">
        <v>80</v>
      </c>
      <c r="B132" s="26" t="s">
        <v>2</v>
      </c>
      <c r="C132" s="26" t="s">
        <v>542</v>
      </c>
      <c r="D132" s="28">
        <v>46261.927083333299</v>
      </c>
      <c r="E132" s="28">
        <v>46262.25</v>
      </c>
      <c r="F132" s="26" t="s">
        <v>537</v>
      </c>
    </row>
    <row r="133" spans="1:6" ht="46.5" x14ac:dyDescent="0.35">
      <c r="A133" s="26" t="s">
        <v>80</v>
      </c>
      <c r="B133" s="26" t="s">
        <v>2</v>
      </c>
      <c r="C133" s="26" t="s">
        <v>543</v>
      </c>
      <c r="D133" s="28">
        <v>46261.927083333299</v>
      </c>
      <c r="E133" s="28">
        <v>46262.25</v>
      </c>
      <c r="F133" s="26" t="s">
        <v>544</v>
      </c>
    </row>
    <row r="134" spans="1:6" ht="46.5" x14ac:dyDescent="0.35">
      <c r="A134" s="26" t="s">
        <v>428</v>
      </c>
      <c r="B134" s="26" t="s">
        <v>2</v>
      </c>
      <c r="C134" s="26" t="s">
        <v>674</v>
      </c>
      <c r="D134" s="28">
        <v>46261.916666666701</v>
      </c>
      <c r="E134" s="28">
        <v>46262.25</v>
      </c>
      <c r="F134" s="26" t="s">
        <v>675</v>
      </c>
    </row>
    <row r="135" spans="1:6" ht="62" x14ac:dyDescent="0.35">
      <c r="A135" s="26" t="s">
        <v>428</v>
      </c>
      <c r="B135" s="26" t="s">
        <v>2</v>
      </c>
      <c r="C135" s="26" t="s">
        <v>683</v>
      </c>
      <c r="D135" s="28">
        <v>46261.875</v>
      </c>
      <c r="E135" s="28">
        <v>46262.25</v>
      </c>
      <c r="F135" s="26" t="s">
        <v>684</v>
      </c>
    </row>
    <row r="136" spans="1:6" ht="62" x14ac:dyDescent="0.35">
      <c r="A136" s="26" t="s">
        <v>428</v>
      </c>
      <c r="B136" s="26" t="s">
        <v>2</v>
      </c>
      <c r="C136" s="26" t="s">
        <v>450</v>
      </c>
      <c r="D136" s="28">
        <v>46261.916666666701</v>
      </c>
      <c r="E136" s="28">
        <v>46262.25</v>
      </c>
      <c r="F136" s="26" t="s">
        <v>451</v>
      </c>
    </row>
    <row r="137" spans="1:6" ht="46.5" x14ac:dyDescent="0.35">
      <c r="A137" s="26" t="s">
        <v>238</v>
      </c>
      <c r="B137" s="26" t="s">
        <v>6</v>
      </c>
      <c r="C137" s="26" t="s">
        <v>598</v>
      </c>
      <c r="D137" s="28">
        <v>46261.833333333299</v>
      </c>
      <c r="E137" s="28">
        <v>46262.25</v>
      </c>
      <c r="F137" s="26" t="s">
        <v>237</v>
      </c>
    </row>
    <row r="138" spans="1:6" ht="31" x14ac:dyDescent="0.35">
      <c r="A138" s="26" t="s">
        <v>238</v>
      </c>
      <c r="B138" s="26" t="s">
        <v>6</v>
      </c>
      <c r="C138" s="26" t="s">
        <v>599</v>
      </c>
      <c r="D138" s="28">
        <v>46261.833333333299</v>
      </c>
      <c r="E138" s="28">
        <v>46262.25</v>
      </c>
      <c r="F138" s="26" t="s">
        <v>237</v>
      </c>
    </row>
    <row r="139" spans="1:6" ht="46.5" x14ac:dyDescent="0.35">
      <c r="A139" s="26" t="s">
        <v>238</v>
      </c>
      <c r="B139" s="26" t="s">
        <v>6</v>
      </c>
      <c r="C139" s="26" t="s">
        <v>600</v>
      </c>
      <c r="D139" s="28">
        <v>46261.833333333299</v>
      </c>
      <c r="E139" s="28">
        <v>46262.25</v>
      </c>
      <c r="F139" s="26" t="s">
        <v>237</v>
      </c>
    </row>
    <row r="140" spans="1:6" ht="46.5" x14ac:dyDescent="0.35">
      <c r="A140" s="26" t="s">
        <v>238</v>
      </c>
      <c r="B140" s="26" t="s">
        <v>6</v>
      </c>
      <c r="C140" s="26" t="s">
        <v>601</v>
      </c>
      <c r="D140" s="28">
        <v>46261.833333333299</v>
      </c>
      <c r="E140" s="28">
        <v>46262.25</v>
      </c>
      <c r="F140" s="26" t="s">
        <v>237</v>
      </c>
    </row>
    <row r="141" spans="1:6" ht="31" x14ac:dyDescent="0.35">
      <c r="A141" s="26" t="s">
        <v>238</v>
      </c>
      <c r="B141" s="26" t="s">
        <v>6</v>
      </c>
      <c r="C141" s="26" t="s">
        <v>602</v>
      </c>
      <c r="D141" s="28">
        <v>46261.833333333299</v>
      </c>
      <c r="E141" s="28">
        <v>46262.25</v>
      </c>
      <c r="F141" s="26" t="s">
        <v>237</v>
      </c>
    </row>
    <row r="142" spans="1:6" ht="46.5" x14ac:dyDescent="0.35">
      <c r="A142" s="26" t="s">
        <v>238</v>
      </c>
      <c r="B142" s="26" t="s">
        <v>6</v>
      </c>
      <c r="C142" s="26" t="s">
        <v>603</v>
      </c>
      <c r="D142" s="28">
        <v>46261.833333333299</v>
      </c>
      <c r="E142" s="28">
        <v>46262.25</v>
      </c>
      <c r="F142" s="26" t="s">
        <v>237</v>
      </c>
    </row>
    <row r="143" spans="1:6" ht="46.5" x14ac:dyDescent="0.35">
      <c r="A143" s="26" t="s">
        <v>238</v>
      </c>
      <c r="B143" s="26" t="s">
        <v>6</v>
      </c>
      <c r="C143" s="26" t="s">
        <v>604</v>
      </c>
      <c r="D143" s="28">
        <v>46261.833333333299</v>
      </c>
      <c r="E143" s="28">
        <v>46262.25</v>
      </c>
      <c r="F143" s="26" t="s">
        <v>237</v>
      </c>
    </row>
    <row r="144" spans="1:6" ht="46.5" x14ac:dyDescent="0.35">
      <c r="A144" s="26" t="s">
        <v>238</v>
      </c>
      <c r="B144" s="26" t="s">
        <v>2</v>
      </c>
      <c r="C144" s="26" t="s">
        <v>799</v>
      </c>
      <c r="D144" s="28">
        <v>46261.833333333299</v>
      </c>
      <c r="E144" s="28">
        <v>46262.25</v>
      </c>
      <c r="F144" s="26" t="s">
        <v>249</v>
      </c>
    </row>
    <row r="145" spans="1:6" ht="46.5" x14ac:dyDescent="0.35">
      <c r="A145" s="26" t="s">
        <v>238</v>
      </c>
      <c r="B145" s="26" t="s">
        <v>2</v>
      </c>
      <c r="C145" s="26" t="s">
        <v>800</v>
      </c>
      <c r="D145" s="28">
        <v>46261.833333333299</v>
      </c>
      <c r="E145" s="28">
        <v>46262.25</v>
      </c>
      <c r="F145" s="26" t="s">
        <v>249</v>
      </c>
    </row>
    <row r="146" spans="1:6" ht="62" x14ac:dyDescent="0.35">
      <c r="A146" s="26" t="s">
        <v>238</v>
      </c>
      <c r="B146" s="26" t="s">
        <v>2</v>
      </c>
      <c r="C146" s="26" t="s">
        <v>801</v>
      </c>
      <c r="D146" s="28">
        <v>46261.833333333299</v>
      </c>
      <c r="E146" s="28">
        <v>46262.25</v>
      </c>
      <c r="F146" s="26" t="s">
        <v>249</v>
      </c>
    </row>
    <row r="147" spans="1:6" ht="46.5" x14ac:dyDescent="0.35">
      <c r="A147" s="26" t="s">
        <v>235</v>
      </c>
      <c r="B147" s="26" t="s">
        <v>5</v>
      </c>
      <c r="C147" s="26" t="s">
        <v>608</v>
      </c>
      <c r="D147" s="28">
        <v>46261.916666666701</v>
      </c>
      <c r="E147" s="28">
        <v>46262.25</v>
      </c>
      <c r="F147" s="26" t="s">
        <v>279</v>
      </c>
    </row>
    <row r="148" spans="1:6" ht="46.5" x14ac:dyDescent="0.35">
      <c r="A148" s="26" t="s">
        <v>235</v>
      </c>
      <c r="B148" s="26" t="s">
        <v>5</v>
      </c>
      <c r="C148" s="26" t="s">
        <v>609</v>
      </c>
      <c r="D148" s="28">
        <v>46261.916666666701</v>
      </c>
      <c r="E148" s="28">
        <v>46262.25</v>
      </c>
      <c r="F148" s="26" t="s">
        <v>279</v>
      </c>
    </row>
    <row r="149" spans="1:6" ht="46.5" x14ac:dyDescent="0.35">
      <c r="A149" s="26" t="s">
        <v>235</v>
      </c>
      <c r="B149" s="26" t="s">
        <v>5</v>
      </c>
      <c r="C149" s="26" t="s">
        <v>610</v>
      </c>
      <c r="D149" s="28">
        <v>46261.916666666701</v>
      </c>
      <c r="E149" s="28">
        <v>46262.25</v>
      </c>
      <c r="F149" s="26" t="s">
        <v>279</v>
      </c>
    </row>
    <row r="150" spans="1:6" ht="46.5" x14ac:dyDescent="0.35">
      <c r="A150" s="26" t="s">
        <v>235</v>
      </c>
      <c r="B150" s="26" t="s">
        <v>5</v>
      </c>
      <c r="C150" s="26" t="s">
        <v>619</v>
      </c>
      <c r="D150" s="28">
        <v>46261.895833333299</v>
      </c>
      <c r="E150" s="28">
        <v>46262.25</v>
      </c>
      <c r="F150" s="26" t="s">
        <v>620</v>
      </c>
    </row>
    <row r="151" spans="1:6" ht="46.5" x14ac:dyDescent="0.35">
      <c r="A151" s="26" t="s">
        <v>235</v>
      </c>
      <c r="B151" s="26" t="s">
        <v>4</v>
      </c>
      <c r="C151" s="26" t="s">
        <v>621</v>
      </c>
      <c r="D151" s="28">
        <v>46261.875</v>
      </c>
      <c r="E151" s="28">
        <v>46262.25</v>
      </c>
      <c r="F151" s="26" t="s">
        <v>622</v>
      </c>
    </row>
    <row r="152" spans="1:6" ht="62" x14ac:dyDescent="0.35">
      <c r="A152" s="26" t="s">
        <v>232</v>
      </c>
      <c r="B152" s="26" t="s">
        <v>6</v>
      </c>
      <c r="C152" s="26" t="s">
        <v>233</v>
      </c>
      <c r="D152" s="28">
        <v>45804.208333333299</v>
      </c>
      <c r="E152" s="28">
        <v>46418.208333333299</v>
      </c>
      <c r="F152" s="26" t="s">
        <v>234</v>
      </c>
    </row>
    <row r="153" spans="1:6" ht="77.5" x14ac:dyDescent="0.35">
      <c r="A153" s="26" t="s">
        <v>232</v>
      </c>
      <c r="B153" s="26" t="s">
        <v>2</v>
      </c>
      <c r="C153" s="26" t="s">
        <v>617</v>
      </c>
      <c r="D153" s="28">
        <v>46261.833333333299</v>
      </c>
      <c r="E153" s="28">
        <v>46262.25</v>
      </c>
      <c r="F153" s="26" t="s">
        <v>618</v>
      </c>
    </row>
    <row r="154" spans="1:6" ht="62" x14ac:dyDescent="0.35">
      <c r="A154" s="26" t="s">
        <v>283</v>
      </c>
      <c r="B154" s="26" t="s">
        <v>5</v>
      </c>
      <c r="C154" s="26" t="s">
        <v>284</v>
      </c>
      <c r="D154" s="28">
        <v>46261.875</v>
      </c>
      <c r="E154" s="28">
        <v>46262.208333333299</v>
      </c>
      <c r="F154" s="26" t="s">
        <v>285</v>
      </c>
    </row>
    <row r="155" spans="1:6" ht="77.5" x14ac:dyDescent="0.35">
      <c r="A155" s="26" t="s">
        <v>283</v>
      </c>
      <c r="B155" s="26" t="s">
        <v>5</v>
      </c>
      <c r="C155" s="26" t="s">
        <v>286</v>
      </c>
      <c r="D155" s="28">
        <v>46261.875</v>
      </c>
      <c r="E155" s="28">
        <v>46262.208333333299</v>
      </c>
      <c r="F155" s="26" t="s">
        <v>285</v>
      </c>
    </row>
    <row r="156" spans="1:6" ht="77.5" x14ac:dyDescent="0.35">
      <c r="A156" s="26" t="s">
        <v>111</v>
      </c>
      <c r="B156" s="26" t="s">
        <v>6</v>
      </c>
      <c r="C156" s="26" t="s">
        <v>266</v>
      </c>
      <c r="D156" s="28">
        <v>46261.875</v>
      </c>
      <c r="E156" s="28">
        <v>46262.208333333299</v>
      </c>
      <c r="F156" s="26" t="s">
        <v>267</v>
      </c>
    </row>
    <row r="157" spans="1:6" ht="77.5" x14ac:dyDescent="0.35">
      <c r="A157" s="26" t="s">
        <v>111</v>
      </c>
      <c r="B157" s="26" t="s">
        <v>6</v>
      </c>
      <c r="C157" s="26" t="s">
        <v>268</v>
      </c>
      <c r="D157" s="28">
        <v>46261.875</v>
      </c>
      <c r="E157" s="28">
        <v>46262.208333333299</v>
      </c>
      <c r="F157" s="26" t="s">
        <v>267</v>
      </c>
    </row>
    <row r="158" spans="1:6" ht="108.5" x14ac:dyDescent="0.35">
      <c r="A158" s="26" t="s">
        <v>111</v>
      </c>
      <c r="B158" s="26" t="s">
        <v>2</v>
      </c>
      <c r="C158" s="26" t="s">
        <v>613</v>
      </c>
      <c r="D158" s="28">
        <v>46261.875</v>
      </c>
      <c r="E158" s="28">
        <v>46262.25</v>
      </c>
      <c r="F158" s="26" t="s">
        <v>614</v>
      </c>
    </row>
    <row r="159" spans="1:6" ht="62" x14ac:dyDescent="0.35">
      <c r="A159" s="26" t="s">
        <v>111</v>
      </c>
      <c r="B159" s="26" t="s">
        <v>6</v>
      </c>
      <c r="C159" s="26" t="s">
        <v>630</v>
      </c>
      <c r="D159" s="28">
        <v>46261.833333333299</v>
      </c>
      <c r="E159" s="28">
        <v>46262.25</v>
      </c>
      <c r="F159" s="26" t="s">
        <v>631</v>
      </c>
    </row>
    <row r="160" spans="1:6" ht="93" x14ac:dyDescent="0.35">
      <c r="A160" s="26" t="s">
        <v>111</v>
      </c>
      <c r="B160" s="26" t="s">
        <v>2</v>
      </c>
      <c r="C160" s="26" t="s">
        <v>455</v>
      </c>
      <c r="D160" s="28">
        <v>46261.875</v>
      </c>
      <c r="E160" s="28">
        <v>46262.25</v>
      </c>
      <c r="F160" s="26" t="s">
        <v>456</v>
      </c>
    </row>
    <row r="161" spans="1:6" ht="77.5" x14ac:dyDescent="0.35">
      <c r="A161" s="26" t="s">
        <v>111</v>
      </c>
      <c r="B161" s="26" t="s">
        <v>2</v>
      </c>
      <c r="C161" s="26" t="s">
        <v>457</v>
      </c>
      <c r="D161" s="28">
        <v>46261.875</v>
      </c>
      <c r="E161" s="28">
        <v>46262.25</v>
      </c>
      <c r="F161" s="26" t="s">
        <v>456</v>
      </c>
    </row>
    <row r="162" spans="1:6" ht="77.5" x14ac:dyDescent="0.35">
      <c r="A162" s="26" t="s">
        <v>111</v>
      </c>
      <c r="B162" s="26" t="s">
        <v>2</v>
      </c>
      <c r="C162" s="26" t="s">
        <v>458</v>
      </c>
      <c r="D162" s="28">
        <v>46261.875</v>
      </c>
      <c r="E162" s="28">
        <v>46262.25</v>
      </c>
      <c r="F162" s="26" t="s">
        <v>456</v>
      </c>
    </row>
    <row r="163" spans="1:6" ht="77.5" x14ac:dyDescent="0.35">
      <c r="A163" s="26" t="s">
        <v>269</v>
      </c>
      <c r="B163" s="26" t="s">
        <v>7</v>
      </c>
      <c r="C163" s="26" t="s">
        <v>623</v>
      </c>
      <c r="D163" s="28">
        <v>46261.875</v>
      </c>
      <c r="E163" s="28">
        <v>46262.25</v>
      </c>
      <c r="F163" s="26" t="s">
        <v>300</v>
      </c>
    </row>
    <row r="164" spans="1:6" ht="77.5" x14ac:dyDescent="0.35">
      <c r="A164" s="26" t="s">
        <v>269</v>
      </c>
      <c r="B164" s="26" t="s">
        <v>7</v>
      </c>
      <c r="C164" s="26" t="s">
        <v>624</v>
      </c>
      <c r="D164" s="28">
        <v>46261.875</v>
      </c>
      <c r="E164" s="28">
        <v>46262.25</v>
      </c>
      <c r="F164" s="26" t="s">
        <v>300</v>
      </c>
    </row>
    <row r="165" spans="1:6" ht="77.5" x14ac:dyDescent="0.35">
      <c r="A165" s="26" t="s">
        <v>269</v>
      </c>
      <c r="B165" s="26" t="s">
        <v>7</v>
      </c>
      <c r="C165" s="26" t="s">
        <v>626</v>
      </c>
      <c r="D165" s="28">
        <v>46261.875</v>
      </c>
      <c r="E165" s="28">
        <v>46262.25</v>
      </c>
      <c r="F165" s="26" t="s">
        <v>300</v>
      </c>
    </row>
    <row r="166" spans="1:6" ht="62" x14ac:dyDescent="0.35">
      <c r="A166" s="26" t="s">
        <v>167</v>
      </c>
      <c r="B166" s="26" t="s">
        <v>6</v>
      </c>
      <c r="C166" s="26" t="s">
        <v>168</v>
      </c>
      <c r="D166" s="28">
        <v>46261.833333333299</v>
      </c>
      <c r="E166" s="28">
        <v>46262.25</v>
      </c>
      <c r="F166" s="26" t="s">
        <v>169</v>
      </c>
    </row>
    <row r="167" spans="1:6" ht="124" x14ac:dyDescent="0.35">
      <c r="A167" s="26" t="s">
        <v>167</v>
      </c>
      <c r="B167" s="26" t="s">
        <v>6</v>
      </c>
      <c r="C167" s="26" t="s">
        <v>170</v>
      </c>
      <c r="D167" s="28">
        <v>46261.833333333299</v>
      </c>
      <c r="E167" s="28">
        <v>46262.25</v>
      </c>
      <c r="F167" s="26" t="s">
        <v>169</v>
      </c>
    </row>
    <row r="168" spans="1:6" ht="124" x14ac:dyDescent="0.35">
      <c r="A168" s="26" t="s">
        <v>167</v>
      </c>
      <c r="B168" s="26" t="s">
        <v>6</v>
      </c>
      <c r="C168" s="26" t="s">
        <v>171</v>
      </c>
      <c r="D168" s="28">
        <v>46261.833333333299</v>
      </c>
      <c r="E168" s="28">
        <v>46262.25</v>
      </c>
      <c r="F168" s="26" t="s">
        <v>169</v>
      </c>
    </row>
    <row r="169" spans="1:6" ht="46.5" x14ac:dyDescent="0.35">
      <c r="A169" s="26" t="s">
        <v>167</v>
      </c>
      <c r="B169" s="26" t="s">
        <v>6</v>
      </c>
      <c r="C169" s="26" t="s">
        <v>172</v>
      </c>
      <c r="D169" s="28">
        <v>46261.833333333299</v>
      </c>
      <c r="E169" s="28">
        <v>46262.25</v>
      </c>
      <c r="F169" s="26" t="s">
        <v>169</v>
      </c>
    </row>
    <row r="170" spans="1:6" ht="62" x14ac:dyDescent="0.35">
      <c r="A170" s="26" t="s">
        <v>167</v>
      </c>
      <c r="B170" s="26" t="s">
        <v>6</v>
      </c>
      <c r="C170" s="26" t="s">
        <v>173</v>
      </c>
      <c r="D170" s="28">
        <v>46261.833333333299</v>
      </c>
      <c r="E170" s="28">
        <v>46262.25</v>
      </c>
      <c r="F170" s="26" t="s">
        <v>169</v>
      </c>
    </row>
    <row r="171" spans="1:6" ht="62" x14ac:dyDescent="0.35">
      <c r="A171" s="26" t="s">
        <v>167</v>
      </c>
      <c r="B171" s="26" t="s">
        <v>6</v>
      </c>
      <c r="C171" s="26" t="s">
        <v>174</v>
      </c>
      <c r="D171" s="28">
        <v>46261.833333333299</v>
      </c>
      <c r="E171" s="28">
        <v>46262.25</v>
      </c>
      <c r="F171" s="26" t="s">
        <v>169</v>
      </c>
    </row>
    <row r="172" spans="1:6" ht="108.5" x14ac:dyDescent="0.35">
      <c r="A172" s="26" t="s">
        <v>245</v>
      </c>
      <c r="B172" s="26" t="s">
        <v>2</v>
      </c>
      <c r="C172" s="26" t="s">
        <v>246</v>
      </c>
      <c r="D172" s="28">
        <v>46261.875</v>
      </c>
      <c r="E172" s="28">
        <v>46262.25</v>
      </c>
      <c r="F172" s="26" t="s">
        <v>247</v>
      </c>
    </row>
    <row r="173" spans="1:6" ht="77.5" x14ac:dyDescent="0.35">
      <c r="A173" s="26" t="s">
        <v>245</v>
      </c>
      <c r="B173" s="26" t="s">
        <v>6</v>
      </c>
      <c r="C173" s="26" t="s">
        <v>629</v>
      </c>
      <c r="D173" s="28">
        <v>46261.875</v>
      </c>
      <c r="E173" s="28">
        <v>46262.208333333299</v>
      </c>
      <c r="F173" s="26" t="s">
        <v>628</v>
      </c>
    </row>
    <row r="174" spans="1:6" ht="139.5" x14ac:dyDescent="0.35">
      <c r="A174" s="26" t="s">
        <v>133</v>
      </c>
      <c r="B174" s="26" t="s">
        <v>4</v>
      </c>
      <c r="C174" s="26" t="s">
        <v>134</v>
      </c>
      <c r="D174" s="28">
        <v>46261.833333333299</v>
      </c>
      <c r="E174" s="28">
        <v>46262.25</v>
      </c>
      <c r="F174" s="26" t="s">
        <v>135</v>
      </c>
    </row>
    <row r="175" spans="1:6" ht="139.5" x14ac:dyDescent="0.35">
      <c r="A175" s="26" t="s">
        <v>133</v>
      </c>
      <c r="B175" s="26" t="s">
        <v>4</v>
      </c>
      <c r="C175" s="26" t="s">
        <v>136</v>
      </c>
      <c r="D175" s="28">
        <v>46261.833333333299</v>
      </c>
      <c r="E175" s="28">
        <v>46262.25</v>
      </c>
      <c r="F175" s="26" t="s">
        <v>135</v>
      </c>
    </row>
    <row r="176" spans="1:6" ht="139.5" x14ac:dyDescent="0.35">
      <c r="A176" s="26" t="s">
        <v>133</v>
      </c>
      <c r="B176" s="26" t="s">
        <v>4</v>
      </c>
      <c r="C176" s="26" t="s">
        <v>137</v>
      </c>
      <c r="D176" s="28">
        <v>46261.833333333299</v>
      </c>
      <c r="E176" s="28">
        <v>46262.25</v>
      </c>
      <c r="F176" s="26" t="s">
        <v>135</v>
      </c>
    </row>
    <row r="177" spans="1:6" ht="46.5" x14ac:dyDescent="0.35">
      <c r="A177" s="26" t="s">
        <v>133</v>
      </c>
      <c r="B177" s="26" t="s">
        <v>4</v>
      </c>
      <c r="C177" s="26" t="s">
        <v>138</v>
      </c>
      <c r="D177" s="28">
        <v>46261.833333333299</v>
      </c>
      <c r="E177" s="28">
        <v>46262.25</v>
      </c>
      <c r="F177" s="26" t="s">
        <v>135</v>
      </c>
    </row>
    <row r="178" spans="1:6" ht="46.5" x14ac:dyDescent="0.35">
      <c r="A178" s="26" t="s">
        <v>133</v>
      </c>
      <c r="B178" s="26" t="s">
        <v>5</v>
      </c>
      <c r="C178" s="26" t="s">
        <v>139</v>
      </c>
      <c r="D178" s="28">
        <v>46261.833333333299</v>
      </c>
      <c r="E178" s="28">
        <v>46262.25</v>
      </c>
      <c r="F178" s="26" t="s">
        <v>135</v>
      </c>
    </row>
    <row r="179" spans="1:6" ht="77.5" x14ac:dyDescent="0.35">
      <c r="A179" s="26" t="s">
        <v>133</v>
      </c>
      <c r="B179" s="26" t="s">
        <v>5</v>
      </c>
      <c r="C179" s="26" t="s">
        <v>140</v>
      </c>
      <c r="D179" s="28">
        <v>46261.833333333299</v>
      </c>
      <c r="E179" s="28">
        <v>46262.25</v>
      </c>
      <c r="F179" s="26" t="s">
        <v>135</v>
      </c>
    </row>
    <row r="180" spans="1:6" ht="77.5" x14ac:dyDescent="0.35">
      <c r="A180" s="26" t="s">
        <v>133</v>
      </c>
      <c r="B180" s="26" t="s">
        <v>5</v>
      </c>
      <c r="C180" s="26" t="s">
        <v>141</v>
      </c>
      <c r="D180" s="28">
        <v>46261.833333333299</v>
      </c>
      <c r="E180" s="28">
        <v>46262.25</v>
      </c>
      <c r="F180" s="26" t="s">
        <v>135</v>
      </c>
    </row>
    <row r="181" spans="1:6" ht="108.5" x14ac:dyDescent="0.35">
      <c r="A181" s="26" t="s">
        <v>133</v>
      </c>
      <c r="B181" s="26" t="s">
        <v>5</v>
      </c>
      <c r="C181" s="26" t="s">
        <v>142</v>
      </c>
      <c r="D181" s="28">
        <v>46261.833333333299</v>
      </c>
      <c r="E181" s="28">
        <v>46262.25</v>
      </c>
      <c r="F181" s="26" t="s">
        <v>135</v>
      </c>
    </row>
    <row r="182" spans="1:6" ht="62" x14ac:dyDescent="0.35">
      <c r="A182" s="26" t="s">
        <v>133</v>
      </c>
      <c r="B182" s="26" t="s">
        <v>4</v>
      </c>
      <c r="C182" s="26" t="s">
        <v>558</v>
      </c>
      <c r="D182" s="28">
        <v>46261.833333333299</v>
      </c>
      <c r="E182" s="28">
        <v>46262.25</v>
      </c>
      <c r="F182" s="26" t="s">
        <v>559</v>
      </c>
    </row>
    <row r="183" spans="1:6" ht="77.5" x14ac:dyDescent="0.35">
      <c r="A183" s="26" t="s">
        <v>133</v>
      </c>
      <c r="B183" s="26" t="s">
        <v>4</v>
      </c>
      <c r="C183" s="26" t="s">
        <v>560</v>
      </c>
      <c r="D183" s="28">
        <v>46261.833333333299</v>
      </c>
      <c r="E183" s="28">
        <v>46262.25</v>
      </c>
      <c r="F183" s="26" t="s">
        <v>559</v>
      </c>
    </row>
    <row r="184" spans="1:6" ht="77.5" x14ac:dyDescent="0.35">
      <c r="A184" s="26" t="s">
        <v>133</v>
      </c>
      <c r="B184" s="26" t="s">
        <v>5</v>
      </c>
      <c r="C184" s="26" t="s">
        <v>561</v>
      </c>
      <c r="D184" s="28">
        <v>46261.833333333299</v>
      </c>
      <c r="E184" s="28">
        <v>46262.25</v>
      </c>
      <c r="F184" s="26" t="s">
        <v>562</v>
      </c>
    </row>
    <row r="185" spans="1:6" ht="77.5" x14ac:dyDescent="0.35">
      <c r="A185" s="26" t="s">
        <v>133</v>
      </c>
      <c r="B185" s="26" t="s">
        <v>5</v>
      </c>
      <c r="C185" s="26" t="s">
        <v>563</v>
      </c>
      <c r="D185" s="28">
        <v>46261.833333333299</v>
      </c>
      <c r="E185" s="28">
        <v>46262.25</v>
      </c>
      <c r="F185" s="26" t="s">
        <v>562</v>
      </c>
    </row>
    <row r="186" spans="1:6" ht="77.5" x14ac:dyDescent="0.35">
      <c r="A186" s="26" t="s">
        <v>133</v>
      </c>
      <c r="B186" s="26" t="s">
        <v>5</v>
      </c>
      <c r="C186" s="26" t="s">
        <v>153</v>
      </c>
      <c r="D186" s="28">
        <v>46261.833333333299</v>
      </c>
      <c r="E186" s="28">
        <v>46262.25</v>
      </c>
      <c r="F186" s="26" t="s">
        <v>154</v>
      </c>
    </row>
    <row r="187" spans="1:6" ht="77.5" x14ac:dyDescent="0.35">
      <c r="A187" s="26" t="s">
        <v>133</v>
      </c>
      <c r="B187" s="26" t="s">
        <v>4</v>
      </c>
      <c r="C187" s="26" t="s">
        <v>155</v>
      </c>
      <c r="D187" s="28">
        <v>46261.833333333299</v>
      </c>
      <c r="E187" s="28">
        <v>46262.25</v>
      </c>
      <c r="F187" s="26" t="s">
        <v>154</v>
      </c>
    </row>
    <row r="188" spans="1:6" ht="77.5" x14ac:dyDescent="0.35">
      <c r="A188" s="26" t="s">
        <v>133</v>
      </c>
      <c r="B188" s="26" t="s">
        <v>5</v>
      </c>
      <c r="C188" s="26" t="s">
        <v>568</v>
      </c>
      <c r="D188" s="28">
        <v>46261.916666666701</v>
      </c>
      <c r="E188" s="28">
        <v>46262.208333333299</v>
      </c>
      <c r="F188" s="26" t="s">
        <v>569</v>
      </c>
    </row>
    <row r="189" spans="1:6" ht="93" x14ac:dyDescent="0.35">
      <c r="A189" s="26" t="s">
        <v>133</v>
      </c>
      <c r="B189" s="26" t="s">
        <v>4</v>
      </c>
      <c r="C189" s="26" t="s">
        <v>605</v>
      </c>
      <c r="D189" s="28">
        <v>46261.833333333299</v>
      </c>
      <c r="E189" s="28">
        <v>46262.208333333299</v>
      </c>
      <c r="F189" s="26" t="s">
        <v>606</v>
      </c>
    </row>
    <row r="190" spans="1:6" ht="77.5" x14ac:dyDescent="0.35">
      <c r="A190" s="26" t="s">
        <v>133</v>
      </c>
      <c r="B190" s="26" t="s">
        <v>5</v>
      </c>
      <c r="C190" s="26" t="s">
        <v>607</v>
      </c>
      <c r="D190" s="28">
        <v>46261.833333333299</v>
      </c>
      <c r="E190" s="28">
        <v>46262.208333333299</v>
      </c>
      <c r="F190" s="26" t="s">
        <v>606</v>
      </c>
    </row>
    <row r="191" spans="1:6" ht="77.5" x14ac:dyDescent="0.35">
      <c r="A191" s="26" t="s">
        <v>133</v>
      </c>
      <c r="B191" s="26" t="s">
        <v>5</v>
      </c>
      <c r="C191" s="26" t="s">
        <v>615</v>
      </c>
      <c r="D191" s="28">
        <v>46261.875</v>
      </c>
      <c r="E191" s="28">
        <v>46262.208333333299</v>
      </c>
      <c r="F191" s="26" t="s">
        <v>616</v>
      </c>
    </row>
    <row r="192" spans="1:6" ht="46.5" x14ac:dyDescent="0.35">
      <c r="A192" s="26" t="s">
        <v>133</v>
      </c>
      <c r="B192" s="26" t="s">
        <v>5</v>
      </c>
      <c r="C192" s="26" t="s">
        <v>625</v>
      </c>
      <c r="D192" s="28">
        <v>46261.875</v>
      </c>
      <c r="E192" s="28">
        <v>46262.25</v>
      </c>
      <c r="F192" s="26" t="s">
        <v>300</v>
      </c>
    </row>
    <row r="193" spans="1:6" ht="46.5" x14ac:dyDescent="0.35">
      <c r="A193" s="26" t="s">
        <v>256</v>
      </c>
      <c r="B193" s="26" t="s">
        <v>5</v>
      </c>
      <c r="C193" s="26" t="s">
        <v>257</v>
      </c>
      <c r="D193" s="28">
        <v>46261.875</v>
      </c>
      <c r="E193" s="28">
        <v>46262.25</v>
      </c>
      <c r="F193" s="26" t="s">
        <v>258</v>
      </c>
    </row>
    <row r="194" spans="1:6" ht="46.5" x14ac:dyDescent="0.35">
      <c r="A194" s="26" t="s">
        <v>256</v>
      </c>
      <c r="B194" s="26" t="s">
        <v>5</v>
      </c>
      <c r="C194" s="26" t="s">
        <v>259</v>
      </c>
      <c r="D194" s="28">
        <v>46261.875</v>
      </c>
      <c r="E194" s="28">
        <v>46262.25</v>
      </c>
      <c r="F194" s="26" t="s">
        <v>258</v>
      </c>
    </row>
    <row r="195" spans="1:6" ht="46.5" x14ac:dyDescent="0.35">
      <c r="A195" s="26" t="s">
        <v>256</v>
      </c>
      <c r="B195" s="26" t="s">
        <v>5</v>
      </c>
      <c r="C195" s="26" t="s">
        <v>627</v>
      </c>
      <c r="D195" s="28">
        <v>46261.875</v>
      </c>
      <c r="E195" s="28">
        <v>46262.208333333299</v>
      </c>
      <c r="F195" s="26" t="s">
        <v>628</v>
      </c>
    </row>
    <row r="196" spans="1:6" x14ac:dyDescent="0.35">
      <c r="A196" s="26"/>
      <c r="B196" s="26"/>
      <c r="C196" s="26"/>
      <c r="D196" s="28"/>
      <c r="E196" s="28"/>
      <c r="F196" s="26"/>
    </row>
    <row r="197" spans="1:6" x14ac:dyDescent="0.35">
      <c r="A197" s="26"/>
      <c r="B197" s="26"/>
      <c r="C197" s="26"/>
      <c r="D197" s="28"/>
      <c r="E197" s="28"/>
      <c r="F197" s="26"/>
    </row>
    <row r="198" spans="1:6" x14ac:dyDescent="0.35">
      <c r="A198" s="26"/>
      <c r="B198" s="26"/>
      <c r="C198" s="26"/>
      <c r="D198" s="28"/>
      <c r="E198" s="28"/>
      <c r="F198" s="26"/>
    </row>
    <row r="199" spans="1:6" x14ac:dyDescent="0.35">
      <c r="A199" s="26"/>
      <c r="B199" s="26"/>
      <c r="C199" s="26"/>
      <c r="D199" s="28"/>
      <c r="E199" s="28"/>
      <c r="F199" s="26"/>
    </row>
    <row r="200" spans="1:6" x14ac:dyDescent="0.35">
      <c r="A200" s="26"/>
      <c r="B200" s="26"/>
      <c r="C200" s="26"/>
      <c r="D200" s="28"/>
      <c r="E200" s="28"/>
      <c r="F200" s="26"/>
    </row>
    <row r="201" spans="1:6" x14ac:dyDescent="0.35">
      <c r="A201" s="26"/>
      <c r="B201" s="26"/>
      <c r="C201" s="26"/>
      <c r="D201" s="28"/>
      <c r="E201" s="28"/>
      <c r="F201" s="26"/>
    </row>
    <row r="202" spans="1:6" x14ac:dyDescent="0.35">
      <c r="A202" s="26"/>
      <c r="B202" s="26"/>
      <c r="C202" s="26"/>
      <c r="D202" s="28"/>
      <c r="E202" s="28"/>
      <c r="F202" s="26"/>
    </row>
    <row r="203" spans="1:6" x14ac:dyDescent="0.35">
      <c r="A203" s="26"/>
      <c r="B203" s="26"/>
      <c r="C203" s="26"/>
      <c r="D203" s="28"/>
      <c r="E203" s="28"/>
      <c r="F203" s="26"/>
    </row>
  </sheetData>
  <autoFilter ref="A2:F191" xr:uid="{60B4E0E0-EA23-4FF3-861F-7623BAD270F1}">
    <sortState xmlns:xlrd2="http://schemas.microsoft.com/office/spreadsheetml/2017/richdata2" ref="A3:F195">
      <sortCondition ref="A2:A191"/>
    </sortState>
  </autoFilter>
  <mergeCells count="1">
    <mergeCell ref="A1:F1"/>
  </mergeCells>
  <conditionalFormatting sqref="A196:F203">
    <cfRule type="expression" dxfId="7" priority="2">
      <formula>$J196="Over 12 hours"</formula>
    </cfRule>
  </conditionalFormatting>
  <conditionalFormatting sqref="A3:F195">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180"/>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35" t="str">
        <f>"Daily closure report: "&amp;'Front page'!A6</f>
        <v>Daily closure report: Friday, 28 August</v>
      </c>
      <c r="B1" s="35"/>
      <c r="C1" s="35"/>
      <c r="D1" s="35"/>
      <c r="E1" s="35"/>
      <c r="F1" s="35"/>
    </row>
    <row r="2" spans="1:6" s="5" customFormat="1" ht="28" x14ac:dyDescent="0.35">
      <c r="A2" s="12" t="s">
        <v>9</v>
      </c>
      <c r="B2" s="12" t="s">
        <v>1</v>
      </c>
      <c r="C2" s="12" t="s">
        <v>0</v>
      </c>
      <c r="D2" s="11" t="s">
        <v>11</v>
      </c>
      <c r="E2" s="11" t="s">
        <v>12</v>
      </c>
      <c r="F2" s="12" t="s">
        <v>10</v>
      </c>
    </row>
    <row r="3" spans="1:6" s="3" customFormat="1" ht="46.5" x14ac:dyDescent="0.35">
      <c r="A3" s="25" t="s">
        <v>45</v>
      </c>
      <c r="B3" s="25" t="s">
        <v>23</v>
      </c>
      <c r="C3" s="26" t="s">
        <v>53</v>
      </c>
      <c r="D3" s="27">
        <v>45847.208333333299</v>
      </c>
      <c r="E3" s="27">
        <v>46507.999305555597</v>
      </c>
      <c r="F3" s="26" t="s">
        <v>54</v>
      </c>
    </row>
    <row r="4" spans="1:6" s="3" customFormat="1" ht="77.5" x14ac:dyDescent="0.35">
      <c r="A4" s="25" t="s">
        <v>45</v>
      </c>
      <c r="B4" s="25" t="s">
        <v>2</v>
      </c>
      <c r="C4" s="26" t="s">
        <v>500</v>
      </c>
      <c r="D4" s="27">
        <v>46262.916666666701</v>
      </c>
      <c r="E4" s="27">
        <v>46263.25</v>
      </c>
      <c r="F4" s="26" t="s">
        <v>501</v>
      </c>
    </row>
    <row r="5" spans="1:6" s="3" customFormat="1" ht="77.5" x14ac:dyDescent="0.35">
      <c r="A5" s="25" t="s">
        <v>45</v>
      </c>
      <c r="B5" s="25" t="s">
        <v>2</v>
      </c>
      <c r="C5" s="26" t="s">
        <v>502</v>
      </c>
      <c r="D5" s="27">
        <v>46262.916666666701</v>
      </c>
      <c r="E5" s="27">
        <v>46263.25</v>
      </c>
      <c r="F5" s="26" t="s">
        <v>501</v>
      </c>
    </row>
    <row r="6" spans="1:6" s="3" customFormat="1" ht="93" x14ac:dyDescent="0.35">
      <c r="A6" s="25" t="s">
        <v>45</v>
      </c>
      <c r="B6" s="25" t="s">
        <v>2</v>
      </c>
      <c r="C6" s="26" t="s">
        <v>503</v>
      </c>
      <c r="D6" s="27">
        <v>46262.916666666701</v>
      </c>
      <c r="E6" s="27">
        <v>46263.25</v>
      </c>
      <c r="F6" s="26" t="s">
        <v>501</v>
      </c>
    </row>
    <row r="7" spans="1:6" s="3" customFormat="1" ht="93" x14ac:dyDescent="0.35">
      <c r="A7" s="25" t="s">
        <v>45</v>
      </c>
      <c r="B7" s="25" t="s">
        <v>2</v>
      </c>
      <c r="C7" s="26" t="s">
        <v>504</v>
      </c>
      <c r="D7" s="27">
        <v>46262.916666666701</v>
      </c>
      <c r="E7" s="27">
        <v>46263.25</v>
      </c>
      <c r="F7" s="26" t="s">
        <v>501</v>
      </c>
    </row>
    <row r="8" spans="1:6" s="3" customFormat="1" ht="77.5" x14ac:dyDescent="0.35">
      <c r="A8" s="25" t="s">
        <v>45</v>
      </c>
      <c r="B8" s="25" t="s">
        <v>2</v>
      </c>
      <c r="C8" s="26" t="s">
        <v>505</v>
      </c>
      <c r="D8" s="27">
        <v>46262.916666666701</v>
      </c>
      <c r="E8" s="27">
        <v>46263.25</v>
      </c>
      <c r="F8" s="26" t="s">
        <v>501</v>
      </c>
    </row>
    <row r="9" spans="1:6" s="3" customFormat="1" ht="77.5" x14ac:dyDescent="0.35">
      <c r="A9" s="25" t="s">
        <v>45</v>
      </c>
      <c r="B9" s="25" t="s">
        <v>2</v>
      </c>
      <c r="C9" s="26" t="s">
        <v>506</v>
      </c>
      <c r="D9" s="27">
        <v>46262.916666666701</v>
      </c>
      <c r="E9" s="27">
        <v>46263.25</v>
      </c>
      <c r="F9" s="26" t="s">
        <v>501</v>
      </c>
    </row>
    <row r="10" spans="1:6" s="3" customFormat="1" ht="77.5" x14ac:dyDescent="0.35">
      <c r="A10" s="25" t="s">
        <v>45</v>
      </c>
      <c r="B10" s="25" t="s">
        <v>2</v>
      </c>
      <c r="C10" s="26" t="s">
        <v>507</v>
      </c>
      <c r="D10" s="27">
        <v>46262.916666666701</v>
      </c>
      <c r="E10" s="27">
        <v>46263.25</v>
      </c>
      <c r="F10" s="26" t="s">
        <v>501</v>
      </c>
    </row>
    <row r="11" spans="1:6" s="3" customFormat="1" ht="77.5" x14ac:dyDescent="0.35">
      <c r="A11" s="25" t="s">
        <v>45</v>
      </c>
      <c r="B11" s="25" t="s">
        <v>2</v>
      </c>
      <c r="C11" s="26" t="s">
        <v>508</v>
      </c>
      <c r="D11" s="27">
        <v>46262.916666666701</v>
      </c>
      <c r="E11" s="27">
        <v>46263.25</v>
      </c>
      <c r="F11" s="26" t="s">
        <v>501</v>
      </c>
    </row>
    <row r="12" spans="1:6" s="3" customFormat="1" ht="77.5" x14ac:dyDescent="0.35">
      <c r="A12" s="25" t="s">
        <v>45</v>
      </c>
      <c r="B12" s="25" t="s">
        <v>2</v>
      </c>
      <c r="C12" s="26" t="s">
        <v>509</v>
      </c>
      <c r="D12" s="27">
        <v>46262.916666666701</v>
      </c>
      <c r="E12" s="27">
        <v>46263.25</v>
      </c>
      <c r="F12" s="26" t="s">
        <v>501</v>
      </c>
    </row>
    <row r="13" spans="1:6" s="3" customFormat="1" ht="77.5" x14ac:dyDescent="0.35">
      <c r="A13" s="25" t="s">
        <v>45</v>
      </c>
      <c r="B13" s="25" t="s">
        <v>2</v>
      </c>
      <c r="C13" s="26" t="s">
        <v>510</v>
      </c>
      <c r="D13" s="27">
        <v>46262.916666666701</v>
      </c>
      <c r="E13" s="27">
        <v>46263.25</v>
      </c>
      <c r="F13" s="26" t="s">
        <v>501</v>
      </c>
    </row>
    <row r="14" spans="1:6" s="3" customFormat="1" ht="77.5" x14ac:dyDescent="0.35">
      <c r="A14" s="25" t="s">
        <v>45</v>
      </c>
      <c r="B14" s="25" t="s">
        <v>2</v>
      </c>
      <c r="C14" s="26" t="s">
        <v>511</v>
      </c>
      <c r="D14" s="27">
        <v>46262.916666666701</v>
      </c>
      <c r="E14" s="27">
        <v>46263.25</v>
      </c>
      <c r="F14" s="26" t="s">
        <v>501</v>
      </c>
    </row>
    <row r="15" spans="1:6" s="3" customFormat="1" ht="77.5" x14ac:dyDescent="0.35">
      <c r="A15" s="25" t="s">
        <v>45</v>
      </c>
      <c r="B15" s="25" t="s">
        <v>2</v>
      </c>
      <c r="C15" s="26" t="s">
        <v>512</v>
      </c>
      <c r="D15" s="27">
        <v>46262.916666666701</v>
      </c>
      <c r="E15" s="27">
        <v>46263.25</v>
      </c>
      <c r="F15" s="26" t="s">
        <v>501</v>
      </c>
    </row>
    <row r="16" spans="1:6" s="3" customFormat="1" ht="77.5" x14ac:dyDescent="0.35">
      <c r="A16" s="25" t="s">
        <v>61</v>
      </c>
      <c r="B16" s="25" t="s">
        <v>2</v>
      </c>
      <c r="C16" s="26" t="s">
        <v>514</v>
      </c>
      <c r="D16" s="27">
        <v>46262.916666666701</v>
      </c>
      <c r="E16" s="27">
        <v>46263.25</v>
      </c>
      <c r="F16" s="26" t="s">
        <v>501</v>
      </c>
    </row>
    <row r="17" spans="1:6" s="3" customFormat="1" ht="77.5" x14ac:dyDescent="0.35">
      <c r="A17" s="25" t="s">
        <v>175</v>
      </c>
      <c r="B17" s="25" t="s">
        <v>2</v>
      </c>
      <c r="C17" s="26" t="s">
        <v>513</v>
      </c>
      <c r="D17" s="27">
        <v>46262.916666666701</v>
      </c>
      <c r="E17" s="27">
        <v>46263.25</v>
      </c>
      <c r="F17" s="26" t="s">
        <v>501</v>
      </c>
    </row>
    <row r="18" spans="1:6" s="3" customFormat="1" ht="46.5" x14ac:dyDescent="0.35">
      <c r="A18" s="25" t="s">
        <v>439</v>
      </c>
      <c r="B18" s="25" t="s">
        <v>23</v>
      </c>
      <c r="C18" s="26" t="s">
        <v>440</v>
      </c>
      <c r="D18" s="27">
        <v>46262.833333333299</v>
      </c>
      <c r="E18" s="27">
        <v>46263.25</v>
      </c>
      <c r="F18" s="26" t="s">
        <v>441</v>
      </c>
    </row>
    <row r="19" spans="1:6" s="3" customFormat="1" ht="108.5" x14ac:dyDescent="0.35">
      <c r="A19" s="25" t="s">
        <v>108</v>
      </c>
      <c r="B19" s="25" t="s">
        <v>6</v>
      </c>
      <c r="C19" s="26" t="s">
        <v>447</v>
      </c>
      <c r="D19" s="27">
        <v>46202.875</v>
      </c>
      <c r="E19" s="27">
        <v>46508.208333333299</v>
      </c>
      <c r="F19" s="26" t="s">
        <v>448</v>
      </c>
    </row>
    <row r="20" spans="1:6" s="3" customFormat="1" ht="93" x14ac:dyDescent="0.35">
      <c r="A20" s="25" t="s">
        <v>466</v>
      </c>
      <c r="B20" s="25" t="s">
        <v>7</v>
      </c>
      <c r="C20" s="26" t="s">
        <v>467</v>
      </c>
      <c r="D20" s="27">
        <v>46217.625</v>
      </c>
      <c r="E20" s="27">
        <v>46387.875</v>
      </c>
      <c r="F20" s="26" t="s">
        <v>468</v>
      </c>
    </row>
    <row r="21" spans="1:6" s="3" customFormat="1" ht="77.5" x14ac:dyDescent="0.35">
      <c r="A21" s="25" t="s">
        <v>469</v>
      </c>
      <c r="B21" s="25" t="s">
        <v>2</v>
      </c>
      <c r="C21" s="26" t="s">
        <v>488</v>
      </c>
      <c r="D21" s="27">
        <v>46260.833333333299</v>
      </c>
      <c r="E21" s="27">
        <v>46266.25</v>
      </c>
      <c r="F21" s="26" t="s">
        <v>489</v>
      </c>
    </row>
    <row r="22" spans="1:6" s="3" customFormat="1" ht="77.5" x14ac:dyDescent="0.35">
      <c r="A22" s="25" t="s">
        <v>469</v>
      </c>
      <c r="B22" s="25" t="s">
        <v>6</v>
      </c>
      <c r="C22" s="26" t="s">
        <v>490</v>
      </c>
      <c r="D22" s="27">
        <v>46260.833333333299</v>
      </c>
      <c r="E22" s="27">
        <v>46266.25</v>
      </c>
      <c r="F22" s="26" t="s">
        <v>489</v>
      </c>
    </row>
    <row r="23" spans="1:6" s="3" customFormat="1" ht="77.5" x14ac:dyDescent="0.35">
      <c r="A23" s="25" t="s">
        <v>461</v>
      </c>
      <c r="B23" s="25" t="s">
        <v>23</v>
      </c>
      <c r="C23" s="26" t="s">
        <v>462</v>
      </c>
      <c r="D23" s="27">
        <v>46230.833333333299</v>
      </c>
      <c r="E23" s="27">
        <v>46403.25</v>
      </c>
      <c r="F23" s="26" t="s">
        <v>463</v>
      </c>
    </row>
    <row r="24" spans="1:6" s="3" customFormat="1" ht="14.25" customHeight="1" x14ac:dyDescent="0.35">
      <c r="A24" s="25" t="s">
        <v>280</v>
      </c>
      <c r="B24" s="25" t="s">
        <v>6</v>
      </c>
      <c r="C24" s="26" t="s">
        <v>494</v>
      </c>
      <c r="D24" s="27">
        <v>46230.208333333299</v>
      </c>
      <c r="E24" s="27">
        <v>46266.208333333299</v>
      </c>
      <c r="F24" s="26" t="s">
        <v>495</v>
      </c>
    </row>
    <row r="25" spans="1:6" s="3" customFormat="1" ht="93" x14ac:dyDescent="0.35">
      <c r="A25" s="25" t="s">
        <v>185</v>
      </c>
      <c r="B25" s="25" t="s">
        <v>6</v>
      </c>
      <c r="C25" s="26" t="s">
        <v>186</v>
      </c>
      <c r="D25" s="27">
        <v>46237.833333333299</v>
      </c>
      <c r="E25" s="27">
        <v>46326.25</v>
      </c>
      <c r="F25" s="26" t="s">
        <v>187</v>
      </c>
    </row>
    <row r="26" spans="1:6" s="3" customFormat="1" ht="93" x14ac:dyDescent="0.35">
      <c r="A26" s="25" t="s">
        <v>185</v>
      </c>
      <c r="B26" s="25" t="s">
        <v>2</v>
      </c>
      <c r="C26" s="26" t="s">
        <v>188</v>
      </c>
      <c r="D26" s="27">
        <v>46237.833333333299</v>
      </c>
      <c r="E26" s="27">
        <v>46326.25</v>
      </c>
      <c r="F26" s="26" t="s">
        <v>187</v>
      </c>
    </row>
    <row r="27" spans="1:6" s="3" customFormat="1" ht="62" x14ac:dyDescent="0.35">
      <c r="A27" s="25" t="s">
        <v>310</v>
      </c>
      <c r="B27" s="25" t="s">
        <v>2</v>
      </c>
      <c r="C27" s="26" t="s">
        <v>311</v>
      </c>
      <c r="D27" s="27">
        <v>46237.25</v>
      </c>
      <c r="E27" s="27">
        <v>46692.25</v>
      </c>
      <c r="F27" s="26" t="s">
        <v>312</v>
      </c>
    </row>
    <row r="28" spans="1:6" s="3" customFormat="1" ht="46.5" x14ac:dyDescent="0.35">
      <c r="A28" s="25" t="s">
        <v>232</v>
      </c>
      <c r="B28" s="25" t="s">
        <v>6</v>
      </c>
      <c r="C28" s="26" t="s">
        <v>233</v>
      </c>
      <c r="D28" s="27">
        <v>45804.208333333299</v>
      </c>
      <c r="E28" s="27">
        <v>46418.208333333299</v>
      </c>
      <c r="F28" s="26" t="s">
        <v>234</v>
      </c>
    </row>
    <row r="29" spans="1:6" s="3" customFormat="1" x14ac:dyDescent="0.35">
      <c r="A29" s="25"/>
      <c r="B29" s="25"/>
      <c r="C29" s="26"/>
      <c r="D29" s="27"/>
      <c r="E29" s="27"/>
      <c r="F29" s="26"/>
    </row>
    <row r="30" spans="1:6" s="3" customFormat="1" x14ac:dyDescent="0.35">
      <c r="A30" s="25"/>
      <c r="B30" s="25"/>
      <c r="C30" s="26"/>
      <c r="D30" s="27"/>
      <c r="E30" s="27"/>
      <c r="F30" s="26"/>
    </row>
    <row r="31" spans="1:6" s="3" customFormat="1" x14ac:dyDescent="0.35">
      <c r="A31" s="25"/>
      <c r="B31" s="25"/>
      <c r="C31" s="26"/>
      <c r="D31" s="27"/>
      <c r="E31" s="27"/>
      <c r="F31" s="26"/>
    </row>
    <row r="32" spans="1:6" s="3" customFormat="1" x14ac:dyDescent="0.35">
      <c r="A32" s="25"/>
      <c r="B32" s="25"/>
      <c r="C32" s="26"/>
      <c r="D32" s="27"/>
      <c r="E32" s="27"/>
      <c r="F32" s="26"/>
    </row>
    <row r="33" spans="1:6" s="3" customFormat="1" x14ac:dyDescent="0.35">
      <c r="A33" s="25"/>
      <c r="B33" s="25"/>
      <c r="C33" s="26"/>
      <c r="D33" s="27"/>
      <c r="E33" s="27"/>
      <c r="F33" s="26"/>
    </row>
    <row r="34" spans="1:6" s="3" customFormat="1" x14ac:dyDescent="0.35">
      <c r="A34" s="25"/>
      <c r="B34" s="25"/>
      <c r="C34" s="26"/>
      <c r="D34" s="27"/>
      <c r="E34" s="27"/>
      <c r="F34" s="26"/>
    </row>
    <row r="35" spans="1:6" s="3" customFormat="1" x14ac:dyDescent="0.35">
      <c r="A35" s="25"/>
      <c r="B35" s="25"/>
      <c r="C35" s="26"/>
      <c r="D35" s="27"/>
      <c r="E35" s="27"/>
      <c r="F35" s="26"/>
    </row>
    <row r="36" spans="1:6" s="3" customFormat="1" x14ac:dyDescent="0.35">
      <c r="A36" s="25"/>
      <c r="B36" s="25"/>
      <c r="C36" s="26"/>
      <c r="D36" s="27"/>
      <c r="E36" s="27"/>
      <c r="F36" s="26"/>
    </row>
    <row r="37" spans="1:6" s="3" customFormat="1" x14ac:dyDescent="0.35">
      <c r="A37" s="25"/>
      <c r="B37" s="25"/>
      <c r="C37" s="26"/>
      <c r="D37" s="27"/>
      <c r="E37" s="27"/>
      <c r="F37" s="26"/>
    </row>
    <row r="38" spans="1:6" s="3" customFormat="1" x14ac:dyDescent="0.35">
      <c r="A38" s="25"/>
      <c r="B38" s="25"/>
      <c r="C38" s="26"/>
      <c r="D38" s="27"/>
      <c r="E38" s="27"/>
      <c r="F38" s="26"/>
    </row>
    <row r="39" spans="1:6" s="3" customFormat="1" x14ac:dyDescent="0.35">
      <c r="A39" s="25"/>
      <c r="B39" s="25"/>
      <c r="C39" s="26"/>
      <c r="D39" s="27"/>
      <c r="E39" s="27"/>
      <c r="F39" s="26"/>
    </row>
    <row r="40" spans="1:6" s="3" customFormat="1" x14ac:dyDescent="0.35">
      <c r="A40" s="25"/>
      <c r="B40" s="25"/>
      <c r="C40" s="26"/>
      <c r="D40" s="27"/>
      <c r="E40" s="27"/>
      <c r="F40" s="26"/>
    </row>
    <row r="41" spans="1:6" s="3" customFormat="1" x14ac:dyDescent="0.35">
      <c r="A41" s="25"/>
      <c r="B41" s="25"/>
      <c r="C41" s="26"/>
      <c r="D41" s="27"/>
      <c r="E41" s="27"/>
      <c r="F41" s="26"/>
    </row>
    <row r="42" spans="1:6" s="3" customFormat="1" x14ac:dyDescent="0.35">
      <c r="A42" s="25"/>
      <c r="B42" s="25"/>
      <c r="C42" s="26"/>
      <c r="D42" s="27"/>
      <c r="E42" s="27"/>
      <c r="F42" s="26"/>
    </row>
    <row r="43" spans="1:6" s="3" customFormat="1" x14ac:dyDescent="0.35">
      <c r="A43" s="25"/>
      <c r="B43" s="25"/>
      <c r="C43" s="26"/>
      <c r="D43" s="27"/>
      <c r="E43" s="27"/>
      <c r="F43" s="26"/>
    </row>
    <row r="44" spans="1:6" s="3" customFormat="1" x14ac:dyDescent="0.35">
      <c r="A44" s="25"/>
      <c r="B44" s="25"/>
      <c r="C44" s="26"/>
      <c r="D44" s="27"/>
      <c r="E44" s="27"/>
      <c r="F44" s="26"/>
    </row>
    <row r="45" spans="1:6" s="3" customFormat="1" x14ac:dyDescent="0.35">
      <c r="A45" s="25"/>
      <c r="B45" s="25"/>
      <c r="C45" s="26"/>
      <c r="D45" s="27"/>
      <c r="E45" s="27"/>
      <c r="F45" s="26"/>
    </row>
    <row r="46" spans="1:6" s="3" customFormat="1" x14ac:dyDescent="0.35">
      <c r="A46" s="25"/>
      <c r="B46" s="25"/>
      <c r="C46" s="26"/>
      <c r="D46" s="27"/>
      <c r="E46" s="27"/>
      <c r="F46" s="26"/>
    </row>
    <row r="47" spans="1:6" s="3" customFormat="1" x14ac:dyDescent="0.35">
      <c r="A47" s="25"/>
      <c r="B47" s="25"/>
      <c r="C47" s="26"/>
      <c r="D47" s="27"/>
      <c r="E47" s="27"/>
      <c r="F47" s="26"/>
    </row>
    <row r="48" spans="1:6" s="3" customFormat="1" x14ac:dyDescent="0.35">
      <c r="A48" s="25"/>
      <c r="B48" s="25"/>
      <c r="C48" s="26"/>
      <c r="D48" s="27"/>
      <c r="E48" s="27"/>
      <c r="F48" s="26"/>
    </row>
    <row r="49" spans="1:6" s="3" customFormat="1" x14ac:dyDescent="0.35">
      <c r="A49" s="25"/>
      <c r="B49" s="25"/>
      <c r="C49" s="26"/>
      <c r="D49" s="27"/>
      <c r="E49" s="27"/>
      <c r="F49" s="26"/>
    </row>
    <row r="50" spans="1:6" s="3" customFormat="1" x14ac:dyDescent="0.35">
      <c r="A50" s="25"/>
      <c r="B50" s="25"/>
      <c r="C50" s="26"/>
      <c r="D50" s="27"/>
      <c r="E50" s="27"/>
      <c r="F50" s="26"/>
    </row>
    <row r="51" spans="1:6" s="3" customFormat="1" x14ac:dyDescent="0.35">
      <c r="A51" s="25"/>
      <c r="B51" s="25"/>
      <c r="C51" s="26"/>
      <c r="D51" s="27"/>
      <c r="E51" s="27"/>
      <c r="F51" s="26"/>
    </row>
    <row r="52" spans="1:6" s="3" customFormat="1" x14ac:dyDescent="0.35">
      <c r="A52" s="25"/>
      <c r="B52" s="25"/>
      <c r="C52" s="26"/>
      <c r="D52" s="27"/>
      <c r="E52" s="27"/>
      <c r="F52" s="26"/>
    </row>
    <row r="53" spans="1:6" s="3" customFormat="1" x14ac:dyDescent="0.35">
      <c r="A53" s="25"/>
      <c r="B53" s="25"/>
      <c r="C53" s="26"/>
      <c r="D53" s="27"/>
      <c r="E53" s="27"/>
      <c r="F53" s="26"/>
    </row>
    <row r="54" spans="1:6" s="3" customFormat="1" x14ac:dyDescent="0.35">
      <c r="A54" s="25"/>
      <c r="B54" s="25"/>
      <c r="C54" s="26"/>
      <c r="D54" s="27"/>
      <c r="E54" s="27"/>
      <c r="F54" s="26"/>
    </row>
    <row r="55" spans="1:6" s="3" customFormat="1" x14ac:dyDescent="0.35">
      <c r="A55" s="25"/>
      <c r="B55" s="25"/>
      <c r="C55" s="26"/>
      <c r="D55" s="27"/>
      <c r="E55" s="27"/>
      <c r="F55" s="26"/>
    </row>
    <row r="56" spans="1:6" s="3" customFormat="1" x14ac:dyDescent="0.35">
      <c r="A56" s="25"/>
      <c r="B56" s="25"/>
      <c r="C56" s="26"/>
      <c r="D56" s="27"/>
      <c r="E56" s="27"/>
      <c r="F56" s="26"/>
    </row>
    <row r="57" spans="1:6" s="18" customFormat="1" x14ac:dyDescent="0.35">
      <c r="A57" s="25"/>
      <c r="B57" s="25"/>
      <c r="C57" s="26"/>
      <c r="D57" s="27"/>
      <c r="E57" s="27"/>
      <c r="F57" s="26"/>
    </row>
    <row r="58" spans="1:6" s="3" customFormat="1" x14ac:dyDescent="0.35">
      <c r="A58" s="25"/>
      <c r="B58" s="25"/>
      <c r="C58" s="26"/>
      <c r="D58" s="27"/>
      <c r="E58" s="27"/>
      <c r="F58" s="26"/>
    </row>
    <row r="59" spans="1:6" s="3" customFormat="1" x14ac:dyDescent="0.35">
      <c r="A59" s="25"/>
      <c r="B59" s="25"/>
      <c r="C59" s="26"/>
      <c r="D59" s="27"/>
      <c r="E59" s="27"/>
      <c r="F59" s="26"/>
    </row>
    <row r="60" spans="1:6" s="3" customFormat="1" x14ac:dyDescent="0.35">
      <c r="A60" s="25"/>
      <c r="B60" s="25"/>
      <c r="C60" s="26"/>
      <c r="D60" s="27"/>
      <c r="E60" s="27"/>
      <c r="F60" s="26"/>
    </row>
    <row r="61" spans="1:6" s="3" customFormat="1" x14ac:dyDescent="0.35">
      <c r="A61" s="25"/>
      <c r="B61" s="25"/>
      <c r="C61" s="26"/>
      <c r="D61" s="27"/>
      <c r="E61" s="27"/>
      <c r="F61" s="26"/>
    </row>
    <row r="62" spans="1:6" s="3" customFormat="1" x14ac:dyDescent="0.35">
      <c r="A62" s="25"/>
      <c r="B62" s="25"/>
      <c r="C62" s="26"/>
      <c r="D62" s="27"/>
      <c r="E62" s="27"/>
      <c r="F62" s="26"/>
    </row>
    <row r="63" spans="1:6" s="3" customFormat="1" x14ac:dyDescent="0.35">
      <c r="A63" s="25"/>
      <c r="B63" s="25"/>
      <c r="C63" s="26"/>
      <c r="D63" s="27"/>
      <c r="E63" s="27"/>
      <c r="F63" s="26"/>
    </row>
    <row r="64" spans="1:6" s="3" customFormat="1" x14ac:dyDescent="0.35">
      <c r="A64" s="25"/>
      <c r="B64" s="25"/>
      <c r="C64" s="26"/>
      <c r="D64" s="27"/>
      <c r="E64" s="27"/>
      <c r="F64" s="26"/>
    </row>
    <row r="65" spans="1:6" s="3" customFormat="1" x14ac:dyDescent="0.35">
      <c r="A65" s="25"/>
      <c r="B65" s="25"/>
      <c r="C65" s="26"/>
      <c r="D65" s="27"/>
      <c r="E65" s="27"/>
      <c r="F65" s="26"/>
    </row>
    <row r="66" spans="1:6" s="3" customFormat="1" x14ac:dyDescent="0.35">
      <c r="A66" s="25"/>
      <c r="B66" s="25"/>
      <c r="C66" s="26"/>
      <c r="D66" s="27"/>
      <c r="E66" s="27"/>
      <c r="F66" s="26"/>
    </row>
    <row r="67" spans="1:6" s="3" customFormat="1" x14ac:dyDescent="0.35">
      <c r="A67" s="25"/>
      <c r="B67" s="25"/>
      <c r="C67" s="26"/>
      <c r="D67" s="27"/>
      <c r="E67" s="27"/>
      <c r="F67" s="26"/>
    </row>
    <row r="68" spans="1:6" s="3" customFormat="1" x14ac:dyDescent="0.35">
      <c r="A68" s="25"/>
      <c r="B68" s="25"/>
      <c r="C68" s="26"/>
      <c r="D68" s="27"/>
      <c r="E68" s="27"/>
      <c r="F68" s="26"/>
    </row>
    <row r="69" spans="1:6" s="3" customFormat="1" x14ac:dyDescent="0.35">
      <c r="A69" s="25"/>
      <c r="B69" s="25"/>
      <c r="C69" s="26"/>
      <c r="D69" s="27"/>
      <c r="E69" s="27"/>
      <c r="F69" s="26"/>
    </row>
    <row r="70" spans="1:6" s="3" customFormat="1" x14ac:dyDescent="0.35">
      <c r="A70" s="25"/>
      <c r="B70" s="25"/>
      <c r="C70" s="26"/>
      <c r="D70" s="27"/>
      <c r="E70" s="27"/>
      <c r="F70" s="26"/>
    </row>
    <row r="71" spans="1:6" s="3" customFormat="1" x14ac:dyDescent="0.35">
      <c r="A71" s="25"/>
      <c r="B71" s="25"/>
      <c r="C71" s="26"/>
      <c r="D71" s="27"/>
      <c r="E71" s="27"/>
      <c r="F71" s="26"/>
    </row>
    <row r="72" spans="1:6" s="3" customFormat="1" x14ac:dyDescent="0.35">
      <c r="A72" s="25"/>
      <c r="B72" s="25"/>
      <c r="C72" s="26"/>
      <c r="D72" s="27"/>
      <c r="E72" s="27"/>
      <c r="F72" s="26"/>
    </row>
    <row r="73" spans="1:6" s="3" customFormat="1" x14ac:dyDescent="0.35">
      <c r="A73" s="25"/>
      <c r="B73" s="25"/>
      <c r="C73" s="26"/>
      <c r="D73" s="27"/>
      <c r="E73" s="27"/>
      <c r="F73" s="26"/>
    </row>
    <row r="74" spans="1:6" s="3" customFormat="1" x14ac:dyDescent="0.35">
      <c r="A74" s="25"/>
      <c r="B74" s="25"/>
      <c r="C74" s="26"/>
      <c r="D74" s="27"/>
      <c r="E74" s="27"/>
      <c r="F74" s="26"/>
    </row>
    <row r="75" spans="1:6" s="3" customFormat="1" x14ac:dyDescent="0.35">
      <c r="A75" s="25"/>
      <c r="B75" s="25"/>
      <c r="C75" s="26"/>
      <c r="D75" s="27"/>
      <c r="E75" s="27"/>
      <c r="F75" s="26"/>
    </row>
    <row r="76" spans="1:6" s="3" customFormat="1" x14ac:dyDescent="0.35">
      <c r="A76" s="25"/>
      <c r="B76" s="25"/>
      <c r="C76" s="26"/>
      <c r="D76" s="27"/>
      <c r="E76" s="27"/>
      <c r="F76" s="26"/>
    </row>
    <row r="77" spans="1:6" s="3" customFormat="1" x14ac:dyDescent="0.35">
      <c r="A77" s="25"/>
      <c r="B77" s="25"/>
      <c r="C77" s="26"/>
      <c r="D77" s="27"/>
      <c r="E77" s="27"/>
      <c r="F77" s="26"/>
    </row>
    <row r="78" spans="1:6" s="3" customFormat="1" x14ac:dyDescent="0.35">
      <c r="A78" s="25"/>
      <c r="B78" s="25"/>
      <c r="C78" s="26"/>
      <c r="D78" s="27"/>
      <c r="E78" s="27"/>
      <c r="F78" s="26"/>
    </row>
    <row r="79" spans="1:6" s="3" customFormat="1" x14ac:dyDescent="0.35">
      <c r="A79" s="25"/>
      <c r="B79" s="25"/>
      <c r="C79" s="26"/>
      <c r="D79" s="27"/>
      <c r="E79" s="27"/>
      <c r="F79" s="26"/>
    </row>
    <row r="80" spans="1:6" s="3" customFormat="1" x14ac:dyDescent="0.35">
      <c r="A80" s="25"/>
      <c r="B80" s="25"/>
      <c r="C80" s="26"/>
      <c r="D80" s="27"/>
      <c r="E80" s="27"/>
      <c r="F80" s="26"/>
    </row>
    <row r="81" spans="1:6" s="3" customFormat="1" x14ac:dyDescent="0.35">
      <c r="A81" s="25"/>
      <c r="B81" s="25"/>
      <c r="C81" s="26"/>
      <c r="D81" s="27"/>
      <c r="E81" s="27"/>
      <c r="F81" s="26"/>
    </row>
    <row r="82" spans="1:6" s="3" customFormat="1" x14ac:dyDescent="0.35">
      <c r="A82" s="25"/>
      <c r="B82" s="25"/>
      <c r="C82" s="26"/>
      <c r="D82" s="27"/>
      <c r="E82" s="27"/>
      <c r="F82" s="26"/>
    </row>
    <row r="83" spans="1:6" s="3" customFormat="1" x14ac:dyDescent="0.35">
      <c r="A83" s="25"/>
      <c r="B83" s="25"/>
      <c r="C83" s="26"/>
      <c r="D83" s="27"/>
      <c r="E83" s="27"/>
      <c r="F83" s="26"/>
    </row>
    <row r="84" spans="1:6" s="3" customFormat="1" x14ac:dyDescent="0.35">
      <c r="A84" s="25"/>
      <c r="B84" s="25"/>
      <c r="C84" s="26"/>
      <c r="D84" s="27"/>
      <c r="E84" s="27"/>
      <c r="F84" s="26"/>
    </row>
    <row r="85" spans="1:6" s="3" customFormat="1" x14ac:dyDescent="0.35">
      <c r="A85" s="25"/>
      <c r="B85" s="25"/>
      <c r="C85" s="26"/>
      <c r="D85" s="27"/>
      <c r="E85" s="27"/>
      <c r="F85" s="26"/>
    </row>
    <row r="86" spans="1:6" s="3" customFormat="1" x14ac:dyDescent="0.35">
      <c r="A86" s="25"/>
      <c r="B86" s="25"/>
      <c r="C86" s="26"/>
      <c r="D86" s="27"/>
      <c r="E86" s="27"/>
      <c r="F86" s="26"/>
    </row>
    <row r="87" spans="1:6" s="3" customFormat="1" x14ac:dyDescent="0.35">
      <c r="A87" s="25"/>
      <c r="B87" s="25"/>
      <c r="C87" s="26"/>
      <c r="D87" s="27"/>
      <c r="E87" s="27"/>
      <c r="F87" s="26"/>
    </row>
    <row r="88" spans="1:6" s="3" customFormat="1" x14ac:dyDescent="0.35">
      <c r="A88" s="25"/>
      <c r="B88" s="25"/>
      <c r="C88" s="26"/>
      <c r="D88" s="27"/>
      <c r="E88" s="27"/>
      <c r="F88" s="26"/>
    </row>
    <row r="89" spans="1:6" s="3" customFormat="1" x14ac:dyDescent="0.35">
      <c r="A89" s="25"/>
      <c r="B89" s="25"/>
      <c r="C89" s="26"/>
      <c r="D89" s="27"/>
      <c r="E89" s="27"/>
      <c r="F89" s="26"/>
    </row>
    <row r="90" spans="1:6" s="3" customFormat="1" x14ac:dyDescent="0.35">
      <c r="A90" s="25"/>
      <c r="B90" s="25"/>
      <c r="C90" s="26"/>
      <c r="D90" s="27"/>
      <c r="E90" s="27"/>
      <c r="F90" s="26"/>
    </row>
    <row r="91" spans="1:6" s="3" customFormat="1" x14ac:dyDescent="0.35">
      <c r="A91" s="25"/>
      <c r="B91" s="25"/>
      <c r="C91" s="26"/>
      <c r="D91" s="27"/>
      <c r="E91" s="27"/>
      <c r="F91" s="26"/>
    </row>
    <row r="92" spans="1:6" s="3" customFormat="1" x14ac:dyDescent="0.35">
      <c r="A92" s="25"/>
      <c r="B92" s="25"/>
      <c r="C92" s="26"/>
      <c r="D92" s="27"/>
      <c r="E92" s="27"/>
      <c r="F92" s="26"/>
    </row>
    <row r="93" spans="1:6" s="3" customFormat="1" x14ac:dyDescent="0.35">
      <c r="A93" s="25"/>
      <c r="B93" s="25"/>
      <c r="C93" s="26"/>
      <c r="D93" s="27"/>
      <c r="E93" s="27"/>
      <c r="F93" s="26"/>
    </row>
    <row r="94" spans="1:6" s="3" customFormat="1" x14ac:dyDescent="0.35">
      <c r="A94" s="25"/>
      <c r="B94" s="25"/>
      <c r="C94" s="26"/>
      <c r="D94" s="27"/>
      <c r="E94" s="27"/>
      <c r="F94" s="26"/>
    </row>
    <row r="95" spans="1:6" s="3" customFormat="1" x14ac:dyDescent="0.35">
      <c r="A95" s="25"/>
      <c r="B95" s="25"/>
      <c r="C95" s="26"/>
      <c r="D95" s="27"/>
      <c r="E95" s="27"/>
      <c r="F95" s="26"/>
    </row>
    <row r="96" spans="1:6" s="3" customFormat="1" x14ac:dyDescent="0.35">
      <c r="A96" s="25"/>
      <c r="B96" s="25"/>
      <c r="C96" s="26"/>
      <c r="D96" s="27"/>
      <c r="E96" s="27"/>
      <c r="F96" s="26"/>
    </row>
    <row r="97" spans="1:6" s="3" customFormat="1" x14ac:dyDescent="0.35">
      <c r="A97" s="25"/>
      <c r="B97" s="25"/>
      <c r="C97" s="26"/>
      <c r="D97" s="27"/>
      <c r="E97" s="27"/>
      <c r="F97" s="26"/>
    </row>
    <row r="98" spans="1:6" s="3" customFormat="1" x14ac:dyDescent="0.35">
      <c r="A98" s="25"/>
      <c r="B98" s="25"/>
      <c r="C98" s="26"/>
      <c r="D98" s="27"/>
      <c r="E98" s="27"/>
      <c r="F98" s="26"/>
    </row>
    <row r="99" spans="1:6" s="18" customFormat="1" x14ac:dyDescent="0.35">
      <c r="A99" s="25"/>
      <c r="B99" s="25"/>
      <c r="C99" s="26"/>
      <c r="D99" s="27"/>
      <c r="E99" s="27"/>
      <c r="F99" s="26"/>
    </row>
    <row r="100" spans="1:6" s="3" customFormat="1" x14ac:dyDescent="0.35">
      <c r="A100" s="25"/>
      <c r="B100" s="25"/>
      <c r="C100" s="26"/>
      <c r="D100" s="27"/>
      <c r="E100" s="27"/>
      <c r="F100" s="26"/>
    </row>
    <row r="101" spans="1:6" s="3" customFormat="1" x14ac:dyDescent="0.35">
      <c r="A101" s="25"/>
      <c r="B101" s="25"/>
      <c r="C101" s="26"/>
      <c r="D101" s="27"/>
      <c r="E101" s="27"/>
      <c r="F101" s="26"/>
    </row>
    <row r="102" spans="1:6" s="3" customFormat="1" x14ac:dyDescent="0.35">
      <c r="A102" s="25"/>
      <c r="B102" s="25"/>
      <c r="C102" s="26"/>
      <c r="D102" s="27"/>
      <c r="E102" s="27"/>
      <c r="F102" s="26"/>
    </row>
    <row r="103" spans="1:6" s="6" customFormat="1" x14ac:dyDescent="0.35">
      <c r="A103" s="25"/>
      <c r="B103" s="25"/>
      <c r="C103" s="26"/>
      <c r="D103" s="27"/>
      <c r="E103" s="27"/>
      <c r="F103" s="26"/>
    </row>
    <row r="104" spans="1:6" s="6" customFormat="1" x14ac:dyDescent="0.35">
      <c r="A104" s="25"/>
      <c r="B104" s="25"/>
      <c r="C104" s="26"/>
      <c r="D104" s="27"/>
      <c r="E104" s="27"/>
      <c r="F104" s="26"/>
    </row>
    <row r="105" spans="1:6" s="6" customFormat="1" x14ac:dyDescent="0.35">
      <c r="A105" s="25"/>
      <c r="B105" s="25"/>
      <c r="C105" s="26"/>
      <c r="D105" s="27"/>
      <c r="E105" s="27"/>
      <c r="F105" s="26"/>
    </row>
    <row r="106" spans="1:6" s="6" customFormat="1" x14ac:dyDescent="0.35">
      <c r="A106" s="25"/>
      <c r="B106" s="25"/>
      <c r="C106" s="26"/>
      <c r="D106" s="27"/>
      <c r="E106" s="27"/>
      <c r="F106" s="26"/>
    </row>
    <row r="107" spans="1:6" s="6" customFormat="1" x14ac:dyDescent="0.35">
      <c r="A107" s="25"/>
      <c r="B107" s="25"/>
      <c r="C107" s="26"/>
      <c r="D107" s="27"/>
      <c r="E107" s="27"/>
      <c r="F107" s="26"/>
    </row>
    <row r="108" spans="1:6" s="6" customFormat="1" x14ac:dyDescent="0.35">
      <c r="A108" s="25"/>
      <c r="B108" s="25"/>
      <c r="C108" s="26"/>
      <c r="D108" s="27"/>
      <c r="E108" s="27"/>
      <c r="F108" s="26"/>
    </row>
    <row r="109" spans="1:6" s="6" customFormat="1" x14ac:dyDescent="0.35">
      <c r="A109" s="25"/>
      <c r="B109" s="25"/>
      <c r="C109" s="26"/>
      <c r="D109" s="27"/>
      <c r="E109" s="27"/>
      <c r="F109" s="26"/>
    </row>
    <row r="110" spans="1:6" s="6" customFormat="1" x14ac:dyDescent="0.35">
      <c r="A110" s="25"/>
      <c r="B110" s="25"/>
      <c r="C110" s="26"/>
      <c r="D110" s="27"/>
      <c r="E110" s="27"/>
      <c r="F110" s="26"/>
    </row>
    <row r="111" spans="1:6" s="6" customFormat="1" x14ac:dyDescent="0.35">
      <c r="A111" s="25"/>
      <c r="B111" s="25"/>
      <c r="C111" s="26"/>
      <c r="D111" s="27"/>
      <c r="E111" s="27"/>
      <c r="F111" s="26"/>
    </row>
    <row r="112" spans="1:6" s="6" customFormat="1" x14ac:dyDescent="0.35">
      <c r="A112" s="25"/>
      <c r="B112" s="25"/>
      <c r="C112" s="26"/>
      <c r="D112" s="27"/>
      <c r="E112" s="27"/>
      <c r="F112" s="26"/>
    </row>
    <row r="113" spans="1:6" s="6" customFormat="1" x14ac:dyDescent="0.35">
      <c r="A113" s="25"/>
      <c r="B113" s="25"/>
      <c r="C113" s="26"/>
      <c r="D113" s="27"/>
      <c r="E113" s="27"/>
      <c r="F113" s="26"/>
    </row>
    <row r="114" spans="1:6" s="14" customFormat="1" x14ac:dyDescent="0.35">
      <c r="A114" s="25"/>
      <c r="B114" s="25"/>
      <c r="C114" s="26"/>
      <c r="D114" s="27"/>
      <c r="E114" s="27"/>
      <c r="F114" s="26"/>
    </row>
    <row r="115" spans="1:6" s="6" customFormat="1" x14ac:dyDescent="0.35">
      <c r="A115" s="25"/>
      <c r="B115" s="25"/>
      <c r="C115" s="26"/>
      <c r="D115" s="27"/>
      <c r="E115" s="27"/>
      <c r="F115" s="26"/>
    </row>
    <row r="116" spans="1:6" s="6" customFormat="1" x14ac:dyDescent="0.35">
      <c r="A116" s="25"/>
      <c r="B116" s="25"/>
      <c r="C116" s="26"/>
      <c r="D116" s="27"/>
      <c r="E116" s="27"/>
      <c r="F116" s="26"/>
    </row>
    <row r="117" spans="1:6" s="6" customFormat="1" x14ac:dyDescent="0.35">
      <c r="A117" s="25"/>
      <c r="B117" s="25"/>
      <c r="C117" s="26"/>
      <c r="D117" s="27"/>
      <c r="E117" s="27"/>
      <c r="F117" s="26"/>
    </row>
    <row r="118" spans="1:6" s="6" customFormat="1" x14ac:dyDescent="0.35">
      <c r="A118" s="25"/>
      <c r="B118" s="25"/>
      <c r="C118" s="26"/>
      <c r="D118" s="27"/>
      <c r="E118" s="27"/>
      <c r="F118" s="26"/>
    </row>
    <row r="119" spans="1:6" s="6" customFormat="1" x14ac:dyDescent="0.35">
      <c r="A119" s="25"/>
      <c r="B119" s="25"/>
      <c r="C119" s="26"/>
      <c r="D119" s="27"/>
      <c r="E119" s="27"/>
      <c r="F119" s="26"/>
    </row>
    <row r="120" spans="1:6" s="6" customFormat="1" x14ac:dyDescent="0.35">
      <c r="A120" s="25"/>
      <c r="B120" s="25"/>
      <c r="C120" s="26"/>
      <c r="D120" s="27"/>
      <c r="E120" s="27"/>
      <c r="F120" s="26"/>
    </row>
    <row r="121" spans="1:6" s="6" customFormat="1" x14ac:dyDescent="0.35">
      <c r="A121" s="25"/>
      <c r="B121" s="25"/>
      <c r="C121" s="26"/>
      <c r="D121" s="27"/>
      <c r="E121" s="27"/>
      <c r="F121" s="26"/>
    </row>
    <row r="122" spans="1:6" s="6" customFormat="1" x14ac:dyDescent="0.35">
      <c r="A122" s="25"/>
      <c r="B122" s="25"/>
      <c r="C122" s="26"/>
      <c r="D122" s="27"/>
      <c r="E122" s="27"/>
      <c r="F122" s="26"/>
    </row>
    <row r="123" spans="1:6" s="6" customFormat="1" x14ac:dyDescent="0.35">
      <c r="A123" s="25"/>
      <c r="B123" s="25"/>
      <c r="C123" s="26"/>
      <c r="D123" s="27"/>
      <c r="E123" s="27"/>
      <c r="F123" s="26"/>
    </row>
    <row r="124" spans="1:6" s="6" customFormat="1" x14ac:dyDescent="0.35">
      <c r="A124" s="25"/>
      <c r="B124" s="25"/>
      <c r="C124" s="26"/>
      <c r="D124" s="27"/>
      <c r="E124" s="27"/>
      <c r="F124" s="26"/>
    </row>
    <row r="125" spans="1:6" s="6" customFormat="1" x14ac:dyDescent="0.35">
      <c r="A125" s="25"/>
      <c r="B125" s="25"/>
      <c r="C125" s="26"/>
      <c r="D125" s="27"/>
      <c r="E125" s="27"/>
      <c r="F125" s="26"/>
    </row>
    <row r="126" spans="1:6" s="5" customFormat="1" x14ac:dyDescent="0.35">
      <c r="A126" s="25"/>
      <c r="B126" s="25"/>
      <c r="C126" s="26"/>
      <c r="D126" s="27"/>
      <c r="E126" s="27"/>
      <c r="F126" s="26"/>
    </row>
    <row r="127" spans="1:6" s="5" customFormat="1" x14ac:dyDescent="0.35">
      <c r="A127" s="25"/>
      <c r="B127" s="25"/>
      <c r="C127" s="26"/>
      <c r="D127" s="27"/>
      <c r="E127" s="27"/>
      <c r="F127" s="26"/>
    </row>
    <row r="128" spans="1:6" s="5" customFormat="1" x14ac:dyDescent="0.35">
      <c r="A128" s="25"/>
      <c r="B128" s="25"/>
      <c r="C128" s="26"/>
      <c r="D128" s="27"/>
      <c r="E128" s="27"/>
      <c r="F128" s="26"/>
    </row>
    <row r="129" spans="1:6" s="5" customFormat="1" x14ac:dyDescent="0.35">
      <c r="A129" s="25"/>
      <c r="B129" s="25"/>
      <c r="C129" s="26"/>
      <c r="D129" s="27"/>
      <c r="E129" s="27"/>
      <c r="F129" s="26"/>
    </row>
    <row r="130" spans="1:6" s="5" customFormat="1" x14ac:dyDescent="0.35">
      <c r="A130" s="25"/>
      <c r="B130" s="25"/>
      <c r="C130" s="26"/>
      <c r="D130" s="27"/>
      <c r="E130" s="27"/>
      <c r="F130" s="26"/>
    </row>
    <row r="131" spans="1:6" s="5" customFormat="1" x14ac:dyDescent="0.35">
      <c r="A131" s="25"/>
      <c r="B131" s="25"/>
      <c r="C131" s="26"/>
      <c r="D131" s="27"/>
      <c r="E131" s="27"/>
      <c r="F131" s="26"/>
    </row>
    <row r="132" spans="1:6" s="5" customFormat="1" x14ac:dyDescent="0.35">
      <c r="A132" s="25"/>
      <c r="B132" s="25"/>
      <c r="C132" s="26"/>
      <c r="D132" s="27"/>
      <c r="E132" s="27"/>
      <c r="F132" s="26"/>
    </row>
    <row r="133" spans="1:6" s="5" customFormat="1" x14ac:dyDescent="0.35">
      <c r="A133" s="25"/>
      <c r="B133" s="25"/>
      <c r="C133" s="26"/>
      <c r="D133" s="27"/>
      <c r="E133" s="27"/>
      <c r="F133" s="26"/>
    </row>
    <row r="134" spans="1:6" s="5" customFormat="1" x14ac:dyDescent="0.35">
      <c r="A134" s="25"/>
      <c r="B134" s="25"/>
      <c r="C134" s="26"/>
      <c r="D134" s="27"/>
      <c r="E134" s="27"/>
      <c r="F134" s="26"/>
    </row>
    <row r="135" spans="1:6" s="5" customFormat="1" x14ac:dyDescent="0.35">
      <c r="A135" s="25"/>
      <c r="B135" s="25"/>
      <c r="C135" s="26"/>
      <c r="D135" s="27"/>
      <c r="E135" s="27"/>
      <c r="F135" s="26"/>
    </row>
    <row r="136" spans="1:6" s="5" customFormat="1" x14ac:dyDescent="0.35">
      <c r="A136" s="25"/>
      <c r="B136" s="25"/>
      <c r="C136" s="26"/>
      <c r="D136" s="27"/>
      <c r="E136" s="27"/>
      <c r="F136" s="26"/>
    </row>
    <row r="137" spans="1:6" s="5" customFormat="1" x14ac:dyDescent="0.35">
      <c r="A137" s="25"/>
      <c r="B137" s="25"/>
      <c r="C137" s="26"/>
      <c r="D137" s="27"/>
      <c r="E137" s="27"/>
      <c r="F137" s="26"/>
    </row>
    <row r="138" spans="1:6" s="5" customFormat="1" x14ac:dyDescent="0.35">
      <c r="A138" s="25"/>
      <c r="B138" s="25"/>
      <c r="C138" s="26"/>
      <c r="D138" s="27"/>
      <c r="E138" s="27"/>
      <c r="F138" s="26"/>
    </row>
    <row r="139" spans="1:6" s="5" customFormat="1" x14ac:dyDescent="0.35">
      <c r="A139" s="25"/>
      <c r="B139" s="25"/>
      <c r="C139" s="26"/>
      <c r="D139" s="27"/>
      <c r="E139" s="27"/>
      <c r="F139" s="26"/>
    </row>
    <row r="140" spans="1:6" s="5" customFormat="1" x14ac:dyDescent="0.35">
      <c r="A140" s="25"/>
      <c r="B140" s="25"/>
      <c r="C140" s="26"/>
      <c r="D140" s="27"/>
      <c r="E140" s="27"/>
      <c r="F140" s="26"/>
    </row>
    <row r="141" spans="1:6" x14ac:dyDescent="0.35">
      <c r="A141" s="25"/>
      <c r="B141" s="25"/>
      <c r="C141" s="26"/>
      <c r="D141" s="27"/>
      <c r="E141" s="27"/>
      <c r="F141" s="26"/>
    </row>
    <row r="142" spans="1:6" x14ac:dyDescent="0.35">
      <c r="A142" s="25"/>
      <c r="B142" s="25"/>
      <c r="C142" s="26"/>
      <c r="D142" s="27"/>
      <c r="E142" s="27"/>
      <c r="F142" s="26"/>
    </row>
    <row r="143" spans="1:6" x14ac:dyDescent="0.35">
      <c r="A143" s="25"/>
      <c r="B143" s="25"/>
      <c r="C143" s="26"/>
      <c r="D143" s="27"/>
      <c r="E143" s="27"/>
      <c r="F143" s="26"/>
    </row>
    <row r="144" spans="1:6" x14ac:dyDescent="0.35">
      <c r="A144" s="25"/>
      <c r="B144" s="25"/>
      <c r="C144" s="26"/>
      <c r="D144" s="27"/>
      <c r="E144" s="27"/>
      <c r="F144" s="26"/>
    </row>
    <row r="145" spans="1:6" x14ac:dyDescent="0.35">
      <c r="A145" s="25"/>
      <c r="B145" s="25"/>
      <c r="C145" s="26"/>
      <c r="D145" s="27"/>
      <c r="E145" s="27"/>
      <c r="F145" s="26"/>
    </row>
    <row r="146" spans="1:6" x14ac:dyDescent="0.35">
      <c r="A146" s="25"/>
      <c r="B146" s="25"/>
      <c r="C146" s="26"/>
      <c r="D146" s="27"/>
      <c r="E146" s="27"/>
      <c r="F146" s="26"/>
    </row>
    <row r="147" spans="1:6" x14ac:dyDescent="0.35">
      <c r="A147" s="25"/>
      <c r="B147" s="25"/>
      <c r="C147" s="26"/>
      <c r="D147" s="27"/>
      <c r="E147" s="27"/>
      <c r="F147" s="26"/>
    </row>
    <row r="148" spans="1:6" x14ac:dyDescent="0.35">
      <c r="A148" s="25"/>
      <c r="B148" s="25"/>
      <c r="C148" s="26"/>
      <c r="D148" s="27"/>
      <c r="E148" s="27"/>
      <c r="F148" s="26"/>
    </row>
    <row r="149" spans="1:6" x14ac:dyDescent="0.35">
      <c r="A149" s="25"/>
      <c r="B149" s="25"/>
      <c r="C149" s="26"/>
      <c r="D149" s="27"/>
      <c r="E149" s="27"/>
      <c r="F149" s="26"/>
    </row>
    <row r="150" spans="1:6" x14ac:dyDescent="0.35">
      <c r="A150" s="25"/>
      <c r="B150" s="25"/>
      <c r="C150" s="26"/>
      <c r="D150" s="27"/>
      <c r="E150" s="27"/>
      <c r="F150" s="26"/>
    </row>
    <row r="151" spans="1:6" x14ac:dyDescent="0.35">
      <c r="A151" s="25"/>
      <c r="B151" s="25"/>
      <c r="C151" s="26"/>
      <c r="D151" s="27"/>
      <c r="E151" s="27"/>
      <c r="F151" s="26"/>
    </row>
    <row r="152" spans="1:6" x14ac:dyDescent="0.35">
      <c r="A152" s="25"/>
      <c r="B152" s="25"/>
      <c r="C152" s="26"/>
      <c r="D152" s="27"/>
      <c r="E152" s="27"/>
      <c r="F152" s="26"/>
    </row>
    <row r="153" spans="1:6" x14ac:dyDescent="0.35">
      <c r="A153" s="25"/>
      <c r="B153" s="25"/>
      <c r="C153" s="26"/>
      <c r="D153" s="27"/>
      <c r="E153" s="27"/>
      <c r="F153" s="26"/>
    </row>
    <row r="154" spans="1:6" x14ac:dyDescent="0.35">
      <c r="A154" s="25"/>
      <c r="B154" s="25"/>
      <c r="C154" s="26"/>
      <c r="D154" s="27"/>
      <c r="E154" s="27"/>
      <c r="F154" s="26"/>
    </row>
    <row r="155" spans="1:6" x14ac:dyDescent="0.35">
      <c r="A155" s="25"/>
      <c r="B155" s="25"/>
      <c r="C155" s="26"/>
      <c r="D155" s="27"/>
      <c r="E155" s="27"/>
      <c r="F155" s="26"/>
    </row>
    <row r="156" spans="1:6" x14ac:dyDescent="0.35">
      <c r="A156" s="25"/>
      <c r="B156" s="25"/>
      <c r="C156" s="26"/>
      <c r="D156" s="27"/>
      <c r="E156" s="27"/>
      <c r="F156" s="26"/>
    </row>
    <row r="157" spans="1:6" x14ac:dyDescent="0.35">
      <c r="A157" s="25"/>
      <c r="B157" s="25"/>
      <c r="C157" s="26"/>
      <c r="D157" s="27"/>
      <c r="E157" s="27"/>
      <c r="F157" s="26"/>
    </row>
    <row r="158" spans="1:6" x14ac:dyDescent="0.35">
      <c r="A158" s="25"/>
      <c r="B158" s="25"/>
      <c r="C158" s="26"/>
      <c r="D158" s="27"/>
      <c r="E158" s="27"/>
      <c r="F158" s="26"/>
    </row>
    <row r="159" spans="1:6" x14ac:dyDescent="0.35">
      <c r="A159" s="25"/>
      <c r="B159" s="25"/>
      <c r="C159" s="26"/>
      <c r="D159" s="27"/>
      <c r="E159" s="27"/>
      <c r="F159" s="26"/>
    </row>
    <row r="160" spans="1:6" x14ac:dyDescent="0.35">
      <c r="A160" s="25"/>
      <c r="B160" s="25"/>
      <c r="C160" s="26"/>
      <c r="D160" s="27"/>
      <c r="E160" s="27"/>
      <c r="F160" s="26"/>
    </row>
    <row r="161" spans="1:6" x14ac:dyDescent="0.35">
      <c r="A161" s="25"/>
      <c r="B161" s="25"/>
      <c r="C161" s="26"/>
      <c r="D161" s="27"/>
      <c r="E161" s="27"/>
      <c r="F161" s="26"/>
    </row>
    <row r="162" spans="1:6" x14ac:dyDescent="0.35">
      <c r="A162" s="25"/>
      <c r="B162" s="25"/>
      <c r="C162" s="26"/>
      <c r="D162" s="27"/>
      <c r="E162" s="27"/>
      <c r="F162" s="26"/>
    </row>
    <row r="163" spans="1:6" x14ac:dyDescent="0.35">
      <c r="A163" s="25"/>
      <c r="B163" s="25"/>
      <c r="C163" s="26"/>
      <c r="D163" s="27"/>
      <c r="E163" s="27"/>
      <c r="F163" s="26"/>
    </row>
    <row r="164" spans="1:6" x14ac:dyDescent="0.35">
      <c r="A164" s="25"/>
      <c r="B164" s="25"/>
      <c r="C164" s="26"/>
      <c r="D164" s="27"/>
      <c r="E164" s="27"/>
      <c r="F164" s="26"/>
    </row>
    <row r="165" spans="1:6" x14ac:dyDescent="0.35">
      <c r="A165" s="25"/>
      <c r="B165" s="25"/>
      <c r="C165" s="26"/>
      <c r="D165" s="27"/>
      <c r="E165" s="27"/>
      <c r="F165" s="26"/>
    </row>
    <row r="166" spans="1:6" x14ac:dyDescent="0.35">
      <c r="A166" s="25"/>
      <c r="B166" s="25"/>
      <c r="C166" s="26"/>
      <c r="D166" s="27"/>
      <c r="E166" s="27"/>
      <c r="F166" s="26"/>
    </row>
    <row r="167" spans="1:6" x14ac:dyDescent="0.35">
      <c r="A167" s="25"/>
      <c r="B167" s="25"/>
      <c r="C167" s="26"/>
      <c r="D167" s="27"/>
      <c r="E167" s="27"/>
      <c r="F167" s="26"/>
    </row>
    <row r="168" spans="1:6" x14ac:dyDescent="0.35">
      <c r="A168" s="25"/>
      <c r="B168" s="25"/>
      <c r="C168" s="26"/>
      <c r="D168" s="27"/>
      <c r="E168" s="27"/>
      <c r="F168" s="26"/>
    </row>
    <row r="169" spans="1:6" x14ac:dyDescent="0.35">
      <c r="A169" s="25"/>
      <c r="B169" s="25"/>
      <c r="C169" s="26"/>
      <c r="D169" s="27"/>
      <c r="E169" s="27"/>
      <c r="F169" s="26"/>
    </row>
    <row r="170" spans="1:6" x14ac:dyDescent="0.35">
      <c r="A170" s="17"/>
      <c r="B170" s="17"/>
      <c r="C170" s="17"/>
      <c r="D170" s="16"/>
      <c r="E170" s="16"/>
      <c r="F170" s="16"/>
    </row>
    <row r="171" spans="1:6" x14ac:dyDescent="0.35">
      <c r="A171" s="17"/>
      <c r="B171" s="17"/>
      <c r="C171" s="17"/>
      <c r="D171" s="16"/>
      <c r="E171" s="16"/>
      <c r="F171" s="16"/>
    </row>
    <row r="172" spans="1:6" x14ac:dyDescent="0.35">
      <c r="A172" s="17"/>
      <c r="B172" s="17"/>
      <c r="C172" s="17"/>
      <c r="D172" s="16"/>
      <c r="E172" s="16"/>
      <c r="F172" s="16"/>
    </row>
    <row r="173" spans="1:6" x14ac:dyDescent="0.35">
      <c r="A173" s="17"/>
      <c r="B173" s="17"/>
      <c r="C173" s="17"/>
      <c r="D173" s="16"/>
      <c r="E173" s="16"/>
      <c r="F173" s="16"/>
    </row>
    <row r="174" spans="1:6" x14ac:dyDescent="0.35">
      <c r="A174" s="17"/>
      <c r="B174" s="17"/>
      <c r="C174" s="17"/>
      <c r="D174" s="16"/>
      <c r="E174" s="16"/>
      <c r="F174" s="16"/>
    </row>
    <row r="175" spans="1:6" x14ac:dyDescent="0.35">
      <c r="A175" s="19"/>
      <c r="B175" s="19"/>
      <c r="C175" s="19"/>
      <c r="D175" s="20"/>
      <c r="E175" s="20"/>
      <c r="F175" s="20"/>
    </row>
    <row r="176" spans="1:6" x14ac:dyDescent="0.35">
      <c r="A176" s="19"/>
      <c r="B176" s="19"/>
      <c r="C176" s="19"/>
      <c r="D176" s="20"/>
      <c r="E176" s="20"/>
      <c r="F176" s="20"/>
    </row>
    <row r="177" spans="1:6" x14ac:dyDescent="0.35">
      <c r="A177" s="19"/>
      <c r="B177" s="19"/>
      <c r="C177" s="19"/>
      <c r="D177" s="20"/>
      <c r="E177" s="20"/>
      <c r="F177" s="20"/>
    </row>
    <row r="178" spans="1:6" x14ac:dyDescent="0.35">
      <c r="A178" s="19"/>
      <c r="B178" s="19"/>
      <c r="C178" s="19"/>
      <c r="D178" s="20"/>
      <c r="E178" s="20"/>
      <c r="F178" s="20"/>
    </row>
    <row r="179" spans="1:6" x14ac:dyDescent="0.35">
      <c r="A179" s="19"/>
      <c r="B179" s="19"/>
      <c r="C179" s="19"/>
      <c r="D179" s="20"/>
      <c r="E179" s="20"/>
      <c r="F179" s="20"/>
    </row>
    <row r="180" spans="1:6" x14ac:dyDescent="0.35">
      <c r="A180" s="19"/>
      <c r="B180" s="19"/>
      <c r="C180" s="19"/>
      <c r="D180" s="20"/>
      <c r="E180" s="20"/>
      <c r="F180" s="20"/>
    </row>
  </sheetData>
  <autoFilter ref="A2:F178" xr:uid="{2C771D35-AF12-4691-B1F6-9CE13ED007CF}">
    <sortState xmlns:xlrd2="http://schemas.microsoft.com/office/spreadsheetml/2017/richdata2" ref="A3:F178">
      <sortCondition ref="A2:A178"/>
    </sortState>
  </autoFilter>
  <mergeCells count="1">
    <mergeCell ref="A1:F1"/>
  </mergeCells>
  <conditionalFormatting sqref="A3:F169">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179"/>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35" t="str">
        <f>"Daily closure report: "&amp;'Front page'!A7</f>
        <v>Daily closure report: Saturday, 29 August</v>
      </c>
      <c r="B1" s="35"/>
      <c r="C1" s="35"/>
      <c r="D1" s="35"/>
      <c r="E1" s="35"/>
      <c r="F1" s="35"/>
    </row>
    <row r="2" spans="1:6" s="12" customFormat="1" ht="28" x14ac:dyDescent="0.35">
      <c r="A2" s="12" t="s">
        <v>9</v>
      </c>
      <c r="B2" s="12" t="s">
        <v>1</v>
      </c>
      <c r="C2" s="12" t="s">
        <v>0</v>
      </c>
      <c r="D2" s="12" t="s">
        <v>11</v>
      </c>
      <c r="E2" s="12" t="s">
        <v>12</v>
      </c>
      <c r="F2" s="12" t="s">
        <v>10</v>
      </c>
    </row>
    <row r="3" spans="1:6" s="6" customFormat="1" ht="46.5" x14ac:dyDescent="0.35">
      <c r="A3" s="25" t="s">
        <v>45</v>
      </c>
      <c r="B3" s="25" t="s">
        <v>23</v>
      </c>
      <c r="C3" s="26" t="s">
        <v>53</v>
      </c>
      <c r="D3" s="27">
        <v>45847.208333333299</v>
      </c>
      <c r="E3" s="27">
        <v>46507.999305555597</v>
      </c>
      <c r="F3" s="26" t="s">
        <v>54</v>
      </c>
    </row>
    <row r="4" spans="1:6" s="6" customFormat="1" ht="77.5" x14ac:dyDescent="0.35">
      <c r="A4" s="25" t="s">
        <v>45</v>
      </c>
      <c r="B4" s="25" t="s">
        <v>2</v>
      </c>
      <c r="C4" s="26" t="s">
        <v>500</v>
      </c>
      <c r="D4" s="27">
        <v>46263.916666666701</v>
      </c>
      <c r="E4" s="27">
        <v>46264.25</v>
      </c>
      <c r="F4" s="26" t="s">
        <v>501</v>
      </c>
    </row>
    <row r="5" spans="1:6" s="6" customFormat="1" ht="77.5" x14ac:dyDescent="0.35">
      <c r="A5" s="25" t="s">
        <v>45</v>
      </c>
      <c r="B5" s="25" t="s">
        <v>2</v>
      </c>
      <c r="C5" s="26" t="s">
        <v>502</v>
      </c>
      <c r="D5" s="27">
        <v>46263.916666666701</v>
      </c>
      <c r="E5" s="27">
        <v>46264.25</v>
      </c>
      <c r="F5" s="26" t="s">
        <v>501</v>
      </c>
    </row>
    <row r="6" spans="1:6" s="6" customFormat="1" ht="93" x14ac:dyDescent="0.35">
      <c r="A6" s="25" t="s">
        <v>45</v>
      </c>
      <c r="B6" s="25" t="s">
        <v>2</v>
      </c>
      <c r="C6" s="26" t="s">
        <v>503</v>
      </c>
      <c r="D6" s="27">
        <v>46263.916666666701</v>
      </c>
      <c r="E6" s="27">
        <v>46264.25</v>
      </c>
      <c r="F6" s="26" t="s">
        <v>501</v>
      </c>
    </row>
    <row r="7" spans="1:6" s="6" customFormat="1" ht="93" x14ac:dyDescent="0.35">
      <c r="A7" s="25" t="s">
        <v>45</v>
      </c>
      <c r="B7" s="25" t="s">
        <v>2</v>
      </c>
      <c r="C7" s="26" t="s">
        <v>504</v>
      </c>
      <c r="D7" s="27">
        <v>46263.916666666701</v>
      </c>
      <c r="E7" s="27">
        <v>46264.25</v>
      </c>
      <c r="F7" s="26" t="s">
        <v>501</v>
      </c>
    </row>
    <row r="8" spans="1:6" s="6" customFormat="1" ht="77.5" x14ac:dyDescent="0.35">
      <c r="A8" s="25" t="s">
        <v>45</v>
      </c>
      <c r="B8" s="25" t="s">
        <v>2</v>
      </c>
      <c r="C8" s="26" t="s">
        <v>505</v>
      </c>
      <c r="D8" s="27">
        <v>46263.916666666701</v>
      </c>
      <c r="E8" s="27">
        <v>46264.25</v>
      </c>
      <c r="F8" s="26" t="s">
        <v>501</v>
      </c>
    </row>
    <row r="9" spans="1:6" s="6" customFormat="1" ht="77.5" x14ac:dyDescent="0.35">
      <c r="A9" s="25" t="s">
        <v>45</v>
      </c>
      <c r="B9" s="25" t="s">
        <v>2</v>
      </c>
      <c r="C9" s="26" t="s">
        <v>506</v>
      </c>
      <c r="D9" s="27">
        <v>46263.916666666701</v>
      </c>
      <c r="E9" s="27">
        <v>46264.25</v>
      </c>
      <c r="F9" s="26" t="s">
        <v>501</v>
      </c>
    </row>
    <row r="10" spans="1:6" s="6" customFormat="1" ht="77.5" x14ac:dyDescent="0.35">
      <c r="A10" s="25" t="s">
        <v>45</v>
      </c>
      <c r="B10" s="25" t="s">
        <v>2</v>
      </c>
      <c r="C10" s="26" t="s">
        <v>507</v>
      </c>
      <c r="D10" s="27">
        <v>46263.916666666701</v>
      </c>
      <c r="E10" s="27">
        <v>46264.25</v>
      </c>
      <c r="F10" s="26" t="s">
        <v>501</v>
      </c>
    </row>
    <row r="11" spans="1:6" s="6" customFormat="1" ht="77.5" x14ac:dyDescent="0.35">
      <c r="A11" s="25" t="s">
        <v>45</v>
      </c>
      <c r="B11" s="25" t="s">
        <v>2</v>
      </c>
      <c r="C11" s="26" t="s">
        <v>508</v>
      </c>
      <c r="D11" s="27">
        <v>46263.916666666701</v>
      </c>
      <c r="E11" s="27">
        <v>46264.25</v>
      </c>
      <c r="F11" s="26" t="s">
        <v>501</v>
      </c>
    </row>
    <row r="12" spans="1:6" s="6" customFormat="1" ht="77.5" x14ac:dyDescent="0.35">
      <c r="A12" s="25" t="s">
        <v>45</v>
      </c>
      <c r="B12" s="25" t="s">
        <v>2</v>
      </c>
      <c r="C12" s="26" t="s">
        <v>509</v>
      </c>
      <c r="D12" s="27">
        <v>46263.916666666701</v>
      </c>
      <c r="E12" s="27">
        <v>46264.25</v>
      </c>
      <c r="F12" s="26" t="s">
        <v>501</v>
      </c>
    </row>
    <row r="13" spans="1:6" s="6" customFormat="1" ht="77.5" x14ac:dyDescent="0.35">
      <c r="A13" s="25" t="s">
        <v>45</v>
      </c>
      <c r="B13" s="25" t="s">
        <v>2</v>
      </c>
      <c r="C13" s="26" t="s">
        <v>510</v>
      </c>
      <c r="D13" s="27">
        <v>46263.916666666701</v>
      </c>
      <c r="E13" s="27">
        <v>46264.25</v>
      </c>
      <c r="F13" s="26" t="s">
        <v>501</v>
      </c>
    </row>
    <row r="14" spans="1:6" s="6" customFormat="1" ht="77.5" x14ac:dyDescent="0.35">
      <c r="A14" s="25" t="s">
        <v>45</v>
      </c>
      <c r="B14" s="25" t="s">
        <v>2</v>
      </c>
      <c r="C14" s="26" t="s">
        <v>511</v>
      </c>
      <c r="D14" s="27">
        <v>46263.916666666701</v>
      </c>
      <c r="E14" s="27">
        <v>46264.25</v>
      </c>
      <c r="F14" s="26" t="s">
        <v>501</v>
      </c>
    </row>
    <row r="15" spans="1:6" s="6" customFormat="1" ht="77.5" x14ac:dyDescent="0.35">
      <c r="A15" s="25" t="s">
        <v>45</v>
      </c>
      <c r="B15" s="25" t="s">
        <v>2</v>
      </c>
      <c r="C15" s="26" t="s">
        <v>512</v>
      </c>
      <c r="D15" s="27">
        <v>46263.916666666701</v>
      </c>
      <c r="E15" s="27">
        <v>46264.25</v>
      </c>
      <c r="F15" s="26" t="s">
        <v>501</v>
      </c>
    </row>
    <row r="16" spans="1:6" s="6" customFormat="1" ht="77.5" x14ac:dyDescent="0.35">
      <c r="A16" s="25" t="s">
        <v>61</v>
      </c>
      <c r="B16" s="25" t="s">
        <v>2</v>
      </c>
      <c r="C16" s="26" t="s">
        <v>514</v>
      </c>
      <c r="D16" s="27">
        <v>46263.916666666701</v>
      </c>
      <c r="E16" s="27">
        <v>46264.25</v>
      </c>
      <c r="F16" s="26" t="s">
        <v>501</v>
      </c>
    </row>
    <row r="17" spans="1:6" s="6" customFormat="1" ht="77.5" x14ac:dyDescent="0.35">
      <c r="A17" s="25" t="s">
        <v>175</v>
      </c>
      <c r="B17" s="25" t="s">
        <v>2</v>
      </c>
      <c r="C17" s="26" t="s">
        <v>513</v>
      </c>
      <c r="D17" s="27">
        <v>46263.916666666701</v>
      </c>
      <c r="E17" s="27">
        <v>46264.25</v>
      </c>
      <c r="F17" s="26" t="s">
        <v>501</v>
      </c>
    </row>
    <row r="18" spans="1:6" s="6" customFormat="1" ht="108.5" x14ac:dyDescent="0.35">
      <c r="A18" s="25" t="s">
        <v>108</v>
      </c>
      <c r="B18" s="25" t="s">
        <v>6</v>
      </c>
      <c r="C18" s="26" t="s">
        <v>447</v>
      </c>
      <c r="D18" s="27">
        <v>46202.875</v>
      </c>
      <c r="E18" s="27">
        <v>46508.208333333299</v>
      </c>
      <c r="F18" s="26" t="s">
        <v>448</v>
      </c>
    </row>
    <row r="19" spans="1:6" s="6" customFormat="1" ht="93" x14ac:dyDescent="0.35">
      <c r="A19" s="25" t="s">
        <v>466</v>
      </c>
      <c r="B19" s="25" t="s">
        <v>7</v>
      </c>
      <c r="C19" s="26" t="s">
        <v>467</v>
      </c>
      <c r="D19" s="27">
        <v>46217.625</v>
      </c>
      <c r="E19" s="27">
        <v>46387.875</v>
      </c>
      <c r="F19" s="26" t="s">
        <v>468</v>
      </c>
    </row>
    <row r="20" spans="1:6" s="6" customFormat="1" ht="77.5" x14ac:dyDescent="0.35">
      <c r="A20" s="25" t="s">
        <v>469</v>
      </c>
      <c r="B20" s="25" t="s">
        <v>2</v>
      </c>
      <c r="C20" s="26" t="s">
        <v>488</v>
      </c>
      <c r="D20" s="27">
        <v>46260.833333333299</v>
      </c>
      <c r="E20" s="27">
        <v>46266.25</v>
      </c>
      <c r="F20" s="26" t="s">
        <v>489</v>
      </c>
    </row>
    <row r="21" spans="1:6" s="6" customFormat="1" ht="77.5" x14ac:dyDescent="0.35">
      <c r="A21" s="25" t="s">
        <v>469</v>
      </c>
      <c r="B21" s="25" t="s">
        <v>6</v>
      </c>
      <c r="C21" s="26" t="s">
        <v>490</v>
      </c>
      <c r="D21" s="27">
        <v>46260.833333333299</v>
      </c>
      <c r="E21" s="27">
        <v>46266.25</v>
      </c>
      <c r="F21" s="26" t="s">
        <v>489</v>
      </c>
    </row>
    <row r="22" spans="1:6" s="6" customFormat="1" ht="77.5" x14ac:dyDescent="0.35">
      <c r="A22" s="25" t="s">
        <v>461</v>
      </c>
      <c r="B22" s="25" t="s">
        <v>23</v>
      </c>
      <c r="C22" s="26" t="s">
        <v>462</v>
      </c>
      <c r="D22" s="27">
        <v>46230.833333333299</v>
      </c>
      <c r="E22" s="27">
        <v>46403.25</v>
      </c>
      <c r="F22" s="26" t="s">
        <v>463</v>
      </c>
    </row>
    <row r="23" spans="1:6" s="6" customFormat="1" ht="46.5" x14ac:dyDescent="0.35">
      <c r="A23" s="25" t="s">
        <v>280</v>
      </c>
      <c r="B23" s="25" t="s">
        <v>6</v>
      </c>
      <c r="C23" s="26" t="s">
        <v>494</v>
      </c>
      <c r="D23" s="27">
        <v>46230.208333333299</v>
      </c>
      <c r="E23" s="27">
        <v>46266.208333333299</v>
      </c>
      <c r="F23" s="26" t="s">
        <v>495</v>
      </c>
    </row>
    <row r="24" spans="1:6" s="6" customFormat="1" ht="93" x14ac:dyDescent="0.35">
      <c r="A24" s="25" t="s">
        <v>185</v>
      </c>
      <c r="B24" s="25" t="s">
        <v>6</v>
      </c>
      <c r="C24" s="26" t="s">
        <v>186</v>
      </c>
      <c r="D24" s="27">
        <v>46237.833333333299</v>
      </c>
      <c r="E24" s="27">
        <v>46326.25</v>
      </c>
      <c r="F24" s="26" t="s">
        <v>187</v>
      </c>
    </row>
    <row r="25" spans="1:6" s="6" customFormat="1" ht="93" x14ac:dyDescent="0.35">
      <c r="A25" s="25" t="s">
        <v>185</v>
      </c>
      <c r="B25" s="25" t="s">
        <v>2</v>
      </c>
      <c r="C25" s="26" t="s">
        <v>188</v>
      </c>
      <c r="D25" s="27">
        <v>46237.833333333299</v>
      </c>
      <c r="E25" s="27">
        <v>46326.25</v>
      </c>
      <c r="F25" s="26" t="s">
        <v>187</v>
      </c>
    </row>
    <row r="26" spans="1:6" s="6" customFormat="1" ht="62" x14ac:dyDescent="0.35">
      <c r="A26" s="25" t="s">
        <v>310</v>
      </c>
      <c r="B26" s="25" t="s">
        <v>2</v>
      </c>
      <c r="C26" s="26" t="s">
        <v>311</v>
      </c>
      <c r="D26" s="27">
        <v>46237.25</v>
      </c>
      <c r="E26" s="27">
        <v>46692.25</v>
      </c>
      <c r="F26" s="26" t="s">
        <v>312</v>
      </c>
    </row>
    <row r="27" spans="1:6" s="6" customFormat="1" ht="62" x14ac:dyDescent="0.35">
      <c r="A27" s="25" t="s">
        <v>479</v>
      </c>
      <c r="B27" s="25" t="s">
        <v>6</v>
      </c>
      <c r="C27" s="26" t="s">
        <v>498</v>
      </c>
      <c r="D27" s="27">
        <v>46263.875</v>
      </c>
      <c r="E27" s="27">
        <v>46264.166666666701</v>
      </c>
      <c r="F27" s="26" t="s">
        <v>499</v>
      </c>
    </row>
    <row r="28" spans="1:6" s="6" customFormat="1" ht="46.5" x14ac:dyDescent="0.35">
      <c r="A28" s="25" t="s">
        <v>232</v>
      </c>
      <c r="B28" s="25" t="s">
        <v>6</v>
      </c>
      <c r="C28" s="26" t="s">
        <v>233</v>
      </c>
      <c r="D28" s="27">
        <v>45804.208333333299</v>
      </c>
      <c r="E28" s="27">
        <v>46418.208333333299</v>
      </c>
      <c r="F28" s="26" t="s">
        <v>234</v>
      </c>
    </row>
    <row r="29" spans="1:6" s="6" customFormat="1" x14ac:dyDescent="0.35">
      <c r="A29" s="25"/>
      <c r="B29" s="25"/>
      <c r="C29" s="26"/>
      <c r="D29" s="27"/>
      <c r="E29" s="27"/>
      <c r="F29" s="26"/>
    </row>
    <row r="30" spans="1:6" s="6" customFormat="1" x14ac:dyDescent="0.35">
      <c r="A30" s="25"/>
      <c r="B30" s="25"/>
      <c r="C30" s="26"/>
      <c r="D30" s="27"/>
      <c r="E30" s="27"/>
      <c r="F30" s="26"/>
    </row>
    <row r="31" spans="1:6" s="6" customFormat="1" x14ac:dyDescent="0.35">
      <c r="A31" s="25"/>
      <c r="B31" s="25"/>
      <c r="C31" s="26"/>
      <c r="D31" s="27"/>
      <c r="E31" s="27"/>
      <c r="F31" s="26"/>
    </row>
    <row r="32" spans="1:6" s="6" customFormat="1" x14ac:dyDescent="0.35">
      <c r="A32" s="25"/>
      <c r="B32" s="25"/>
      <c r="C32" s="26"/>
      <c r="D32" s="27"/>
      <c r="E32" s="27"/>
      <c r="F32" s="26"/>
    </row>
    <row r="33" spans="1:6" s="6" customFormat="1" x14ac:dyDescent="0.35">
      <c r="A33" s="25"/>
      <c r="B33" s="25"/>
      <c r="C33" s="26"/>
      <c r="D33" s="27"/>
      <c r="E33" s="27"/>
      <c r="F33" s="26"/>
    </row>
    <row r="34" spans="1:6" s="6" customFormat="1" x14ac:dyDescent="0.35">
      <c r="A34" s="25"/>
      <c r="B34" s="25"/>
      <c r="C34" s="26"/>
      <c r="D34" s="27"/>
      <c r="E34" s="27"/>
      <c r="F34" s="26"/>
    </row>
    <row r="35" spans="1:6" s="6" customFormat="1" x14ac:dyDescent="0.35">
      <c r="A35" s="25"/>
      <c r="B35" s="25"/>
      <c r="C35" s="26"/>
      <c r="D35" s="27"/>
      <c r="E35" s="27"/>
      <c r="F35" s="26"/>
    </row>
    <row r="36" spans="1:6" s="6" customFormat="1" x14ac:dyDescent="0.35">
      <c r="A36" s="25"/>
      <c r="B36" s="25"/>
      <c r="C36" s="26"/>
      <c r="D36" s="27"/>
      <c r="E36" s="27"/>
      <c r="F36" s="26"/>
    </row>
    <row r="37" spans="1:6" s="6" customFormat="1" x14ac:dyDescent="0.35">
      <c r="A37" s="25"/>
      <c r="B37" s="25"/>
      <c r="C37" s="26"/>
      <c r="D37" s="27"/>
      <c r="E37" s="27"/>
      <c r="F37" s="26"/>
    </row>
    <row r="38" spans="1:6" s="6" customFormat="1" x14ac:dyDescent="0.35">
      <c r="A38" s="25"/>
      <c r="B38" s="25"/>
      <c r="C38" s="26"/>
      <c r="D38" s="27"/>
      <c r="E38" s="27"/>
      <c r="F38" s="26"/>
    </row>
    <row r="39" spans="1:6" s="6" customFormat="1" x14ac:dyDescent="0.35">
      <c r="A39" s="25"/>
      <c r="B39" s="25"/>
      <c r="C39" s="26"/>
      <c r="D39" s="27"/>
      <c r="E39" s="27"/>
      <c r="F39" s="26"/>
    </row>
    <row r="40" spans="1:6" s="6" customFormat="1" x14ac:dyDescent="0.35">
      <c r="A40" s="25"/>
      <c r="B40" s="25"/>
      <c r="C40" s="26"/>
      <c r="D40" s="27"/>
      <c r="E40" s="27"/>
      <c r="F40" s="26"/>
    </row>
    <row r="41" spans="1:6" s="6" customFormat="1" x14ac:dyDescent="0.35">
      <c r="A41" s="25"/>
      <c r="B41" s="25"/>
      <c r="C41" s="26"/>
      <c r="D41" s="27"/>
      <c r="E41" s="27"/>
      <c r="F41" s="26"/>
    </row>
    <row r="42" spans="1:6" s="6" customFormat="1" x14ac:dyDescent="0.35">
      <c r="A42" s="25"/>
      <c r="B42" s="25"/>
      <c r="C42" s="26"/>
      <c r="D42" s="27"/>
      <c r="E42" s="27"/>
      <c r="F42" s="26"/>
    </row>
    <row r="43" spans="1:6" s="6" customFormat="1" x14ac:dyDescent="0.35">
      <c r="A43" s="25"/>
      <c r="B43" s="25"/>
      <c r="C43" s="26"/>
      <c r="D43" s="27"/>
      <c r="E43" s="27"/>
      <c r="F43" s="26"/>
    </row>
    <row r="44" spans="1:6" s="6" customFormat="1" x14ac:dyDescent="0.35">
      <c r="A44" s="25"/>
      <c r="B44" s="25"/>
      <c r="C44" s="26"/>
      <c r="D44" s="27"/>
      <c r="E44" s="27"/>
      <c r="F44" s="26"/>
    </row>
    <row r="45" spans="1:6" s="6" customFormat="1" x14ac:dyDescent="0.35">
      <c r="A45" s="25"/>
      <c r="B45" s="25"/>
      <c r="C45" s="26"/>
      <c r="D45" s="27"/>
      <c r="E45" s="27"/>
      <c r="F45" s="26"/>
    </row>
    <row r="46" spans="1:6" s="6" customFormat="1" x14ac:dyDescent="0.35">
      <c r="A46" s="25"/>
      <c r="B46" s="25"/>
      <c r="C46" s="26"/>
      <c r="D46" s="27"/>
      <c r="E46" s="27"/>
      <c r="F46" s="26"/>
    </row>
    <row r="47" spans="1:6" s="6" customFormat="1" x14ac:dyDescent="0.35">
      <c r="A47" s="25"/>
      <c r="B47" s="25"/>
      <c r="C47" s="26"/>
      <c r="D47" s="27"/>
      <c r="E47" s="27"/>
      <c r="F47" s="26"/>
    </row>
    <row r="48" spans="1:6" s="6" customFormat="1" x14ac:dyDescent="0.35">
      <c r="A48" s="25"/>
      <c r="B48" s="25"/>
      <c r="C48" s="26"/>
      <c r="D48" s="27"/>
      <c r="E48" s="27"/>
      <c r="F48" s="26"/>
    </row>
    <row r="49" spans="1:6" s="6" customFormat="1" x14ac:dyDescent="0.35">
      <c r="A49" s="25"/>
      <c r="B49" s="25"/>
      <c r="C49" s="26"/>
      <c r="D49" s="27"/>
      <c r="E49" s="27"/>
      <c r="F49" s="26"/>
    </row>
    <row r="50" spans="1:6" s="6" customFormat="1" x14ac:dyDescent="0.35">
      <c r="A50" s="25"/>
      <c r="B50" s="25"/>
      <c r="C50" s="26"/>
      <c r="D50" s="27"/>
      <c r="E50" s="27"/>
      <c r="F50" s="26"/>
    </row>
    <row r="51" spans="1:6" s="6" customFormat="1" x14ac:dyDescent="0.35">
      <c r="A51" s="25"/>
      <c r="B51" s="25"/>
      <c r="C51" s="26"/>
      <c r="D51" s="27"/>
      <c r="E51" s="27"/>
      <c r="F51" s="26"/>
    </row>
    <row r="52" spans="1:6" s="6" customFormat="1" x14ac:dyDescent="0.35">
      <c r="A52" s="25"/>
      <c r="B52" s="25"/>
      <c r="C52" s="26"/>
      <c r="D52" s="27"/>
      <c r="E52" s="27"/>
      <c r="F52" s="26"/>
    </row>
    <row r="53" spans="1:6" s="6" customFormat="1" x14ac:dyDescent="0.35">
      <c r="A53" s="25"/>
      <c r="B53" s="25"/>
      <c r="C53" s="26"/>
      <c r="D53" s="27"/>
      <c r="E53" s="27"/>
      <c r="F53" s="26"/>
    </row>
    <row r="54" spans="1:6" s="6" customFormat="1" x14ac:dyDescent="0.35">
      <c r="A54" s="25"/>
      <c r="B54" s="25"/>
      <c r="C54" s="26"/>
      <c r="D54" s="27"/>
      <c r="E54" s="27"/>
      <c r="F54" s="26"/>
    </row>
    <row r="55" spans="1:6" s="6" customFormat="1" x14ac:dyDescent="0.35">
      <c r="A55" s="25"/>
      <c r="B55" s="25"/>
      <c r="C55" s="26"/>
      <c r="D55" s="27"/>
      <c r="E55" s="27"/>
      <c r="F55" s="26"/>
    </row>
    <row r="56" spans="1:6" s="6" customFormat="1" x14ac:dyDescent="0.35">
      <c r="A56" s="25"/>
      <c r="B56" s="25"/>
      <c r="C56" s="26"/>
      <c r="D56" s="27"/>
      <c r="E56" s="27"/>
      <c r="F56" s="26"/>
    </row>
    <row r="57" spans="1:6" s="6" customFormat="1" x14ac:dyDescent="0.35">
      <c r="A57" s="25"/>
      <c r="B57" s="25"/>
      <c r="C57" s="26"/>
      <c r="D57" s="27"/>
      <c r="E57" s="27"/>
      <c r="F57" s="26"/>
    </row>
    <row r="58" spans="1:6" s="6" customFormat="1" x14ac:dyDescent="0.35">
      <c r="A58" s="25"/>
      <c r="B58" s="25"/>
      <c r="C58" s="26"/>
      <c r="D58" s="27"/>
      <c r="E58" s="27"/>
      <c r="F58" s="26"/>
    </row>
    <row r="59" spans="1:6" s="6" customFormat="1" x14ac:dyDescent="0.35">
      <c r="A59" s="25"/>
      <c r="B59" s="25"/>
      <c r="C59" s="26"/>
      <c r="D59" s="27"/>
      <c r="E59" s="27"/>
      <c r="F59" s="26"/>
    </row>
    <row r="60" spans="1:6" s="6" customFormat="1" x14ac:dyDescent="0.35">
      <c r="A60" s="25"/>
      <c r="B60" s="25"/>
      <c r="C60" s="26"/>
      <c r="D60" s="27"/>
      <c r="E60" s="27"/>
      <c r="F60" s="26"/>
    </row>
    <row r="61" spans="1:6" s="6" customFormat="1" x14ac:dyDescent="0.35">
      <c r="A61" s="25"/>
      <c r="B61" s="25"/>
      <c r="C61" s="26"/>
      <c r="D61" s="27"/>
      <c r="E61" s="27"/>
      <c r="F61" s="26"/>
    </row>
    <row r="62" spans="1:6" s="6" customFormat="1" x14ac:dyDescent="0.35">
      <c r="A62" s="25"/>
      <c r="B62" s="25"/>
      <c r="C62" s="26"/>
      <c r="D62" s="27"/>
      <c r="E62" s="27"/>
      <c r="F62" s="26"/>
    </row>
    <row r="63" spans="1:6" s="6" customFormat="1" x14ac:dyDescent="0.35">
      <c r="A63" s="25"/>
      <c r="B63" s="25"/>
      <c r="C63" s="26"/>
      <c r="D63" s="27"/>
      <c r="E63" s="27"/>
      <c r="F63" s="26"/>
    </row>
    <row r="64" spans="1:6" s="6" customFormat="1" x14ac:dyDescent="0.35">
      <c r="A64" s="25"/>
      <c r="B64" s="25"/>
      <c r="C64" s="26"/>
      <c r="D64" s="27"/>
      <c r="E64" s="27"/>
      <c r="F64" s="26"/>
    </row>
    <row r="65" spans="1:6" s="6" customFormat="1" x14ac:dyDescent="0.35">
      <c r="A65" s="25"/>
      <c r="B65" s="25"/>
      <c r="C65" s="26"/>
      <c r="D65" s="27"/>
      <c r="E65" s="27"/>
      <c r="F65" s="26"/>
    </row>
    <row r="66" spans="1:6" s="6" customFormat="1" x14ac:dyDescent="0.35">
      <c r="A66" s="25"/>
      <c r="B66" s="25"/>
      <c r="C66" s="26"/>
      <c r="D66" s="27"/>
      <c r="E66" s="27"/>
      <c r="F66" s="26"/>
    </row>
    <row r="67" spans="1:6" s="6" customFormat="1" x14ac:dyDescent="0.35">
      <c r="A67" s="25"/>
      <c r="B67" s="25"/>
      <c r="C67" s="26"/>
      <c r="D67" s="27"/>
      <c r="E67" s="27"/>
      <c r="F67" s="26"/>
    </row>
    <row r="68" spans="1:6" s="6" customFormat="1" x14ac:dyDescent="0.35">
      <c r="A68" s="25"/>
      <c r="B68" s="25"/>
      <c r="C68" s="26"/>
      <c r="D68" s="27"/>
      <c r="E68" s="27"/>
      <c r="F68" s="26"/>
    </row>
    <row r="69" spans="1:6" s="6" customFormat="1" x14ac:dyDescent="0.35">
      <c r="A69" s="25"/>
      <c r="B69" s="25"/>
      <c r="C69" s="26"/>
      <c r="D69" s="27"/>
      <c r="E69" s="27"/>
      <c r="F69" s="26"/>
    </row>
    <row r="70" spans="1:6" s="6" customFormat="1" x14ac:dyDescent="0.35">
      <c r="A70" s="25"/>
      <c r="B70" s="25"/>
      <c r="C70" s="26"/>
      <c r="D70" s="27"/>
      <c r="E70" s="27"/>
      <c r="F70" s="26"/>
    </row>
    <row r="71" spans="1:6" s="6" customFormat="1" x14ac:dyDescent="0.35">
      <c r="A71" s="25"/>
      <c r="B71" s="25"/>
      <c r="C71" s="26"/>
      <c r="D71" s="27"/>
      <c r="E71" s="27"/>
      <c r="F71" s="26"/>
    </row>
    <row r="72" spans="1:6" s="6" customFormat="1" x14ac:dyDescent="0.35">
      <c r="A72" s="25"/>
      <c r="B72" s="25"/>
      <c r="C72" s="26"/>
      <c r="D72" s="27"/>
      <c r="E72" s="27"/>
      <c r="F72" s="26"/>
    </row>
    <row r="73" spans="1:6" s="6" customFormat="1" x14ac:dyDescent="0.35">
      <c r="A73" s="25"/>
      <c r="B73" s="25"/>
      <c r="C73" s="26"/>
      <c r="D73" s="27"/>
      <c r="E73" s="27"/>
      <c r="F73" s="26"/>
    </row>
    <row r="74" spans="1:6" s="6" customFormat="1" x14ac:dyDescent="0.35">
      <c r="A74" s="25"/>
      <c r="B74" s="25"/>
      <c r="C74" s="26"/>
      <c r="D74" s="27"/>
      <c r="E74" s="27"/>
      <c r="F74" s="26"/>
    </row>
    <row r="75" spans="1:6" s="6" customFormat="1" x14ac:dyDescent="0.35">
      <c r="A75" s="25"/>
      <c r="B75" s="25"/>
      <c r="C75" s="26"/>
      <c r="D75" s="27"/>
      <c r="E75" s="27"/>
      <c r="F75" s="26"/>
    </row>
    <row r="76" spans="1:6" s="6" customFormat="1" x14ac:dyDescent="0.35">
      <c r="A76" s="25"/>
      <c r="B76" s="25"/>
      <c r="C76" s="26"/>
      <c r="D76" s="27"/>
      <c r="E76" s="27"/>
      <c r="F76" s="26"/>
    </row>
    <row r="77" spans="1:6" s="6" customFormat="1" x14ac:dyDescent="0.35">
      <c r="A77" s="25"/>
      <c r="B77" s="25"/>
      <c r="C77" s="26"/>
      <c r="D77" s="27"/>
      <c r="E77" s="27"/>
      <c r="F77" s="26"/>
    </row>
    <row r="78" spans="1:6" s="6" customFormat="1" x14ac:dyDescent="0.35">
      <c r="A78" s="25"/>
      <c r="B78" s="25"/>
      <c r="C78" s="26"/>
      <c r="D78" s="27"/>
      <c r="E78" s="27"/>
      <c r="F78" s="26"/>
    </row>
    <row r="79" spans="1:6" s="6" customFormat="1" x14ac:dyDescent="0.35">
      <c r="A79" s="25"/>
      <c r="B79" s="25"/>
      <c r="C79" s="26"/>
      <c r="D79" s="27"/>
      <c r="E79" s="27"/>
      <c r="F79" s="26"/>
    </row>
    <row r="80" spans="1:6" s="6" customFormat="1" x14ac:dyDescent="0.35">
      <c r="A80" s="25"/>
      <c r="B80" s="25"/>
      <c r="C80" s="26"/>
      <c r="D80" s="27"/>
      <c r="E80" s="27"/>
      <c r="F80" s="26"/>
    </row>
    <row r="81" spans="1:6" s="6" customFormat="1" x14ac:dyDescent="0.35">
      <c r="A81" s="25"/>
      <c r="B81" s="25"/>
      <c r="C81" s="26"/>
      <c r="D81" s="27"/>
      <c r="E81" s="27"/>
      <c r="F81" s="26"/>
    </row>
    <row r="82" spans="1:6" s="8" customFormat="1" x14ac:dyDescent="0.35">
      <c r="A82" s="25"/>
      <c r="B82" s="25"/>
      <c r="C82" s="26"/>
      <c r="D82" s="27"/>
      <c r="E82" s="27"/>
      <c r="F82" s="26"/>
    </row>
    <row r="83" spans="1:6" s="6" customFormat="1" x14ac:dyDescent="0.35">
      <c r="A83" s="25"/>
      <c r="B83" s="25"/>
      <c r="C83" s="26"/>
      <c r="D83" s="27"/>
      <c r="E83" s="27"/>
      <c r="F83" s="26"/>
    </row>
    <row r="84" spans="1:6" s="6" customFormat="1" x14ac:dyDescent="0.35">
      <c r="A84" s="25"/>
      <c r="B84" s="25"/>
      <c r="C84" s="26"/>
      <c r="D84" s="27"/>
      <c r="E84" s="27"/>
      <c r="F84" s="26"/>
    </row>
    <row r="85" spans="1:6" s="6" customFormat="1" x14ac:dyDescent="0.35">
      <c r="A85" s="25"/>
      <c r="B85" s="25"/>
      <c r="C85" s="26"/>
      <c r="D85" s="27"/>
      <c r="E85" s="27"/>
      <c r="F85" s="26"/>
    </row>
    <row r="86" spans="1:6" s="6" customFormat="1" x14ac:dyDescent="0.35">
      <c r="A86" s="25"/>
      <c r="B86" s="25"/>
      <c r="C86" s="26"/>
      <c r="D86" s="27"/>
      <c r="E86" s="27"/>
      <c r="F86" s="26"/>
    </row>
    <row r="87" spans="1:6" s="6" customFormat="1" x14ac:dyDescent="0.35">
      <c r="A87" s="25"/>
      <c r="B87" s="25"/>
      <c r="C87" s="26"/>
      <c r="D87" s="27"/>
      <c r="E87" s="27"/>
      <c r="F87" s="26"/>
    </row>
    <row r="88" spans="1:6" s="5" customFormat="1" x14ac:dyDescent="0.35">
      <c r="A88" s="25"/>
      <c r="B88" s="25"/>
      <c r="C88" s="26"/>
      <c r="D88" s="27"/>
      <c r="E88" s="27"/>
      <c r="F88" s="26"/>
    </row>
    <row r="89" spans="1:6" s="6" customFormat="1" x14ac:dyDescent="0.35">
      <c r="A89" s="25"/>
      <c r="B89" s="25"/>
      <c r="C89" s="26"/>
      <c r="D89" s="27"/>
      <c r="E89" s="27"/>
      <c r="F89" s="26"/>
    </row>
    <row r="90" spans="1:6" s="6" customFormat="1" x14ac:dyDescent="0.35">
      <c r="A90" s="25"/>
      <c r="B90" s="25"/>
      <c r="C90" s="26"/>
      <c r="D90" s="27"/>
      <c r="E90" s="27"/>
      <c r="F90" s="26"/>
    </row>
    <row r="91" spans="1:6" s="6" customFormat="1" x14ac:dyDescent="0.35">
      <c r="A91" s="25"/>
      <c r="B91" s="25"/>
      <c r="C91" s="26"/>
      <c r="D91" s="27"/>
      <c r="E91" s="27"/>
      <c r="F91" s="26"/>
    </row>
    <row r="92" spans="1:6" s="6" customFormat="1" x14ac:dyDescent="0.35">
      <c r="A92" s="25"/>
      <c r="B92" s="25"/>
      <c r="C92" s="26"/>
      <c r="D92" s="27"/>
      <c r="E92" s="27"/>
      <c r="F92" s="26"/>
    </row>
    <row r="93" spans="1:6" s="6" customFormat="1" x14ac:dyDescent="0.35">
      <c r="A93" s="25"/>
      <c r="B93" s="25"/>
      <c r="C93" s="26"/>
      <c r="D93" s="27"/>
      <c r="E93" s="27"/>
      <c r="F93" s="26"/>
    </row>
    <row r="94" spans="1:6" s="6" customFormat="1" x14ac:dyDescent="0.35">
      <c r="A94" s="25"/>
      <c r="B94" s="25"/>
      <c r="C94" s="26"/>
      <c r="D94" s="27"/>
      <c r="E94" s="27"/>
      <c r="F94" s="26"/>
    </row>
    <row r="95" spans="1:6" s="6" customFormat="1" x14ac:dyDescent="0.35">
      <c r="A95" s="25"/>
      <c r="B95" s="25"/>
      <c r="C95" s="26"/>
      <c r="D95" s="27"/>
      <c r="E95" s="27"/>
      <c r="F95" s="26"/>
    </row>
    <row r="96" spans="1:6" s="6" customFormat="1" x14ac:dyDescent="0.35">
      <c r="A96" s="25"/>
      <c r="B96" s="25"/>
      <c r="C96" s="26"/>
      <c r="D96" s="27"/>
      <c r="E96" s="27"/>
      <c r="F96" s="26"/>
    </row>
    <row r="97" spans="1:6" s="6" customFormat="1" x14ac:dyDescent="0.35">
      <c r="A97" s="25"/>
      <c r="B97" s="25"/>
      <c r="C97" s="26"/>
      <c r="D97" s="27"/>
      <c r="E97" s="27"/>
      <c r="F97" s="26"/>
    </row>
    <row r="98" spans="1:6" s="6" customFormat="1" x14ac:dyDescent="0.35">
      <c r="A98" s="25"/>
      <c r="B98" s="25"/>
      <c r="C98" s="26"/>
      <c r="D98" s="27"/>
      <c r="E98" s="27"/>
      <c r="F98" s="26"/>
    </row>
    <row r="99" spans="1:6" s="6" customFormat="1" x14ac:dyDescent="0.35">
      <c r="A99" s="25"/>
      <c r="B99" s="25"/>
      <c r="C99" s="26"/>
      <c r="D99" s="27"/>
      <c r="E99" s="27"/>
      <c r="F99" s="26"/>
    </row>
    <row r="100" spans="1:6" s="6" customFormat="1" x14ac:dyDescent="0.35">
      <c r="A100" s="25"/>
      <c r="B100" s="25"/>
      <c r="C100" s="26"/>
      <c r="D100" s="27"/>
      <c r="E100" s="27"/>
      <c r="F100" s="26"/>
    </row>
    <row r="101" spans="1:6" s="6" customFormat="1" x14ac:dyDescent="0.35">
      <c r="A101" s="25"/>
      <c r="B101" s="25"/>
      <c r="C101" s="26"/>
      <c r="D101" s="27"/>
      <c r="E101" s="27"/>
      <c r="F101" s="26"/>
    </row>
    <row r="102" spans="1:6" s="6" customFormat="1" x14ac:dyDescent="0.35">
      <c r="A102" s="25"/>
      <c r="B102" s="25"/>
      <c r="C102" s="26"/>
      <c r="D102" s="27"/>
      <c r="E102" s="27"/>
      <c r="F102" s="26"/>
    </row>
    <row r="103" spans="1:6" s="6" customFormat="1" x14ac:dyDescent="0.35">
      <c r="A103" s="25"/>
      <c r="B103" s="25"/>
      <c r="C103" s="26"/>
      <c r="D103" s="27"/>
      <c r="E103" s="27"/>
      <c r="F103" s="26"/>
    </row>
    <row r="104" spans="1:6" s="6" customFormat="1" x14ac:dyDescent="0.35">
      <c r="A104" s="25"/>
      <c r="B104" s="25"/>
      <c r="C104" s="26"/>
      <c r="D104" s="27"/>
      <c r="E104" s="27"/>
      <c r="F104" s="26"/>
    </row>
    <row r="105" spans="1:6" s="6" customFormat="1" x14ac:dyDescent="0.35">
      <c r="A105" s="25"/>
      <c r="B105" s="25"/>
      <c r="C105" s="26"/>
      <c r="D105" s="27"/>
      <c r="E105" s="27"/>
      <c r="F105" s="26"/>
    </row>
    <row r="106" spans="1:6" s="6" customFormat="1" x14ac:dyDescent="0.35">
      <c r="A106" s="25"/>
      <c r="B106" s="25"/>
      <c r="C106" s="26"/>
      <c r="D106" s="27"/>
      <c r="E106" s="27"/>
      <c r="F106" s="26"/>
    </row>
    <row r="107" spans="1:6" s="6" customFormat="1" x14ac:dyDescent="0.35">
      <c r="A107" s="25"/>
      <c r="B107" s="25"/>
      <c r="C107" s="26"/>
      <c r="D107" s="27"/>
      <c r="E107" s="27"/>
      <c r="F107" s="26"/>
    </row>
    <row r="108" spans="1:6" s="14" customFormat="1" x14ac:dyDescent="0.35">
      <c r="A108" s="25"/>
      <c r="B108" s="25"/>
      <c r="C108" s="26"/>
      <c r="D108" s="27"/>
      <c r="E108" s="27"/>
      <c r="F108" s="26"/>
    </row>
    <row r="109" spans="1:6" s="6" customFormat="1" x14ac:dyDescent="0.35">
      <c r="A109" s="25"/>
      <c r="B109" s="25"/>
      <c r="C109" s="26"/>
      <c r="D109" s="27"/>
      <c r="E109" s="27"/>
      <c r="F109" s="26"/>
    </row>
    <row r="110" spans="1:6" s="6" customFormat="1" x14ac:dyDescent="0.35">
      <c r="A110" s="25"/>
      <c r="B110" s="25"/>
      <c r="C110" s="26"/>
      <c r="D110" s="27"/>
      <c r="E110" s="27"/>
      <c r="F110" s="26"/>
    </row>
    <row r="111" spans="1:6" s="6" customFormat="1" x14ac:dyDescent="0.35">
      <c r="A111" s="25"/>
      <c r="B111" s="25"/>
      <c r="C111" s="26"/>
      <c r="D111" s="27"/>
      <c r="E111" s="27"/>
      <c r="F111" s="26"/>
    </row>
    <row r="112" spans="1:6" s="5" customFormat="1" x14ac:dyDescent="0.35">
      <c r="A112" s="25"/>
      <c r="B112" s="25"/>
      <c r="C112" s="26"/>
      <c r="D112" s="27"/>
      <c r="E112" s="27"/>
      <c r="F112" s="26"/>
    </row>
    <row r="113" spans="1:6" s="5" customFormat="1" x14ac:dyDescent="0.35">
      <c r="A113" s="25"/>
      <c r="B113" s="25"/>
      <c r="C113" s="26"/>
      <c r="D113" s="27"/>
      <c r="E113" s="27"/>
      <c r="F113" s="26"/>
    </row>
    <row r="114" spans="1:6" s="5" customFormat="1" x14ac:dyDescent="0.35">
      <c r="A114" s="25"/>
      <c r="B114" s="25"/>
      <c r="C114" s="26"/>
      <c r="D114" s="27"/>
      <c r="E114" s="27"/>
      <c r="F114" s="26"/>
    </row>
    <row r="115" spans="1:6" s="5" customFormat="1" x14ac:dyDescent="0.35">
      <c r="A115" s="25"/>
      <c r="B115" s="25"/>
      <c r="C115" s="26"/>
      <c r="D115" s="27"/>
      <c r="E115" s="27"/>
      <c r="F115" s="26"/>
    </row>
    <row r="116" spans="1:6" s="5" customFormat="1" x14ac:dyDescent="0.35">
      <c r="A116" s="25"/>
      <c r="B116" s="25"/>
      <c r="C116" s="26"/>
      <c r="D116" s="27"/>
      <c r="E116" s="27"/>
      <c r="F116" s="26"/>
    </row>
    <row r="117" spans="1:6" s="5" customFormat="1" x14ac:dyDescent="0.35">
      <c r="A117" s="25"/>
      <c r="B117" s="25"/>
      <c r="C117" s="26"/>
      <c r="D117" s="27"/>
      <c r="E117" s="27"/>
      <c r="F117" s="26"/>
    </row>
    <row r="118" spans="1:6" s="5" customFormat="1" x14ac:dyDescent="0.35">
      <c r="A118" s="25"/>
      <c r="B118" s="25"/>
      <c r="C118" s="26"/>
      <c r="D118" s="27"/>
      <c r="E118" s="27"/>
      <c r="F118" s="26"/>
    </row>
    <row r="119" spans="1:6" s="5" customFormat="1" x14ac:dyDescent="0.35">
      <c r="A119" s="25"/>
      <c r="B119" s="25"/>
      <c r="C119" s="26"/>
      <c r="D119" s="27"/>
      <c r="E119" s="27"/>
      <c r="F119" s="26"/>
    </row>
    <row r="120" spans="1:6" s="5" customFormat="1" x14ac:dyDescent="0.35">
      <c r="A120" s="25"/>
      <c r="B120" s="25"/>
      <c r="C120" s="26"/>
      <c r="D120" s="27"/>
      <c r="E120" s="27"/>
      <c r="F120" s="26"/>
    </row>
    <row r="121" spans="1:6" s="5" customFormat="1" x14ac:dyDescent="0.35">
      <c r="A121" s="25"/>
      <c r="B121" s="25"/>
      <c r="C121" s="26"/>
      <c r="D121" s="27"/>
      <c r="E121" s="27"/>
      <c r="F121" s="26"/>
    </row>
    <row r="122" spans="1:6" s="5" customFormat="1" x14ac:dyDescent="0.35">
      <c r="A122" s="25"/>
      <c r="B122" s="25"/>
      <c r="C122" s="26"/>
      <c r="D122" s="27"/>
      <c r="E122" s="27"/>
      <c r="F122" s="26"/>
    </row>
    <row r="123" spans="1:6" s="5" customFormat="1" x14ac:dyDescent="0.35">
      <c r="A123" s="25"/>
      <c r="B123" s="25"/>
      <c r="C123" s="26"/>
      <c r="D123" s="27"/>
      <c r="E123" s="27"/>
      <c r="F123" s="26"/>
    </row>
    <row r="124" spans="1:6" s="5" customFormat="1" x14ac:dyDescent="0.35">
      <c r="A124" s="25"/>
      <c r="B124" s="25"/>
      <c r="C124" s="26"/>
      <c r="D124" s="27"/>
      <c r="E124" s="27"/>
      <c r="F124" s="26"/>
    </row>
    <row r="125" spans="1:6" s="5" customFormat="1" x14ac:dyDescent="0.35">
      <c r="A125" s="25"/>
      <c r="B125" s="25"/>
      <c r="C125" s="26"/>
      <c r="D125" s="27"/>
      <c r="E125" s="27"/>
      <c r="F125" s="26"/>
    </row>
    <row r="126" spans="1:6" s="5" customFormat="1" x14ac:dyDescent="0.35">
      <c r="A126" s="25"/>
      <c r="B126" s="25"/>
      <c r="C126" s="26"/>
      <c r="D126" s="27"/>
      <c r="E126" s="27"/>
      <c r="F126" s="26"/>
    </row>
    <row r="127" spans="1:6" s="5" customFormat="1" x14ac:dyDescent="0.35">
      <c r="A127" s="25"/>
      <c r="B127" s="25"/>
      <c r="C127" s="26"/>
      <c r="D127" s="27"/>
      <c r="E127" s="27"/>
      <c r="F127" s="26"/>
    </row>
    <row r="128" spans="1:6" s="5" customFormat="1" x14ac:dyDescent="0.35">
      <c r="A128" s="25"/>
      <c r="B128" s="25"/>
      <c r="C128" s="26"/>
      <c r="D128" s="27"/>
      <c r="E128" s="27"/>
      <c r="F128" s="26"/>
    </row>
    <row r="129" spans="1:6" s="5" customFormat="1" x14ac:dyDescent="0.35">
      <c r="A129" s="25"/>
      <c r="B129" s="25"/>
      <c r="C129" s="26"/>
      <c r="D129" s="27"/>
      <c r="E129" s="27"/>
      <c r="F129" s="26"/>
    </row>
    <row r="130" spans="1:6" x14ac:dyDescent="0.35">
      <c r="A130" s="25"/>
      <c r="B130" s="25"/>
      <c r="C130" s="26"/>
      <c r="D130" s="27"/>
      <c r="E130" s="27"/>
      <c r="F130" s="26"/>
    </row>
    <row r="131" spans="1:6" x14ac:dyDescent="0.35">
      <c r="A131" s="25"/>
      <c r="B131" s="25"/>
      <c r="C131" s="26"/>
      <c r="D131" s="27"/>
      <c r="E131" s="27"/>
      <c r="F131" s="26"/>
    </row>
    <row r="132" spans="1:6" x14ac:dyDescent="0.35">
      <c r="A132" s="25"/>
      <c r="B132" s="25"/>
      <c r="C132" s="26"/>
      <c r="D132" s="27"/>
      <c r="E132" s="27"/>
      <c r="F132" s="26"/>
    </row>
    <row r="133" spans="1:6" x14ac:dyDescent="0.35">
      <c r="A133" s="25"/>
      <c r="B133" s="25"/>
      <c r="C133" s="26"/>
      <c r="D133" s="27"/>
      <c r="E133" s="27"/>
      <c r="F133" s="26"/>
    </row>
    <row r="134" spans="1:6" x14ac:dyDescent="0.35">
      <c r="A134" s="25"/>
      <c r="B134" s="25"/>
      <c r="C134" s="26"/>
      <c r="D134" s="27"/>
      <c r="E134" s="27"/>
      <c r="F134" s="26"/>
    </row>
    <row r="135" spans="1:6" x14ac:dyDescent="0.35">
      <c r="A135" s="25"/>
      <c r="B135" s="25"/>
      <c r="C135" s="26"/>
      <c r="D135" s="27"/>
      <c r="E135" s="27"/>
      <c r="F135" s="26"/>
    </row>
    <row r="136" spans="1:6" x14ac:dyDescent="0.35">
      <c r="A136" s="25"/>
      <c r="B136" s="25"/>
      <c r="C136" s="26"/>
      <c r="D136" s="27"/>
      <c r="E136" s="27"/>
      <c r="F136" s="26"/>
    </row>
    <row r="137" spans="1:6" x14ac:dyDescent="0.35">
      <c r="A137" s="25"/>
      <c r="B137" s="25"/>
      <c r="C137" s="26"/>
      <c r="D137" s="27"/>
      <c r="E137" s="27"/>
      <c r="F137" s="26"/>
    </row>
    <row r="138" spans="1:6" x14ac:dyDescent="0.35">
      <c r="A138" s="25"/>
      <c r="B138" s="25"/>
      <c r="C138" s="26"/>
      <c r="D138" s="27"/>
      <c r="E138" s="27"/>
      <c r="F138" s="26"/>
    </row>
    <row r="139" spans="1:6" x14ac:dyDescent="0.35">
      <c r="A139" s="25"/>
      <c r="B139" s="25"/>
      <c r="C139" s="26"/>
      <c r="D139" s="27"/>
      <c r="E139" s="27"/>
      <c r="F139" s="26"/>
    </row>
    <row r="140" spans="1:6" x14ac:dyDescent="0.35">
      <c r="A140" s="25"/>
      <c r="B140" s="25"/>
      <c r="C140" s="26"/>
      <c r="D140" s="27"/>
      <c r="E140" s="27"/>
      <c r="F140" s="26"/>
    </row>
    <row r="141" spans="1:6" x14ac:dyDescent="0.35">
      <c r="A141" s="25"/>
      <c r="B141" s="25"/>
      <c r="C141" s="26"/>
      <c r="D141" s="27"/>
      <c r="E141" s="27"/>
      <c r="F141" s="26"/>
    </row>
    <row r="142" spans="1:6" x14ac:dyDescent="0.35">
      <c r="A142" s="25"/>
      <c r="B142" s="25"/>
      <c r="C142" s="26"/>
      <c r="D142" s="27"/>
      <c r="E142" s="27"/>
      <c r="F142" s="26"/>
    </row>
    <row r="143" spans="1:6" x14ac:dyDescent="0.35">
      <c r="A143" s="25"/>
      <c r="B143" s="25"/>
      <c r="C143" s="26"/>
      <c r="D143" s="27"/>
      <c r="E143" s="27"/>
      <c r="F143" s="26"/>
    </row>
    <row r="144" spans="1:6" x14ac:dyDescent="0.35">
      <c r="A144" s="25"/>
      <c r="B144" s="25"/>
      <c r="C144" s="26"/>
      <c r="D144" s="27"/>
      <c r="E144" s="27"/>
      <c r="F144" s="26"/>
    </row>
    <row r="145" spans="1:6" x14ac:dyDescent="0.35">
      <c r="A145" s="25"/>
      <c r="B145" s="25"/>
      <c r="C145" s="26"/>
      <c r="D145" s="27"/>
      <c r="E145" s="27"/>
      <c r="F145" s="26"/>
    </row>
    <row r="146" spans="1:6" x14ac:dyDescent="0.35">
      <c r="A146" s="25"/>
      <c r="B146" s="25"/>
      <c r="C146" s="26"/>
      <c r="D146" s="27"/>
      <c r="E146" s="27"/>
      <c r="F146" s="26"/>
    </row>
    <row r="147" spans="1:6" x14ac:dyDescent="0.35">
      <c r="A147" s="25"/>
      <c r="B147" s="25"/>
      <c r="C147" s="26"/>
      <c r="D147" s="27"/>
      <c r="E147" s="27"/>
      <c r="F147" s="26"/>
    </row>
    <row r="148" spans="1:6" x14ac:dyDescent="0.35">
      <c r="A148" s="25"/>
      <c r="B148" s="25"/>
      <c r="C148" s="26"/>
      <c r="D148" s="27"/>
      <c r="E148" s="27"/>
      <c r="F148" s="26"/>
    </row>
    <row r="149" spans="1:6" x14ac:dyDescent="0.35">
      <c r="A149" s="25"/>
      <c r="B149" s="25"/>
      <c r="C149" s="26"/>
      <c r="D149" s="27"/>
      <c r="E149" s="27"/>
      <c r="F149" s="26"/>
    </row>
    <row r="150" spans="1:6" x14ac:dyDescent="0.35">
      <c r="A150" s="25"/>
      <c r="B150" s="25"/>
      <c r="C150" s="26"/>
      <c r="D150" s="27"/>
      <c r="E150" s="27"/>
      <c r="F150" s="26"/>
    </row>
    <row r="151" spans="1:6" x14ac:dyDescent="0.35">
      <c r="A151" s="25"/>
      <c r="B151" s="25"/>
      <c r="C151" s="26"/>
      <c r="D151" s="27"/>
      <c r="E151" s="27"/>
      <c r="F151" s="26"/>
    </row>
    <row r="152" spans="1:6" x14ac:dyDescent="0.35">
      <c r="A152" s="25"/>
      <c r="B152" s="25"/>
      <c r="C152" s="26"/>
      <c r="D152" s="27"/>
      <c r="E152" s="27"/>
      <c r="F152" s="26"/>
    </row>
    <row r="153" spans="1:6" x14ac:dyDescent="0.35">
      <c r="A153" s="25"/>
      <c r="B153" s="25"/>
      <c r="C153" s="26"/>
      <c r="D153" s="27"/>
      <c r="E153" s="27"/>
      <c r="F153" s="26"/>
    </row>
    <row r="154" spans="1:6" x14ac:dyDescent="0.35">
      <c r="A154" s="25"/>
      <c r="B154" s="25"/>
      <c r="C154" s="26"/>
      <c r="D154" s="27"/>
      <c r="E154" s="27"/>
      <c r="F154" s="26"/>
    </row>
    <row r="155" spans="1:6" x14ac:dyDescent="0.35">
      <c r="A155" s="25"/>
      <c r="B155" s="25"/>
      <c r="C155" s="26"/>
      <c r="D155" s="27"/>
      <c r="E155" s="27"/>
      <c r="F155" s="26"/>
    </row>
    <row r="156" spans="1:6" x14ac:dyDescent="0.35">
      <c r="A156" s="25"/>
      <c r="B156" s="25"/>
      <c r="C156" s="26"/>
      <c r="D156" s="27"/>
      <c r="E156" s="27"/>
      <c r="F156" s="26"/>
    </row>
    <row r="157" spans="1:6" x14ac:dyDescent="0.35">
      <c r="A157" s="25"/>
      <c r="B157" s="25"/>
      <c r="C157" s="26"/>
      <c r="D157" s="27"/>
      <c r="E157" s="27"/>
      <c r="F157" s="26"/>
    </row>
    <row r="158" spans="1:6" x14ac:dyDescent="0.35">
      <c r="A158" s="25"/>
      <c r="B158" s="25"/>
      <c r="C158" s="26"/>
      <c r="D158" s="27"/>
      <c r="E158" s="27"/>
      <c r="F158" s="26"/>
    </row>
    <row r="159" spans="1:6" x14ac:dyDescent="0.35">
      <c r="A159" s="25"/>
      <c r="B159" s="25"/>
      <c r="C159" s="26"/>
      <c r="D159" s="27"/>
      <c r="E159" s="27"/>
      <c r="F159" s="26"/>
    </row>
    <row r="160" spans="1:6" x14ac:dyDescent="0.35">
      <c r="A160" s="25"/>
      <c r="B160" s="25"/>
      <c r="C160" s="26"/>
      <c r="D160" s="27"/>
      <c r="E160" s="27"/>
      <c r="F160" s="26"/>
    </row>
    <row r="161" spans="1:6" x14ac:dyDescent="0.35">
      <c r="A161" s="25"/>
      <c r="B161" s="25"/>
      <c r="C161" s="26"/>
      <c r="D161" s="27"/>
      <c r="E161" s="27"/>
      <c r="F161" s="26"/>
    </row>
    <row r="162" spans="1:6" x14ac:dyDescent="0.35">
      <c r="A162" s="25"/>
      <c r="B162" s="25"/>
      <c r="C162" s="26"/>
      <c r="D162" s="27"/>
      <c r="E162" s="27"/>
      <c r="F162" s="26"/>
    </row>
    <row r="163" spans="1:6" x14ac:dyDescent="0.35">
      <c r="A163" s="25"/>
      <c r="B163" s="25"/>
      <c r="C163" s="26"/>
      <c r="D163" s="27"/>
      <c r="E163" s="27"/>
      <c r="F163" s="26"/>
    </row>
    <row r="164" spans="1:6" x14ac:dyDescent="0.35">
      <c r="A164" s="25"/>
      <c r="B164" s="25"/>
      <c r="C164" s="26"/>
      <c r="D164" s="27"/>
      <c r="E164" s="27"/>
      <c r="F164" s="26"/>
    </row>
    <row r="165" spans="1:6" x14ac:dyDescent="0.35">
      <c r="A165" s="25"/>
      <c r="B165" s="25"/>
      <c r="C165" s="26"/>
      <c r="D165" s="27"/>
      <c r="E165" s="27"/>
      <c r="F165" s="26"/>
    </row>
    <row r="166" spans="1:6" x14ac:dyDescent="0.35">
      <c r="A166" s="25"/>
      <c r="B166" s="25"/>
      <c r="C166" s="26"/>
      <c r="D166" s="27"/>
      <c r="E166" s="27"/>
      <c r="F166" s="26"/>
    </row>
    <row r="167" spans="1:6" x14ac:dyDescent="0.35">
      <c r="A167" s="25"/>
      <c r="B167" s="25"/>
      <c r="C167" s="26"/>
      <c r="D167" s="27"/>
      <c r="E167" s="27"/>
      <c r="F167" s="26"/>
    </row>
    <row r="168" spans="1:6" x14ac:dyDescent="0.35">
      <c r="A168" s="25"/>
      <c r="B168" s="25"/>
      <c r="C168" s="26"/>
      <c r="D168" s="27"/>
      <c r="E168" s="27"/>
      <c r="F168" s="26"/>
    </row>
    <row r="169" spans="1:6" x14ac:dyDescent="0.35">
      <c r="A169" s="25"/>
      <c r="B169" s="25"/>
      <c r="C169" s="26"/>
      <c r="D169" s="27"/>
      <c r="E169" s="27"/>
      <c r="F169" s="26"/>
    </row>
    <row r="170" spans="1:6" x14ac:dyDescent="0.35">
      <c r="A170" s="25"/>
      <c r="B170" s="25"/>
      <c r="C170" s="26"/>
      <c r="D170" s="27"/>
      <c r="E170" s="27"/>
      <c r="F170" s="26"/>
    </row>
    <row r="171" spans="1:6" x14ac:dyDescent="0.35">
      <c r="A171" s="25"/>
      <c r="B171" s="25"/>
      <c r="C171" s="26"/>
      <c r="D171" s="27"/>
      <c r="E171" s="27"/>
      <c r="F171" s="26"/>
    </row>
    <row r="172" spans="1:6" x14ac:dyDescent="0.35">
      <c r="A172" s="25"/>
      <c r="B172" s="25"/>
      <c r="C172" s="26"/>
      <c r="D172" s="27"/>
      <c r="E172" s="27"/>
      <c r="F172" s="26"/>
    </row>
    <row r="173" spans="1:6" x14ac:dyDescent="0.35">
      <c r="A173" s="25"/>
      <c r="B173" s="25"/>
      <c r="C173" s="26"/>
      <c r="D173" s="27"/>
      <c r="E173" s="27"/>
      <c r="F173" s="26"/>
    </row>
    <row r="174" spans="1:6" x14ac:dyDescent="0.35">
      <c r="A174" s="25"/>
      <c r="B174" s="25"/>
      <c r="C174" s="26"/>
      <c r="D174" s="27"/>
      <c r="E174" s="27"/>
      <c r="F174" s="26"/>
    </row>
    <row r="175" spans="1:6" x14ac:dyDescent="0.35">
      <c r="A175" s="25"/>
      <c r="B175" s="25"/>
      <c r="C175" s="26"/>
      <c r="D175" s="27"/>
      <c r="E175" s="27"/>
      <c r="F175" s="26"/>
    </row>
    <row r="176" spans="1:6" x14ac:dyDescent="0.35">
      <c r="A176" s="25"/>
      <c r="B176" s="25"/>
      <c r="C176" s="26"/>
      <c r="D176" s="27"/>
      <c r="E176" s="27"/>
      <c r="F176" s="26"/>
    </row>
    <row r="177" spans="1:6" x14ac:dyDescent="0.35">
      <c r="A177" s="19"/>
      <c r="B177" s="19"/>
      <c r="C177" s="19"/>
      <c r="D177" s="20"/>
      <c r="E177" s="20"/>
      <c r="F177" s="20"/>
    </row>
    <row r="178" spans="1:6" x14ac:dyDescent="0.35">
      <c r="A178" s="19"/>
      <c r="B178" s="19"/>
      <c r="C178" s="19"/>
      <c r="D178" s="20"/>
      <c r="E178" s="20"/>
      <c r="F178" s="20"/>
    </row>
    <row r="179" spans="1:6" x14ac:dyDescent="0.35">
      <c r="A179" s="17"/>
      <c r="B179" s="17"/>
      <c r="C179" s="17"/>
      <c r="D179" s="16"/>
      <c r="E179" s="16"/>
      <c r="F179" s="16"/>
    </row>
  </sheetData>
  <autoFilter ref="A2:F179" xr:uid="{98E6E4FC-49FA-4D37-80CA-04CABC7A9057}">
    <sortState xmlns:xlrd2="http://schemas.microsoft.com/office/spreadsheetml/2017/richdata2" ref="A3:F179">
      <sortCondition ref="A2:A179"/>
    </sortState>
  </autoFilter>
  <mergeCells count="1">
    <mergeCell ref="A1:F1"/>
  </mergeCells>
  <conditionalFormatting sqref="A3:F176">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27"/>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35" t="str">
        <f>"Daily closure report: "&amp;'Front page'!A8</f>
        <v>Daily closure report: Sunday, 30 August</v>
      </c>
      <c r="B1" s="35"/>
      <c r="C1" s="35"/>
      <c r="D1" s="35"/>
      <c r="E1" s="35"/>
      <c r="F1" s="35"/>
    </row>
    <row r="2" spans="1:6" s="5" customFormat="1" ht="28" x14ac:dyDescent="0.35">
      <c r="A2" s="12" t="s">
        <v>9</v>
      </c>
      <c r="B2" s="12" t="s">
        <v>1</v>
      </c>
      <c r="C2" s="12" t="s">
        <v>0</v>
      </c>
      <c r="D2" s="11" t="s">
        <v>11</v>
      </c>
      <c r="E2" s="11" t="s">
        <v>12</v>
      </c>
      <c r="F2" s="12" t="s">
        <v>10</v>
      </c>
    </row>
    <row r="3" spans="1:6" s="23" customFormat="1" ht="46.5" x14ac:dyDescent="0.35">
      <c r="A3" s="25" t="s">
        <v>45</v>
      </c>
      <c r="B3" s="25" t="s">
        <v>23</v>
      </c>
      <c r="C3" s="26" t="s">
        <v>53</v>
      </c>
      <c r="D3" s="27">
        <v>45847.208333333299</v>
      </c>
      <c r="E3" s="27">
        <v>46507.999305555597</v>
      </c>
      <c r="F3" s="26" t="s">
        <v>54</v>
      </c>
    </row>
    <row r="4" spans="1:6" s="23" customFormat="1" ht="77.5" x14ac:dyDescent="0.35">
      <c r="A4" s="25" t="s">
        <v>61</v>
      </c>
      <c r="B4" s="25" t="s">
        <v>2</v>
      </c>
      <c r="C4" s="26" t="s">
        <v>492</v>
      </c>
      <c r="D4" s="27">
        <v>46265.166666666701</v>
      </c>
      <c r="E4" s="27">
        <v>46265.625</v>
      </c>
      <c r="F4" s="26" t="s">
        <v>493</v>
      </c>
    </row>
    <row r="5" spans="1:6" s="23" customFormat="1" ht="77.5" x14ac:dyDescent="0.35">
      <c r="A5" s="25" t="s">
        <v>108</v>
      </c>
      <c r="B5" s="25" t="s">
        <v>6</v>
      </c>
      <c r="C5" s="26" t="s">
        <v>447</v>
      </c>
      <c r="D5" s="27">
        <v>46202.875</v>
      </c>
      <c r="E5" s="27">
        <v>46508.208333333299</v>
      </c>
      <c r="F5" s="26" t="s">
        <v>448</v>
      </c>
    </row>
    <row r="6" spans="1:6" s="23" customFormat="1" ht="93" x14ac:dyDescent="0.35">
      <c r="A6" s="25" t="s">
        <v>466</v>
      </c>
      <c r="B6" s="25" t="s">
        <v>7</v>
      </c>
      <c r="C6" s="26" t="s">
        <v>467</v>
      </c>
      <c r="D6" s="27">
        <v>46217.625</v>
      </c>
      <c r="E6" s="27">
        <v>46387.875</v>
      </c>
      <c r="F6" s="26" t="s">
        <v>468</v>
      </c>
    </row>
    <row r="7" spans="1:6" s="23" customFormat="1" ht="93" x14ac:dyDescent="0.35">
      <c r="A7" s="25" t="s">
        <v>469</v>
      </c>
      <c r="B7" s="25" t="s">
        <v>2</v>
      </c>
      <c r="C7" s="26" t="s">
        <v>488</v>
      </c>
      <c r="D7" s="27">
        <v>46260.833333333299</v>
      </c>
      <c r="E7" s="27">
        <v>46266.25</v>
      </c>
      <c r="F7" s="26" t="s">
        <v>489</v>
      </c>
    </row>
    <row r="8" spans="1:6" s="23" customFormat="1" ht="62" x14ac:dyDescent="0.35">
      <c r="A8" s="25" t="s">
        <v>469</v>
      </c>
      <c r="B8" s="25" t="s">
        <v>6</v>
      </c>
      <c r="C8" s="26" t="s">
        <v>490</v>
      </c>
      <c r="D8" s="27">
        <v>46260.833333333299</v>
      </c>
      <c r="E8" s="27">
        <v>46266.25</v>
      </c>
      <c r="F8" s="26" t="s">
        <v>489</v>
      </c>
    </row>
    <row r="9" spans="1:6" s="23" customFormat="1" ht="46.5" x14ac:dyDescent="0.35">
      <c r="A9" s="25" t="s">
        <v>461</v>
      </c>
      <c r="B9" s="25" t="s">
        <v>23</v>
      </c>
      <c r="C9" s="26" t="s">
        <v>462</v>
      </c>
      <c r="D9" s="27">
        <v>46230.833333333299</v>
      </c>
      <c r="E9" s="27">
        <v>46403.25</v>
      </c>
      <c r="F9" s="26" t="s">
        <v>463</v>
      </c>
    </row>
    <row r="10" spans="1:6" s="23" customFormat="1" ht="46.5" x14ac:dyDescent="0.35">
      <c r="A10" s="25" t="s">
        <v>280</v>
      </c>
      <c r="B10" s="25" t="s">
        <v>6</v>
      </c>
      <c r="C10" s="26" t="s">
        <v>494</v>
      </c>
      <c r="D10" s="27">
        <v>46230.208333333299</v>
      </c>
      <c r="E10" s="27">
        <v>46266.208333333299</v>
      </c>
      <c r="F10" s="26" t="s">
        <v>495</v>
      </c>
    </row>
    <row r="11" spans="1:6" s="23" customFormat="1" ht="93" x14ac:dyDescent="0.35">
      <c r="A11" s="25" t="s">
        <v>185</v>
      </c>
      <c r="B11" s="25" t="s">
        <v>6</v>
      </c>
      <c r="C11" s="26" t="s">
        <v>186</v>
      </c>
      <c r="D11" s="27">
        <v>46237.833333333299</v>
      </c>
      <c r="E11" s="27">
        <v>46326.25</v>
      </c>
      <c r="F11" s="26" t="s">
        <v>187</v>
      </c>
    </row>
    <row r="12" spans="1:6" s="23" customFormat="1" ht="93" x14ac:dyDescent="0.35">
      <c r="A12" s="25" t="s">
        <v>185</v>
      </c>
      <c r="B12" s="25" t="s">
        <v>2</v>
      </c>
      <c r="C12" s="26" t="s">
        <v>188</v>
      </c>
      <c r="D12" s="27">
        <v>46237.833333333299</v>
      </c>
      <c r="E12" s="27">
        <v>46326.25</v>
      </c>
      <c r="F12" s="26" t="s">
        <v>187</v>
      </c>
    </row>
    <row r="13" spans="1:6" s="23" customFormat="1" ht="62" x14ac:dyDescent="0.35">
      <c r="A13" s="25" t="s">
        <v>310</v>
      </c>
      <c r="B13" s="25" t="s">
        <v>2</v>
      </c>
      <c r="C13" s="26" t="s">
        <v>311</v>
      </c>
      <c r="D13" s="27">
        <v>46237.25</v>
      </c>
      <c r="E13" s="27">
        <v>46692.25</v>
      </c>
      <c r="F13" s="26" t="s">
        <v>312</v>
      </c>
    </row>
    <row r="14" spans="1:6" s="23" customFormat="1" ht="62" x14ac:dyDescent="0.35">
      <c r="A14" s="25" t="s">
        <v>479</v>
      </c>
      <c r="B14" s="25" t="s">
        <v>6</v>
      </c>
      <c r="C14" s="26" t="s">
        <v>498</v>
      </c>
      <c r="D14" s="27">
        <v>46264.875</v>
      </c>
      <c r="E14" s="27">
        <v>46265.166666666701</v>
      </c>
      <c r="F14" s="26" t="s">
        <v>499</v>
      </c>
    </row>
    <row r="15" spans="1:6" s="24" customFormat="1" ht="46.5" x14ac:dyDescent="0.35">
      <c r="A15" s="25" t="s">
        <v>232</v>
      </c>
      <c r="B15" s="25" t="s">
        <v>6</v>
      </c>
      <c r="C15" s="26" t="s">
        <v>233</v>
      </c>
      <c r="D15" s="27">
        <v>45804.208333333299</v>
      </c>
      <c r="E15" s="27">
        <v>46418.208333333299</v>
      </c>
      <c r="F15" s="26" t="s">
        <v>234</v>
      </c>
    </row>
    <row r="16" spans="1:6" s="24" customFormat="1" x14ac:dyDescent="0.35">
      <c r="A16" s="25"/>
      <c r="B16" s="25"/>
      <c r="C16" s="26"/>
      <c r="D16" s="27"/>
      <c r="E16" s="27"/>
      <c r="F16" s="26"/>
    </row>
    <row r="17" spans="1:6" s="24" customFormat="1" x14ac:dyDescent="0.35">
      <c r="A17" s="25"/>
      <c r="B17" s="25"/>
      <c r="C17" s="26"/>
      <c r="D17" s="27"/>
      <c r="E17" s="27"/>
      <c r="F17" s="26"/>
    </row>
    <row r="18" spans="1:6" s="24" customFormat="1" x14ac:dyDescent="0.35">
      <c r="A18" s="25"/>
      <c r="B18" s="25"/>
      <c r="C18" s="26"/>
      <c r="D18" s="27"/>
      <c r="E18" s="27"/>
      <c r="F18" s="26"/>
    </row>
    <row r="19" spans="1:6" s="24" customFormat="1" x14ac:dyDescent="0.35">
      <c r="A19" s="25"/>
      <c r="B19" s="25"/>
      <c r="C19" s="26"/>
      <c r="D19" s="27"/>
      <c r="E19" s="27"/>
      <c r="F19" s="26"/>
    </row>
    <row r="20" spans="1:6" s="24" customFormat="1" x14ac:dyDescent="0.35">
      <c r="A20" s="25"/>
      <c r="B20" s="25"/>
      <c r="C20" s="26"/>
      <c r="D20" s="27"/>
      <c r="E20" s="27"/>
      <c r="F20" s="26"/>
    </row>
    <row r="21" spans="1:6" s="24" customFormat="1" x14ac:dyDescent="0.35">
      <c r="A21" s="25"/>
      <c r="B21" s="25"/>
      <c r="C21" s="26"/>
      <c r="D21" s="27"/>
      <c r="E21" s="27"/>
      <c r="F21" s="26"/>
    </row>
    <row r="22" spans="1:6" s="24" customFormat="1" x14ac:dyDescent="0.35">
      <c r="A22" s="25"/>
      <c r="B22" s="25"/>
      <c r="C22" s="26"/>
      <c r="D22" s="27"/>
      <c r="E22" s="27"/>
      <c r="F22" s="26"/>
    </row>
    <row r="23" spans="1:6" s="24" customFormat="1" x14ac:dyDescent="0.35">
      <c r="A23" s="25"/>
      <c r="B23" s="25"/>
      <c r="C23" s="26"/>
      <c r="D23" s="27"/>
      <c r="E23" s="27"/>
      <c r="F23" s="26"/>
    </row>
    <row r="24" spans="1:6" s="24" customFormat="1" x14ac:dyDescent="0.35">
      <c r="A24" s="25"/>
      <c r="B24" s="25"/>
      <c r="C24" s="26"/>
      <c r="D24" s="27"/>
      <c r="E24" s="27"/>
      <c r="F24" s="26"/>
    </row>
    <row r="25" spans="1:6" s="24" customFormat="1" x14ac:dyDescent="0.35">
      <c r="A25" s="25"/>
      <c r="B25" s="25"/>
      <c r="C25" s="26"/>
      <c r="D25" s="27"/>
      <c r="E25" s="27"/>
      <c r="F25" s="26"/>
    </row>
    <row r="26" spans="1:6" s="24" customFormat="1" x14ac:dyDescent="0.35">
      <c r="A26" s="25"/>
      <c r="B26" s="25"/>
      <c r="C26" s="26"/>
      <c r="D26" s="27"/>
      <c r="E26" s="27"/>
      <c r="F26" s="26"/>
    </row>
    <row r="27" spans="1:6" s="24" customFormat="1" x14ac:dyDescent="0.35">
      <c r="A27" s="25"/>
      <c r="B27" s="25"/>
      <c r="C27" s="26"/>
      <c r="D27" s="27"/>
      <c r="E27" s="27"/>
      <c r="F27" s="26"/>
    </row>
    <row r="28" spans="1:6" s="24" customFormat="1" x14ac:dyDescent="0.35">
      <c r="A28" s="25"/>
      <c r="B28" s="25"/>
      <c r="C28" s="26"/>
      <c r="D28" s="27"/>
      <c r="E28" s="27"/>
      <c r="F28" s="26"/>
    </row>
    <row r="29" spans="1:6" s="24" customFormat="1" x14ac:dyDescent="0.35">
      <c r="A29" s="25"/>
      <c r="B29" s="25"/>
      <c r="C29" s="26"/>
      <c r="D29" s="27"/>
      <c r="E29" s="27"/>
      <c r="F29" s="26"/>
    </row>
    <row r="30" spans="1:6" s="24" customFormat="1" x14ac:dyDescent="0.35">
      <c r="A30" s="25"/>
      <c r="B30" s="25"/>
      <c r="C30" s="26"/>
      <c r="D30" s="27"/>
      <c r="E30" s="27"/>
      <c r="F30" s="26"/>
    </row>
    <row r="31" spans="1:6" s="24" customFormat="1" x14ac:dyDescent="0.35">
      <c r="A31" s="25"/>
      <c r="B31" s="25"/>
      <c r="C31" s="26"/>
      <c r="D31" s="27"/>
      <c r="E31" s="27"/>
      <c r="F31" s="26"/>
    </row>
    <row r="32" spans="1:6" s="24" customFormat="1" x14ac:dyDescent="0.35">
      <c r="A32" s="25"/>
      <c r="B32" s="25"/>
      <c r="C32" s="26"/>
      <c r="D32" s="27"/>
      <c r="E32" s="27"/>
      <c r="F32" s="26"/>
    </row>
    <row r="33" spans="1:6" s="24" customFormat="1" x14ac:dyDescent="0.35">
      <c r="A33" s="25"/>
      <c r="B33" s="25"/>
      <c r="C33" s="26"/>
      <c r="D33" s="27"/>
      <c r="E33" s="27"/>
      <c r="F33" s="26"/>
    </row>
    <row r="34" spans="1:6" s="24" customFormat="1" x14ac:dyDescent="0.35">
      <c r="A34" s="25"/>
      <c r="B34" s="25"/>
      <c r="C34" s="26"/>
      <c r="D34" s="27"/>
      <c r="E34" s="27"/>
      <c r="F34" s="26"/>
    </row>
    <row r="35" spans="1:6" s="24" customFormat="1" x14ac:dyDescent="0.35">
      <c r="A35" s="25"/>
      <c r="B35" s="25"/>
      <c r="C35" s="26"/>
      <c r="D35" s="27"/>
      <c r="E35" s="27"/>
      <c r="F35" s="26"/>
    </row>
    <row r="36" spans="1:6" s="24" customFormat="1" x14ac:dyDescent="0.35">
      <c r="A36" s="25"/>
      <c r="B36" s="25"/>
      <c r="C36" s="26"/>
      <c r="D36" s="27"/>
      <c r="E36" s="27"/>
      <c r="F36" s="26"/>
    </row>
    <row r="37" spans="1:6" s="24" customFormat="1" x14ac:dyDescent="0.35">
      <c r="A37" s="25"/>
      <c r="B37" s="25"/>
      <c r="C37" s="26"/>
      <c r="D37" s="27"/>
      <c r="E37" s="27"/>
      <c r="F37" s="26"/>
    </row>
    <row r="38" spans="1:6" s="24" customFormat="1" x14ac:dyDescent="0.35">
      <c r="A38" s="25"/>
      <c r="B38" s="25"/>
      <c r="C38" s="26"/>
      <c r="D38" s="27"/>
      <c r="E38" s="27"/>
      <c r="F38" s="26"/>
    </row>
    <row r="39" spans="1:6" s="24" customFormat="1" x14ac:dyDescent="0.35">
      <c r="A39" s="25"/>
      <c r="B39" s="25"/>
      <c r="C39" s="26"/>
      <c r="D39" s="27"/>
      <c r="E39" s="27"/>
      <c r="F39" s="26"/>
    </row>
    <row r="40" spans="1:6" s="24" customFormat="1" x14ac:dyDescent="0.35">
      <c r="A40" s="25"/>
      <c r="B40" s="25"/>
      <c r="C40" s="26"/>
      <c r="D40" s="27"/>
      <c r="E40" s="27"/>
      <c r="F40" s="26"/>
    </row>
    <row r="41" spans="1:6" s="24" customFormat="1" x14ac:dyDescent="0.35">
      <c r="A41" s="25"/>
      <c r="B41" s="25"/>
      <c r="C41" s="26"/>
      <c r="D41" s="27"/>
      <c r="E41" s="27"/>
      <c r="F41" s="26"/>
    </row>
    <row r="42" spans="1:6" s="24" customFormat="1" x14ac:dyDescent="0.35">
      <c r="A42" s="25"/>
      <c r="B42" s="25"/>
      <c r="C42" s="26"/>
      <c r="D42" s="27"/>
      <c r="E42" s="27"/>
      <c r="F42" s="26"/>
    </row>
    <row r="43" spans="1:6" s="24" customFormat="1" x14ac:dyDescent="0.35">
      <c r="A43" s="25"/>
      <c r="B43" s="25"/>
      <c r="C43" s="26"/>
      <c r="D43" s="27"/>
      <c r="E43" s="27"/>
      <c r="F43" s="26"/>
    </row>
    <row r="44" spans="1:6" s="24" customFormat="1" x14ac:dyDescent="0.35">
      <c r="A44" s="25"/>
      <c r="B44" s="25"/>
      <c r="C44" s="26"/>
      <c r="D44" s="27"/>
      <c r="E44" s="27"/>
      <c r="F44" s="26"/>
    </row>
    <row r="45" spans="1:6" s="24" customFormat="1" x14ac:dyDescent="0.35">
      <c r="A45" s="25"/>
      <c r="B45" s="25"/>
      <c r="C45" s="26"/>
      <c r="D45" s="27"/>
      <c r="E45" s="27"/>
      <c r="F45" s="26"/>
    </row>
    <row r="46" spans="1:6" s="24" customFormat="1" x14ac:dyDescent="0.35">
      <c r="A46" s="25"/>
      <c r="B46" s="25"/>
      <c r="C46" s="26"/>
      <c r="D46" s="27"/>
      <c r="E46" s="27"/>
      <c r="F46" s="26"/>
    </row>
    <row r="47" spans="1:6" s="24" customFormat="1" x14ac:dyDescent="0.35">
      <c r="A47" s="25"/>
      <c r="B47" s="25"/>
      <c r="C47" s="26"/>
      <c r="D47" s="27"/>
      <c r="E47" s="27"/>
      <c r="F47" s="26"/>
    </row>
    <row r="48" spans="1:6" s="24" customFormat="1" x14ac:dyDescent="0.35">
      <c r="A48" s="25"/>
      <c r="B48" s="25"/>
      <c r="C48" s="26"/>
      <c r="D48" s="27"/>
      <c r="E48" s="27"/>
      <c r="F48" s="26"/>
    </row>
    <row r="49" spans="1:6" s="24" customFormat="1" x14ac:dyDescent="0.35">
      <c r="A49" s="25"/>
      <c r="B49" s="25"/>
      <c r="C49" s="26"/>
      <c r="D49" s="27"/>
      <c r="E49" s="27"/>
      <c r="F49" s="26"/>
    </row>
    <row r="50" spans="1:6" s="24" customFormat="1" x14ac:dyDescent="0.35">
      <c r="A50" s="25"/>
      <c r="B50" s="25"/>
      <c r="C50" s="26"/>
      <c r="D50" s="27"/>
      <c r="E50" s="27"/>
      <c r="F50" s="26"/>
    </row>
    <row r="51" spans="1:6" s="24" customFormat="1" x14ac:dyDescent="0.35">
      <c r="A51" s="25"/>
      <c r="B51" s="25"/>
      <c r="C51" s="26"/>
      <c r="D51" s="27"/>
      <c r="E51" s="27"/>
      <c r="F51" s="26"/>
    </row>
    <row r="52" spans="1:6" s="24" customFormat="1" x14ac:dyDescent="0.35">
      <c r="A52" s="25"/>
      <c r="B52" s="25"/>
      <c r="C52" s="26"/>
      <c r="D52" s="27"/>
      <c r="E52" s="27"/>
      <c r="F52" s="26"/>
    </row>
    <row r="53" spans="1:6" s="24" customFormat="1" x14ac:dyDescent="0.35">
      <c r="A53" s="25"/>
      <c r="B53" s="25"/>
      <c r="C53" s="26"/>
      <c r="D53" s="27"/>
      <c r="E53" s="27"/>
      <c r="F53" s="26"/>
    </row>
    <row r="54" spans="1:6" s="24" customFormat="1" x14ac:dyDescent="0.35">
      <c r="A54" s="25"/>
      <c r="B54" s="25"/>
      <c r="C54" s="26"/>
      <c r="D54" s="27"/>
      <c r="E54" s="27"/>
      <c r="F54" s="26"/>
    </row>
    <row r="55" spans="1:6" s="24" customFormat="1" x14ac:dyDescent="0.35">
      <c r="A55" s="25"/>
      <c r="B55" s="25"/>
      <c r="C55" s="26"/>
      <c r="D55" s="27"/>
      <c r="E55" s="27"/>
      <c r="F55" s="26"/>
    </row>
    <row r="56" spans="1:6" s="24" customFormat="1" x14ac:dyDescent="0.35">
      <c r="A56" s="25"/>
      <c r="B56" s="25"/>
      <c r="C56" s="26"/>
      <c r="D56" s="27"/>
      <c r="E56" s="27"/>
      <c r="F56" s="26"/>
    </row>
    <row r="57" spans="1:6" s="24" customFormat="1" x14ac:dyDescent="0.35">
      <c r="A57" s="25"/>
      <c r="B57" s="25"/>
      <c r="C57" s="26"/>
      <c r="D57" s="27"/>
      <c r="E57" s="27"/>
      <c r="F57" s="26"/>
    </row>
    <row r="58" spans="1:6" s="24" customFormat="1" x14ac:dyDescent="0.35">
      <c r="A58" s="25"/>
      <c r="B58" s="25"/>
      <c r="C58" s="26"/>
      <c r="D58" s="27"/>
      <c r="E58" s="27"/>
      <c r="F58" s="26"/>
    </row>
    <row r="59" spans="1:6" s="24" customFormat="1" x14ac:dyDescent="0.35">
      <c r="A59" s="25"/>
      <c r="B59" s="25"/>
      <c r="C59" s="26"/>
      <c r="D59" s="27"/>
      <c r="E59" s="27"/>
      <c r="F59" s="26"/>
    </row>
    <row r="60" spans="1:6" s="24" customFormat="1" x14ac:dyDescent="0.35">
      <c r="A60" s="25"/>
      <c r="B60" s="25"/>
      <c r="C60" s="26"/>
      <c r="D60" s="27"/>
      <c r="E60" s="27"/>
      <c r="F60" s="26"/>
    </row>
    <row r="61" spans="1:6" s="24" customFormat="1" x14ac:dyDescent="0.35">
      <c r="A61" s="25"/>
      <c r="B61" s="25"/>
      <c r="C61" s="26"/>
      <c r="D61" s="27"/>
      <c r="E61" s="27"/>
      <c r="F61" s="26"/>
    </row>
    <row r="62" spans="1:6" s="24" customFormat="1" x14ac:dyDescent="0.35">
      <c r="A62" s="25"/>
      <c r="B62" s="25"/>
      <c r="C62" s="26"/>
      <c r="D62" s="27"/>
      <c r="E62" s="27"/>
      <c r="F62" s="26"/>
    </row>
    <row r="63" spans="1:6" s="24" customFormat="1" x14ac:dyDescent="0.35">
      <c r="A63" s="25"/>
      <c r="B63" s="25"/>
      <c r="C63" s="26"/>
      <c r="D63" s="27"/>
      <c r="E63" s="27"/>
      <c r="F63" s="26"/>
    </row>
    <row r="64" spans="1:6" s="24" customFormat="1" x14ac:dyDescent="0.35">
      <c r="A64" s="25"/>
      <c r="B64" s="25"/>
      <c r="C64" s="26"/>
      <c r="D64" s="27"/>
      <c r="E64" s="27"/>
      <c r="F64" s="26"/>
    </row>
    <row r="65" spans="1:6" s="24" customFormat="1" x14ac:dyDescent="0.35">
      <c r="A65" s="25"/>
      <c r="B65" s="25"/>
      <c r="C65" s="26"/>
      <c r="D65" s="27"/>
      <c r="E65" s="27"/>
      <c r="F65" s="26"/>
    </row>
    <row r="66" spans="1:6" s="24" customFormat="1" x14ac:dyDescent="0.35">
      <c r="A66" s="25"/>
      <c r="B66" s="25"/>
      <c r="C66" s="26"/>
      <c r="D66" s="27"/>
      <c r="E66" s="27"/>
      <c r="F66" s="26"/>
    </row>
    <row r="67" spans="1:6" s="24" customFormat="1" x14ac:dyDescent="0.35">
      <c r="A67" s="25"/>
      <c r="B67" s="25"/>
      <c r="C67" s="26"/>
      <c r="D67" s="27"/>
      <c r="E67" s="27"/>
      <c r="F67" s="26"/>
    </row>
    <row r="68" spans="1:6" s="24" customFormat="1" x14ac:dyDescent="0.35">
      <c r="A68" s="25"/>
      <c r="B68" s="25"/>
      <c r="C68" s="26"/>
      <c r="D68" s="27"/>
      <c r="E68" s="27"/>
      <c r="F68" s="26"/>
    </row>
    <row r="69" spans="1:6" s="24" customFormat="1" x14ac:dyDescent="0.35">
      <c r="A69" s="25"/>
      <c r="B69" s="25"/>
      <c r="C69" s="26"/>
      <c r="D69" s="27"/>
      <c r="E69" s="27"/>
      <c r="F69" s="26"/>
    </row>
    <row r="70" spans="1:6" s="24" customFormat="1" x14ac:dyDescent="0.35">
      <c r="A70" s="25"/>
      <c r="B70" s="25"/>
      <c r="C70" s="26"/>
      <c r="D70" s="27"/>
      <c r="E70" s="27"/>
      <c r="F70" s="26"/>
    </row>
    <row r="71" spans="1:6" s="24" customFormat="1" x14ac:dyDescent="0.35">
      <c r="A71" s="25"/>
      <c r="B71" s="25"/>
      <c r="C71" s="26"/>
      <c r="D71" s="27"/>
      <c r="E71" s="27"/>
      <c r="F71" s="26"/>
    </row>
    <row r="72" spans="1:6" s="24" customFormat="1" x14ac:dyDescent="0.35">
      <c r="A72" s="25"/>
      <c r="B72" s="25"/>
      <c r="C72" s="26"/>
      <c r="D72" s="27"/>
      <c r="E72" s="27"/>
      <c r="F72" s="26"/>
    </row>
    <row r="73" spans="1:6" s="24" customFormat="1" x14ac:dyDescent="0.35">
      <c r="A73" s="25"/>
      <c r="B73" s="25"/>
      <c r="C73" s="26"/>
      <c r="D73" s="27"/>
      <c r="E73" s="27"/>
      <c r="F73" s="26"/>
    </row>
    <row r="74" spans="1:6" s="24" customFormat="1" x14ac:dyDescent="0.35">
      <c r="A74" s="25"/>
      <c r="B74" s="25"/>
      <c r="C74" s="26"/>
      <c r="D74" s="27"/>
      <c r="E74" s="27"/>
      <c r="F74" s="26"/>
    </row>
    <row r="75" spans="1:6" s="24" customFormat="1" x14ac:dyDescent="0.35">
      <c r="A75" s="25"/>
      <c r="B75" s="25"/>
      <c r="C75" s="26"/>
      <c r="D75" s="27"/>
      <c r="E75" s="27"/>
      <c r="F75" s="26"/>
    </row>
    <row r="76" spans="1:6" s="24" customFormat="1" x14ac:dyDescent="0.35">
      <c r="A76" s="25"/>
      <c r="B76" s="25"/>
      <c r="C76" s="26"/>
      <c r="D76" s="27"/>
      <c r="E76" s="27"/>
      <c r="F76" s="26"/>
    </row>
    <row r="77" spans="1:6" s="24" customFormat="1" x14ac:dyDescent="0.35">
      <c r="A77" s="25"/>
      <c r="B77" s="25"/>
      <c r="C77" s="26"/>
      <c r="D77" s="27"/>
      <c r="E77" s="27"/>
      <c r="F77" s="26"/>
    </row>
    <row r="78" spans="1:6" s="24" customFormat="1" x14ac:dyDescent="0.35">
      <c r="A78" s="25"/>
      <c r="B78" s="25"/>
      <c r="C78" s="26"/>
      <c r="D78" s="27"/>
      <c r="E78" s="27"/>
      <c r="F78" s="26"/>
    </row>
    <row r="79" spans="1:6" s="24" customFormat="1" x14ac:dyDescent="0.35">
      <c r="A79" s="25"/>
      <c r="B79" s="25"/>
      <c r="C79" s="26"/>
      <c r="D79" s="27"/>
      <c r="E79" s="27"/>
      <c r="F79" s="26"/>
    </row>
    <row r="80" spans="1:6" s="24" customFormat="1" x14ac:dyDescent="0.35">
      <c r="A80" s="25"/>
      <c r="B80" s="25"/>
      <c r="C80" s="26"/>
      <c r="D80" s="27"/>
      <c r="E80" s="27"/>
      <c r="F80" s="26"/>
    </row>
    <row r="81" spans="1:6" s="24" customFormat="1" x14ac:dyDescent="0.35">
      <c r="A81" s="25"/>
      <c r="B81" s="25"/>
      <c r="C81" s="26"/>
      <c r="D81" s="27"/>
      <c r="E81" s="27"/>
      <c r="F81" s="26"/>
    </row>
    <row r="82" spans="1:6" s="24" customFormat="1" x14ac:dyDescent="0.35">
      <c r="A82" s="25"/>
      <c r="B82" s="25"/>
      <c r="C82" s="26"/>
      <c r="D82" s="27"/>
      <c r="E82" s="27"/>
      <c r="F82" s="26"/>
    </row>
    <row r="83" spans="1:6" s="24" customFormat="1" x14ac:dyDescent="0.35">
      <c r="A83" s="25"/>
      <c r="B83" s="25"/>
      <c r="C83" s="26"/>
      <c r="D83" s="27"/>
      <c r="E83" s="27"/>
      <c r="F83" s="26"/>
    </row>
    <row r="84" spans="1:6" s="24" customFormat="1" x14ac:dyDescent="0.35">
      <c r="A84" s="25"/>
      <c r="B84" s="25"/>
      <c r="C84" s="26"/>
      <c r="D84" s="27"/>
      <c r="E84" s="27"/>
      <c r="F84" s="26"/>
    </row>
    <row r="85" spans="1:6" s="24" customFormat="1" x14ac:dyDescent="0.35">
      <c r="A85" s="25"/>
      <c r="B85" s="25"/>
      <c r="C85" s="26"/>
      <c r="D85" s="27"/>
      <c r="E85" s="27"/>
      <c r="F85" s="26"/>
    </row>
    <row r="86" spans="1:6" s="24" customFormat="1" x14ac:dyDescent="0.35">
      <c r="A86" s="25"/>
      <c r="B86" s="25"/>
      <c r="C86" s="26"/>
      <c r="D86" s="27"/>
      <c r="E86" s="27"/>
      <c r="F86" s="26"/>
    </row>
    <row r="87" spans="1:6" s="24" customFormat="1" x14ac:dyDescent="0.35">
      <c r="A87" s="25"/>
      <c r="B87" s="25"/>
      <c r="C87" s="26"/>
      <c r="D87" s="27"/>
      <c r="E87" s="27"/>
      <c r="F87" s="26"/>
    </row>
    <row r="88" spans="1:6" s="24" customFormat="1" x14ac:dyDescent="0.35">
      <c r="A88" s="25"/>
      <c r="B88" s="25"/>
      <c r="C88" s="26"/>
      <c r="D88" s="27"/>
      <c r="E88" s="27"/>
      <c r="F88" s="26"/>
    </row>
    <row r="89" spans="1:6" s="24" customFormat="1" x14ac:dyDescent="0.35">
      <c r="A89" s="25"/>
      <c r="B89" s="25"/>
      <c r="C89" s="26"/>
      <c r="D89" s="27"/>
      <c r="E89" s="27"/>
      <c r="F89" s="26"/>
    </row>
    <row r="90" spans="1:6" s="24" customFormat="1" x14ac:dyDescent="0.35">
      <c r="A90" s="25"/>
      <c r="B90" s="25"/>
      <c r="C90" s="26"/>
      <c r="D90" s="27"/>
      <c r="E90" s="27"/>
      <c r="F90" s="26"/>
    </row>
    <row r="91" spans="1:6" s="24" customFormat="1" x14ac:dyDescent="0.35">
      <c r="A91" s="25"/>
      <c r="B91" s="25"/>
      <c r="C91" s="26"/>
      <c r="D91" s="27"/>
      <c r="E91" s="27"/>
      <c r="F91" s="26"/>
    </row>
    <row r="92" spans="1:6" s="24" customFormat="1" x14ac:dyDescent="0.35">
      <c r="A92" s="25"/>
      <c r="B92" s="25"/>
      <c r="C92" s="26"/>
      <c r="D92" s="27"/>
      <c r="E92" s="27"/>
      <c r="F92" s="26"/>
    </row>
    <row r="93" spans="1:6" s="24" customFormat="1" x14ac:dyDescent="0.35">
      <c r="A93" s="25"/>
      <c r="B93" s="25"/>
      <c r="C93" s="26"/>
      <c r="D93" s="27"/>
      <c r="E93" s="27"/>
      <c r="F93" s="26"/>
    </row>
    <row r="94" spans="1:6" s="24" customFormat="1" x14ac:dyDescent="0.35">
      <c r="A94" s="25"/>
      <c r="B94" s="25"/>
      <c r="C94" s="26"/>
      <c r="D94" s="27"/>
      <c r="E94" s="27"/>
      <c r="F94" s="26"/>
    </row>
    <row r="95" spans="1:6" s="24" customFormat="1" x14ac:dyDescent="0.35">
      <c r="A95" s="25"/>
      <c r="B95" s="25"/>
      <c r="C95" s="26"/>
      <c r="D95" s="27"/>
      <c r="E95" s="27"/>
      <c r="F95" s="26"/>
    </row>
    <row r="96" spans="1:6" s="24" customFormat="1" x14ac:dyDescent="0.35">
      <c r="A96" s="25"/>
      <c r="B96" s="25"/>
      <c r="C96" s="26"/>
      <c r="D96" s="27"/>
      <c r="E96" s="27"/>
      <c r="F96" s="26"/>
    </row>
    <row r="97" spans="1:6" s="24" customFormat="1" x14ac:dyDescent="0.35">
      <c r="A97" s="25"/>
      <c r="B97" s="25"/>
      <c r="C97" s="26"/>
      <c r="D97" s="27"/>
      <c r="E97" s="27"/>
      <c r="F97" s="26"/>
    </row>
    <row r="98" spans="1:6" s="24" customFormat="1" x14ac:dyDescent="0.35">
      <c r="A98" s="25"/>
      <c r="B98" s="25"/>
      <c r="C98" s="26"/>
      <c r="D98" s="27"/>
      <c r="E98" s="27"/>
      <c r="F98" s="26"/>
    </row>
    <row r="99" spans="1:6" s="24" customFormat="1" x14ac:dyDescent="0.35">
      <c r="A99" s="25"/>
      <c r="B99" s="25"/>
      <c r="C99" s="26"/>
      <c r="D99" s="27"/>
      <c r="E99" s="27"/>
      <c r="F99" s="26"/>
    </row>
    <row r="100" spans="1:6" s="24" customFormat="1" x14ac:dyDescent="0.35">
      <c r="A100" s="25"/>
      <c r="B100" s="25"/>
      <c r="C100" s="26"/>
      <c r="D100" s="27"/>
      <c r="E100" s="27"/>
      <c r="F100" s="26"/>
    </row>
    <row r="101" spans="1:6" s="24" customFormat="1" x14ac:dyDescent="0.35">
      <c r="A101" s="25"/>
      <c r="B101" s="25"/>
      <c r="C101" s="26"/>
      <c r="D101" s="27"/>
      <c r="E101" s="27"/>
      <c r="F101" s="26"/>
    </row>
    <row r="102" spans="1:6" s="24" customFormat="1" x14ac:dyDescent="0.35">
      <c r="A102" s="25"/>
      <c r="B102" s="25"/>
      <c r="C102" s="26"/>
      <c r="D102" s="27"/>
      <c r="E102" s="27"/>
      <c r="F102" s="26"/>
    </row>
    <row r="103" spans="1:6" s="24" customFormat="1" x14ac:dyDescent="0.35">
      <c r="A103" s="25"/>
      <c r="B103" s="25"/>
      <c r="C103" s="26"/>
      <c r="D103" s="27"/>
      <c r="E103" s="27"/>
      <c r="F103" s="26"/>
    </row>
    <row r="104" spans="1:6" s="24" customFormat="1" x14ac:dyDescent="0.35">
      <c r="A104" s="25"/>
      <c r="B104" s="25"/>
      <c r="C104" s="26"/>
      <c r="D104" s="27"/>
      <c r="E104" s="27"/>
      <c r="F104" s="26"/>
    </row>
    <row r="105" spans="1:6" s="24" customFormat="1" x14ac:dyDescent="0.35">
      <c r="A105" s="25"/>
      <c r="B105" s="25"/>
      <c r="C105" s="26"/>
      <c r="D105" s="27"/>
      <c r="E105" s="27"/>
      <c r="F105" s="26"/>
    </row>
    <row r="106" spans="1:6" s="24" customFormat="1" x14ac:dyDescent="0.35">
      <c r="A106" s="25"/>
      <c r="B106" s="25"/>
      <c r="C106" s="26"/>
      <c r="D106" s="27"/>
      <c r="E106" s="27"/>
      <c r="F106" s="26"/>
    </row>
    <row r="107" spans="1:6" s="24" customFormat="1" x14ac:dyDescent="0.35">
      <c r="A107" s="25"/>
      <c r="B107" s="25"/>
      <c r="C107" s="26"/>
      <c r="D107" s="27"/>
      <c r="E107" s="27"/>
      <c r="F107" s="26"/>
    </row>
    <row r="108" spans="1:6" s="24" customFormat="1" x14ac:dyDescent="0.35">
      <c r="A108" s="25"/>
      <c r="B108" s="25"/>
      <c r="C108" s="26"/>
      <c r="D108" s="27"/>
      <c r="E108" s="27"/>
      <c r="F108" s="26"/>
    </row>
    <row r="109" spans="1:6" s="24" customFormat="1" x14ac:dyDescent="0.35">
      <c r="A109" s="25"/>
      <c r="B109" s="25"/>
      <c r="C109" s="26"/>
      <c r="D109" s="27"/>
      <c r="E109" s="27"/>
      <c r="F109" s="26"/>
    </row>
    <row r="110" spans="1:6" s="24" customFormat="1" x14ac:dyDescent="0.35">
      <c r="A110" s="25"/>
      <c r="B110" s="25"/>
      <c r="C110" s="26"/>
      <c r="D110" s="27"/>
      <c r="E110" s="27"/>
      <c r="F110" s="26"/>
    </row>
    <row r="111" spans="1:6" s="24" customFormat="1" x14ac:dyDescent="0.35">
      <c r="A111" s="25"/>
      <c r="B111" s="25"/>
      <c r="C111" s="26"/>
      <c r="D111" s="27"/>
      <c r="E111" s="27"/>
      <c r="F111" s="26"/>
    </row>
    <row r="112" spans="1:6" s="24" customFormat="1" x14ac:dyDescent="0.35">
      <c r="A112" s="25"/>
      <c r="B112" s="25"/>
      <c r="C112" s="26"/>
      <c r="D112" s="27"/>
      <c r="E112" s="27"/>
      <c r="F112" s="26"/>
    </row>
    <row r="113" spans="1:6" s="24" customFormat="1" x14ac:dyDescent="0.35">
      <c r="A113" s="25"/>
      <c r="B113" s="25"/>
      <c r="C113" s="26"/>
      <c r="D113" s="27"/>
      <c r="E113" s="27"/>
      <c r="F113" s="26"/>
    </row>
    <row r="114" spans="1:6" s="24" customFormat="1" x14ac:dyDescent="0.35">
      <c r="A114" s="25"/>
      <c r="B114" s="25"/>
      <c r="C114" s="26"/>
      <c r="D114" s="27"/>
      <c r="E114" s="27"/>
      <c r="F114" s="26"/>
    </row>
    <row r="115" spans="1:6" s="24" customFormat="1" x14ac:dyDescent="0.35">
      <c r="A115" s="25"/>
      <c r="B115" s="25"/>
      <c r="C115" s="26"/>
      <c r="D115" s="27"/>
      <c r="E115" s="27"/>
      <c r="F115" s="26"/>
    </row>
    <row r="116" spans="1:6" s="24" customFormat="1" x14ac:dyDescent="0.35">
      <c r="A116" s="25"/>
      <c r="B116" s="25"/>
      <c r="C116" s="26"/>
      <c r="D116" s="27"/>
      <c r="E116" s="27"/>
      <c r="F116" s="26"/>
    </row>
    <row r="117" spans="1:6" s="24" customFormat="1" x14ac:dyDescent="0.35">
      <c r="A117" s="25"/>
      <c r="B117" s="25"/>
      <c r="C117" s="26"/>
      <c r="D117" s="27"/>
      <c r="E117" s="27"/>
      <c r="F117" s="26"/>
    </row>
    <row r="118" spans="1:6" s="24" customFormat="1" x14ac:dyDescent="0.35">
      <c r="A118" s="25"/>
      <c r="B118" s="25"/>
      <c r="C118" s="26"/>
      <c r="D118" s="27"/>
      <c r="E118" s="27"/>
      <c r="F118" s="26"/>
    </row>
    <row r="119" spans="1:6" s="24" customFormat="1" x14ac:dyDescent="0.35">
      <c r="A119" s="25"/>
      <c r="B119" s="25"/>
      <c r="C119" s="26"/>
      <c r="D119" s="27"/>
      <c r="E119" s="27"/>
      <c r="F119" s="26"/>
    </row>
    <row r="120" spans="1:6" s="24" customFormat="1" x14ac:dyDescent="0.35">
      <c r="A120" s="25"/>
      <c r="B120" s="25"/>
      <c r="C120" s="26"/>
      <c r="D120" s="27"/>
      <c r="E120" s="27"/>
      <c r="F120" s="26"/>
    </row>
    <row r="121" spans="1:6" s="24" customFormat="1" x14ac:dyDescent="0.35">
      <c r="A121" s="25"/>
      <c r="B121" s="25"/>
      <c r="C121" s="26"/>
      <c r="D121" s="27"/>
      <c r="E121" s="27"/>
      <c r="F121" s="26"/>
    </row>
    <row r="122" spans="1:6" s="24" customFormat="1" x14ac:dyDescent="0.35">
      <c r="A122" s="25"/>
      <c r="B122" s="25"/>
      <c r="C122" s="26"/>
      <c r="D122" s="27"/>
      <c r="E122" s="27"/>
      <c r="F122" s="26"/>
    </row>
    <row r="123" spans="1:6" s="24" customFormat="1" x14ac:dyDescent="0.35">
      <c r="A123" s="25"/>
      <c r="B123" s="25"/>
      <c r="C123" s="26"/>
      <c r="D123" s="27"/>
      <c r="E123" s="27"/>
      <c r="F123" s="26"/>
    </row>
    <row r="124" spans="1:6" s="24" customFormat="1" x14ac:dyDescent="0.35">
      <c r="A124" s="25"/>
      <c r="B124" s="25"/>
      <c r="C124" s="26"/>
      <c r="D124" s="27"/>
      <c r="E124" s="27"/>
      <c r="F124" s="26"/>
    </row>
    <row r="125" spans="1:6" s="24" customFormat="1" x14ac:dyDescent="0.35">
      <c r="A125" s="25"/>
      <c r="B125" s="25"/>
      <c r="C125" s="26"/>
      <c r="D125" s="27"/>
      <c r="E125" s="27"/>
      <c r="F125" s="26"/>
    </row>
    <row r="126" spans="1:6" s="24" customFormat="1" x14ac:dyDescent="0.35">
      <c r="A126" s="25"/>
      <c r="B126" s="25"/>
      <c r="C126" s="26"/>
      <c r="D126" s="27"/>
      <c r="E126" s="27"/>
      <c r="F126" s="26"/>
    </row>
    <row r="127" spans="1:6" s="24" customFormat="1" x14ac:dyDescent="0.35">
      <c r="A127" s="25"/>
      <c r="B127" s="25"/>
      <c r="C127" s="26"/>
      <c r="D127" s="27"/>
      <c r="E127" s="27"/>
      <c r="F127" s="26"/>
    </row>
    <row r="128" spans="1:6" s="24" customFormat="1" x14ac:dyDescent="0.35">
      <c r="A128" s="25"/>
      <c r="B128" s="25"/>
      <c r="C128" s="26"/>
      <c r="D128" s="27"/>
      <c r="E128" s="27"/>
      <c r="F128" s="26"/>
    </row>
    <row r="129" spans="1:6" s="24" customFormat="1" x14ac:dyDescent="0.35">
      <c r="A129" s="25"/>
      <c r="B129" s="25"/>
      <c r="C129" s="26"/>
      <c r="D129" s="27"/>
      <c r="E129" s="27"/>
      <c r="F129" s="26"/>
    </row>
    <row r="130" spans="1:6" s="24" customFormat="1" x14ac:dyDescent="0.35">
      <c r="A130" s="25"/>
      <c r="B130" s="25"/>
      <c r="C130" s="26"/>
      <c r="D130" s="27"/>
      <c r="E130" s="27"/>
      <c r="F130" s="26"/>
    </row>
    <row r="131" spans="1:6" s="24" customFormat="1" x14ac:dyDescent="0.35">
      <c r="A131" s="25"/>
      <c r="B131" s="25"/>
      <c r="C131" s="26"/>
      <c r="D131" s="27"/>
      <c r="E131" s="27"/>
      <c r="F131" s="26"/>
    </row>
    <row r="132" spans="1:6" s="24" customFormat="1" x14ac:dyDescent="0.35">
      <c r="A132" s="25"/>
      <c r="B132" s="25"/>
      <c r="C132" s="26"/>
      <c r="D132" s="27"/>
      <c r="E132" s="27"/>
      <c r="F132" s="26"/>
    </row>
    <row r="133" spans="1:6" s="24" customFormat="1" x14ac:dyDescent="0.35">
      <c r="A133" s="25"/>
      <c r="B133" s="25"/>
      <c r="C133" s="26"/>
      <c r="D133" s="27"/>
      <c r="E133" s="27"/>
      <c r="F133" s="26"/>
    </row>
    <row r="134" spans="1:6" s="24" customFormat="1" x14ac:dyDescent="0.35">
      <c r="A134" s="25"/>
      <c r="B134" s="25"/>
      <c r="C134" s="26"/>
      <c r="D134" s="27"/>
      <c r="E134" s="27"/>
      <c r="F134" s="26"/>
    </row>
    <row r="135" spans="1:6" s="24" customFormat="1" x14ac:dyDescent="0.35">
      <c r="A135" s="25"/>
      <c r="B135" s="25"/>
      <c r="C135" s="26"/>
      <c r="D135" s="27"/>
      <c r="E135" s="27"/>
      <c r="F135" s="26"/>
    </row>
    <row r="136" spans="1:6" s="24" customFormat="1" x14ac:dyDescent="0.35">
      <c r="A136" s="25"/>
      <c r="B136" s="25"/>
      <c r="C136" s="26"/>
      <c r="D136" s="27"/>
      <c r="E136" s="27"/>
      <c r="F136" s="26"/>
    </row>
    <row r="137" spans="1:6" s="24" customFormat="1" x14ac:dyDescent="0.35">
      <c r="A137" s="25"/>
      <c r="B137" s="25"/>
      <c r="C137" s="26"/>
      <c r="D137" s="27"/>
      <c r="E137" s="27"/>
      <c r="F137" s="26"/>
    </row>
    <row r="138" spans="1:6" x14ac:dyDescent="0.35">
      <c r="A138" s="25"/>
      <c r="B138" s="25"/>
      <c r="C138" s="26"/>
      <c r="D138" s="27"/>
      <c r="E138" s="27"/>
      <c r="F138" s="26"/>
    </row>
    <row r="139" spans="1:6" x14ac:dyDescent="0.35">
      <c r="A139" s="25"/>
      <c r="B139" s="25"/>
      <c r="C139" s="26"/>
      <c r="D139" s="27"/>
      <c r="E139" s="27"/>
      <c r="F139" s="26"/>
    </row>
    <row r="140" spans="1:6" x14ac:dyDescent="0.35">
      <c r="A140" s="25"/>
      <c r="B140" s="25"/>
      <c r="C140" s="26"/>
      <c r="D140" s="27"/>
      <c r="E140" s="27"/>
      <c r="F140" s="26"/>
    </row>
    <row r="141" spans="1:6" x14ac:dyDescent="0.35">
      <c r="A141" s="25"/>
      <c r="B141" s="25"/>
      <c r="C141" s="26"/>
      <c r="D141" s="27"/>
      <c r="E141" s="27"/>
      <c r="F141" s="26"/>
    </row>
    <row r="142" spans="1:6" x14ac:dyDescent="0.35">
      <c r="A142" s="25"/>
      <c r="B142" s="25"/>
      <c r="C142" s="26"/>
      <c r="D142" s="27"/>
      <c r="E142" s="27"/>
      <c r="F142" s="26"/>
    </row>
    <row r="143" spans="1:6" x14ac:dyDescent="0.35">
      <c r="A143" s="25"/>
      <c r="B143" s="25"/>
      <c r="C143" s="26"/>
      <c r="D143" s="27"/>
      <c r="E143" s="27"/>
      <c r="F143" s="26"/>
    </row>
    <row r="144" spans="1:6" x14ac:dyDescent="0.35">
      <c r="A144" s="25"/>
      <c r="B144" s="25"/>
      <c r="C144" s="26"/>
      <c r="D144" s="27"/>
      <c r="E144" s="27"/>
      <c r="F144" s="26"/>
    </row>
    <row r="145" spans="1:6" x14ac:dyDescent="0.35">
      <c r="A145" s="25"/>
      <c r="B145" s="25"/>
      <c r="C145" s="26"/>
      <c r="D145" s="27"/>
      <c r="E145" s="27"/>
      <c r="F145" s="26"/>
    </row>
    <row r="146" spans="1:6" x14ac:dyDescent="0.35">
      <c r="A146" s="25"/>
      <c r="B146" s="25"/>
      <c r="C146" s="26"/>
      <c r="D146" s="27"/>
      <c r="E146" s="27"/>
      <c r="F146" s="26"/>
    </row>
    <row r="147" spans="1:6" x14ac:dyDescent="0.35">
      <c r="A147" s="25"/>
      <c r="B147" s="25"/>
      <c r="C147" s="26"/>
      <c r="D147" s="27"/>
      <c r="E147" s="27"/>
      <c r="F147" s="26"/>
    </row>
    <row r="148" spans="1:6" x14ac:dyDescent="0.35">
      <c r="A148" s="25"/>
      <c r="B148" s="25"/>
      <c r="C148" s="26"/>
      <c r="D148" s="27"/>
      <c r="E148" s="27"/>
      <c r="F148" s="26"/>
    </row>
    <row r="149" spans="1:6" x14ac:dyDescent="0.35">
      <c r="A149" s="25"/>
      <c r="B149" s="25"/>
      <c r="C149" s="26"/>
      <c r="D149" s="27"/>
      <c r="E149" s="27"/>
      <c r="F149" s="26"/>
    </row>
    <row r="150" spans="1:6" x14ac:dyDescent="0.35">
      <c r="A150" s="25"/>
      <c r="B150" s="25"/>
      <c r="C150" s="26"/>
      <c r="D150" s="27"/>
      <c r="E150" s="27"/>
      <c r="F150" s="26"/>
    </row>
    <row r="151" spans="1:6" x14ac:dyDescent="0.35">
      <c r="A151" s="25"/>
      <c r="B151" s="25"/>
      <c r="C151" s="26"/>
      <c r="D151" s="27"/>
      <c r="E151" s="27"/>
      <c r="F151" s="26"/>
    </row>
    <row r="152" spans="1:6" x14ac:dyDescent="0.35">
      <c r="A152" s="25"/>
      <c r="B152" s="25"/>
      <c r="C152" s="26"/>
      <c r="D152" s="27"/>
      <c r="E152" s="27"/>
      <c r="F152" s="26"/>
    </row>
    <row r="153" spans="1:6" x14ac:dyDescent="0.35">
      <c r="A153" s="25"/>
      <c r="B153" s="25"/>
      <c r="C153" s="26"/>
      <c r="D153" s="27"/>
      <c r="E153" s="27"/>
      <c r="F153" s="26"/>
    </row>
    <row r="154" spans="1:6" x14ac:dyDescent="0.35">
      <c r="A154" s="25"/>
      <c r="B154" s="25"/>
      <c r="C154" s="26"/>
      <c r="D154" s="27"/>
      <c r="E154" s="27"/>
      <c r="F154" s="26"/>
    </row>
    <row r="155" spans="1:6" x14ac:dyDescent="0.35">
      <c r="A155" s="25"/>
      <c r="B155" s="25"/>
      <c r="C155" s="26"/>
      <c r="D155" s="27"/>
      <c r="E155" s="27"/>
      <c r="F155" s="26"/>
    </row>
    <row r="156" spans="1:6" x14ac:dyDescent="0.35">
      <c r="A156" s="25"/>
      <c r="B156" s="25"/>
      <c r="C156" s="26"/>
      <c r="D156" s="27"/>
      <c r="E156" s="27"/>
      <c r="F156" s="26"/>
    </row>
    <row r="157" spans="1:6" x14ac:dyDescent="0.35">
      <c r="A157" s="25"/>
      <c r="B157" s="25"/>
      <c r="C157" s="26"/>
      <c r="D157" s="27"/>
      <c r="E157" s="27"/>
      <c r="F157" s="26"/>
    </row>
    <row r="158" spans="1:6" x14ac:dyDescent="0.35">
      <c r="A158" s="25"/>
      <c r="B158" s="25"/>
      <c r="C158" s="26"/>
      <c r="D158" s="27"/>
      <c r="E158" s="27"/>
      <c r="F158" s="26"/>
    </row>
    <row r="159" spans="1:6" x14ac:dyDescent="0.35">
      <c r="A159" s="25"/>
      <c r="B159" s="25"/>
      <c r="C159" s="26"/>
      <c r="D159" s="27"/>
      <c r="E159" s="27"/>
      <c r="F159" s="26"/>
    </row>
    <row r="160" spans="1:6" x14ac:dyDescent="0.35">
      <c r="A160" s="25"/>
      <c r="B160" s="25"/>
      <c r="C160" s="26"/>
      <c r="D160" s="27"/>
      <c r="E160" s="27"/>
      <c r="F160" s="26"/>
    </row>
    <row r="161" spans="1:6" x14ac:dyDescent="0.35">
      <c r="A161" s="25"/>
      <c r="B161" s="25"/>
      <c r="C161" s="26"/>
      <c r="D161" s="27"/>
      <c r="E161" s="27"/>
      <c r="F161" s="26"/>
    </row>
    <row r="162" spans="1:6" x14ac:dyDescent="0.35">
      <c r="A162" s="25"/>
      <c r="B162" s="25"/>
      <c r="C162" s="26"/>
      <c r="D162" s="27"/>
      <c r="E162" s="27"/>
      <c r="F162" s="26"/>
    </row>
    <row r="163" spans="1:6" x14ac:dyDescent="0.35">
      <c r="A163" s="25"/>
      <c r="B163" s="25"/>
      <c r="C163" s="26"/>
      <c r="D163" s="27"/>
      <c r="E163" s="27"/>
      <c r="F163" s="26"/>
    </row>
    <row r="164" spans="1:6" x14ac:dyDescent="0.35">
      <c r="A164" s="25"/>
      <c r="B164" s="25"/>
      <c r="C164" s="26"/>
      <c r="D164" s="27"/>
      <c r="E164" s="27"/>
      <c r="F164" s="26"/>
    </row>
    <row r="165" spans="1:6" x14ac:dyDescent="0.35">
      <c r="A165" s="25"/>
      <c r="B165" s="25"/>
      <c r="C165" s="26"/>
      <c r="D165" s="27"/>
      <c r="E165" s="27"/>
      <c r="F165" s="26"/>
    </row>
    <row r="166" spans="1:6" x14ac:dyDescent="0.35">
      <c r="A166" s="25"/>
      <c r="B166" s="25"/>
      <c r="C166" s="26"/>
      <c r="D166" s="27"/>
      <c r="E166" s="27"/>
      <c r="F166" s="26"/>
    </row>
    <row r="167" spans="1:6" x14ac:dyDescent="0.35">
      <c r="A167" s="25"/>
      <c r="B167" s="25"/>
      <c r="C167" s="26"/>
      <c r="D167" s="27"/>
      <c r="E167" s="27"/>
      <c r="F167" s="26"/>
    </row>
    <row r="168" spans="1:6" x14ac:dyDescent="0.35">
      <c r="A168" s="25"/>
      <c r="B168" s="25"/>
      <c r="C168" s="26"/>
      <c r="D168" s="27"/>
      <c r="E168" s="27"/>
      <c r="F168" s="26"/>
    </row>
    <row r="169" spans="1:6" x14ac:dyDescent="0.35">
      <c r="A169" s="25"/>
      <c r="B169" s="25"/>
      <c r="C169" s="26"/>
      <c r="D169" s="27"/>
      <c r="E169" s="27"/>
      <c r="F169" s="26"/>
    </row>
    <row r="170" spans="1:6" x14ac:dyDescent="0.35">
      <c r="A170" s="25"/>
      <c r="B170" s="25"/>
      <c r="C170" s="26"/>
      <c r="D170" s="27"/>
      <c r="E170" s="27"/>
      <c r="F170" s="26"/>
    </row>
    <row r="171" spans="1:6" x14ac:dyDescent="0.35">
      <c r="A171" s="25"/>
      <c r="B171" s="25"/>
      <c r="C171" s="26"/>
      <c r="D171" s="27"/>
      <c r="E171" s="27"/>
      <c r="F171" s="26"/>
    </row>
    <row r="172" spans="1:6" x14ac:dyDescent="0.35">
      <c r="A172" s="25"/>
      <c r="B172" s="25"/>
      <c r="C172" s="26"/>
      <c r="D172" s="27"/>
      <c r="E172" s="27"/>
      <c r="F172" s="26"/>
    </row>
    <row r="173" spans="1:6" x14ac:dyDescent="0.35">
      <c r="A173" s="25"/>
      <c r="B173" s="25"/>
      <c r="C173" s="26"/>
      <c r="D173" s="27"/>
      <c r="E173" s="27"/>
      <c r="F173" s="26"/>
    </row>
    <row r="174" spans="1:6" x14ac:dyDescent="0.35">
      <c r="A174" s="25"/>
      <c r="B174" s="25"/>
      <c r="C174" s="26"/>
      <c r="D174" s="27"/>
      <c r="E174" s="27"/>
      <c r="F174" s="26"/>
    </row>
    <row r="175" spans="1:6" x14ac:dyDescent="0.35">
      <c r="A175" s="25"/>
      <c r="B175" s="25"/>
      <c r="C175" s="26"/>
      <c r="D175" s="27"/>
      <c r="E175" s="27"/>
      <c r="F175" s="26"/>
    </row>
    <row r="176" spans="1:6" x14ac:dyDescent="0.35">
      <c r="A176" s="17"/>
      <c r="B176" s="17"/>
      <c r="C176" s="17"/>
      <c r="D176" s="16"/>
      <c r="E176" s="16"/>
      <c r="F176" s="16"/>
    </row>
    <row r="177" spans="1:6" x14ac:dyDescent="0.35">
      <c r="A177" s="17"/>
      <c r="B177" s="17"/>
      <c r="C177" s="17"/>
      <c r="D177" s="16"/>
      <c r="E177" s="16"/>
      <c r="F177" s="16"/>
    </row>
    <row r="178" spans="1:6" x14ac:dyDescent="0.35">
      <c r="A178" s="17"/>
      <c r="B178" s="17"/>
      <c r="C178" s="17"/>
      <c r="D178" s="16"/>
      <c r="E178" s="16"/>
      <c r="F178" s="16"/>
    </row>
    <row r="179" spans="1:6" x14ac:dyDescent="0.35">
      <c r="A179" s="17"/>
      <c r="B179" s="17"/>
      <c r="C179" s="17"/>
      <c r="D179" s="16"/>
      <c r="E179" s="16"/>
      <c r="F179" s="16"/>
    </row>
    <row r="180" spans="1:6" x14ac:dyDescent="0.35">
      <c r="A180" s="17"/>
      <c r="B180" s="17"/>
      <c r="C180" s="17"/>
      <c r="D180" s="16"/>
      <c r="E180" s="16"/>
      <c r="F180" s="16"/>
    </row>
    <row r="181" spans="1:6" x14ac:dyDescent="0.35">
      <c r="A181" s="17"/>
      <c r="B181" s="17"/>
      <c r="C181" s="17"/>
      <c r="D181" s="16"/>
      <c r="E181" s="16"/>
      <c r="F181" s="16"/>
    </row>
    <row r="182" spans="1:6" x14ac:dyDescent="0.35">
      <c r="A182" s="17"/>
      <c r="B182" s="17"/>
      <c r="C182" s="17"/>
      <c r="D182" s="16"/>
      <c r="E182" s="16"/>
      <c r="F182" s="16"/>
    </row>
    <row r="183" spans="1:6" x14ac:dyDescent="0.35">
      <c r="A183" s="17"/>
      <c r="B183" s="17"/>
      <c r="C183" s="17"/>
      <c r="D183" s="16"/>
      <c r="E183" s="16"/>
      <c r="F183" s="16"/>
    </row>
    <row r="184" spans="1:6" x14ac:dyDescent="0.35">
      <c r="A184" s="17"/>
      <c r="B184" s="17"/>
      <c r="C184" s="17"/>
      <c r="D184" s="16"/>
      <c r="E184" s="16"/>
      <c r="F184" s="16"/>
    </row>
    <row r="185" spans="1:6" x14ac:dyDescent="0.35">
      <c r="A185" s="17"/>
      <c r="B185" s="17"/>
      <c r="C185" s="17"/>
      <c r="D185" s="16"/>
      <c r="E185" s="16"/>
      <c r="F185" s="16"/>
    </row>
    <row r="186" spans="1:6" x14ac:dyDescent="0.35">
      <c r="A186" s="17"/>
      <c r="B186" s="17"/>
      <c r="C186" s="17"/>
      <c r="D186" s="16"/>
      <c r="E186" s="16"/>
      <c r="F186" s="16"/>
    </row>
    <row r="187" spans="1:6" x14ac:dyDescent="0.35">
      <c r="A187" s="21"/>
      <c r="B187" s="21"/>
      <c r="C187" s="21"/>
      <c r="D187" s="22"/>
      <c r="E187" s="22"/>
      <c r="F187" s="21"/>
    </row>
    <row r="188" spans="1:6" x14ac:dyDescent="0.35">
      <c r="A188" s="21"/>
      <c r="B188" s="21"/>
      <c r="C188" s="21"/>
      <c r="D188" s="22"/>
      <c r="E188" s="22"/>
      <c r="F188" s="21"/>
    </row>
    <row r="189" spans="1:6" x14ac:dyDescent="0.35">
      <c r="A189" s="21"/>
      <c r="B189" s="21"/>
      <c r="C189" s="21"/>
      <c r="D189" s="22"/>
      <c r="E189" s="22"/>
      <c r="F189" s="21"/>
    </row>
    <row r="190" spans="1:6" x14ac:dyDescent="0.35">
      <c r="A190" s="21"/>
      <c r="B190" s="21"/>
      <c r="C190" s="21"/>
      <c r="D190" s="22"/>
      <c r="E190" s="22"/>
      <c r="F190" s="21"/>
    </row>
    <row r="191" spans="1:6" x14ac:dyDescent="0.35">
      <c r="A191" s="21"/>
      <c r="B191" s="21"/>
      <c r="C191" s="21"/>
      <c r="D191" s="22"/>
      <c r="E191" s="22"/>
      <c r="F191" s="21"/>
    </row>
    <row r="192" spans="1:6" x14ac:dyDescent="0.35">
      <c r="A192" s="21"/>
      <c r="B192" s="21"/>
      <c r="C192" s="21"/>
      <c r="D192" s="22"/>
      <c r="E192" s="22"/>
      <c r="F192" s="21"/>
    </row>
    <row r="193" spans="1:6" x14ac:dyDescent="0.35">
      <c r="A193" s="21"/>
      <c r="B193" s="21"/>
      <c r="C193" s="21"/>
      <c r="D193" s="22"/>
      <c r="E193" s="22"/>
      <c r="F193" s="21"/>
    </row>
    <row r="194" spans="1:6" x14ac:dyDescent="0.35">
      <c r="A194" s="21"/>
      <c r="B194" s="21"/>
      <c r="C194" s="21"/>
      <c r="D194" s="22"/>
      <c r="E194" s="22"/>
      <c r="F194" s="21"/>
    </row>
    <row r="195" spans="1:6" x14ac:dyDescent="0.35">
      <c r="A195" s="21"/>
      <c r="B195" s="21"/>
      <c r="C195" s="21"/>
      <c r="D195" s="22"/>
      <c r="E195" s="22"/>
      <c r="F195" s="21"/>
    </row>
    <row r="196" spans="1:6" x14ac:dyDescent="0.35">
      <c r="A196" s="21"/>
      <c r="B196" s="21"/>
      <c r="C196" s="21"/>
      <c r="D196" s="22"/>
      <c r="E196" s="22"/>
      <c r="F196" s="21"/>
    </row>
    <row r="197" spans="1:6" x14ac:dyDescent="0.35">
      <c r="A197" s="21"/>
      <c r="B197" s="21"/>
      <c r="C197" s="21"/>
      <c r="D197" s="22"/>
      <c r="E197" s="22"/>
      <c r="F197" s="21"/>
    </row>
    <row r="198" spans="1:6" x14ac:dyDescent="0.35">
      <c r="A198" s="21"/>
      <c r="B198" s="21"/>
      <c r="C198" s="21"/>
      <c r="D198" s="22"/>
      <c r="E198" s="22"/>
      <c r="F198" s="21"/>
    </row>
    <row r="199" spans="1:6" x14ac:dyDescent="0.35">
      <c r="A199" s="21"/>
      <c r="B199" s="21"/>
      <c r="C199" s="21"/>
      <c r="D199" s="22"/>
      <c r="E199" s="22"/>
      <c r="F199" s="21"/>
    </row>
    <row r="200" spans="1:6" x14ac:dyDescent="0.35">
      <c r="A200" s="21"/>
      <c r="B200" s="21"/>
      <c r="C200" s="21"/>
      <c r="D200" s="22"/>
      <c r="E200" s="22"/>
      <c r="F200" s="21"/>
    </row>
    <row r="201" spans="1:6" x14ac:dyDescent="0.35">
      <c r="A201" s="21"/>
      <c r="B201" s="21"/>
      <c r="C201" s="21"/>
      <c r="D201" s="22"/>
      <c r="E201" s="22"/>
      <c r="F201" s="21"/>
    </row>
    <row r="202" spans="1:6" x14ac:dyDescent="0.35">
      <c r="A202" s="21"/>
      <c r="B202" s="21"/>
      <c r="C202" s="21"/>
      <c r="D202" s="22"/>
      <c r="E202" s="22"/>
      <c r="F202" s="21"/>
    </row>
    <row r="203" spans="1:6" x14ac:dyDescent="0.35">
      <c r="A203" s="21"/>
      <c r="B203" s="21"/>
      <c r="C203" s="21"/>
      <c r="D203" s="22"/>
      <c r="E203" s="22"/>
      <c r="F203" s="21"/>
    </row>
    <row r="204" spans="1:6" x14ac:dyDescent="0.35">
      <c r="A204" s="21"/>
      <c r="B204" s="21"/>
      <c r="C204" s="21"/>
      <c r="D204" s="22"/>
      <c r="E204" s="22"/>
      <c r="F204" s="21"/>
    </row>
    <row r="205" spans="1:6" x14ac:dyDescent="0.35">
      <c r="A205" s="21"/>
      <c r="B205" s="21"/>
      <c r="C205" s="21"/>
      <c r="D205" s="22"/>
      <c r="E205" s="22"/>
      <c r="F205" s="21"/>
    </row>
    <row r="206" spans="1:6" x14ac:dyDescent="0.35">
      <c r="A206" s="21"/>
      <c r="B206" s="21"/>
      <c r="C206" s="21"/>
      <c r="D206" s="22"/>
      <c r="E206" s="22"/>
      <c r="F206" s="21"/>
    </row>
    <row r="207" spans="1:6" x14ac:dyDescent="0.35">
      <c r="A207" s="21"/>
      <c r="B207" s="21"/>
      <c r="C207" s="21"/>
      <c r="D207" s="22"/>
      <c r="E207" s="22"/>
      <c r="F207" s="21"/>
    </row>
    <row r="208" spans="1:6" x14ac:dyDescent="0.35">
      <c r="A208" s="21"/>
      <c r="B208" s="21"/>
      <c r="C208" s="21"/>
      <c r="D208" s="22"/>
      <c r="E208" s="22"/>
      <c r="F208" s="21"/>
    </row>
    <row r="209" spans="1:6" x14ac:dyDescent="0.35">
      <c r="A209" s="21"/>
      <c r="B209" s="21"/>
      <c r="C209" s="21"/>
      <c r="D209" s="22"/>
      <c r="E209" s="22"/>
      <c r="F209" s="21"/>
    </row>
    <row r="210" spans="1:6" x14ac:dyDescent="0.35">
      <c r="A210" s="21"/>
      <c r="B210" s="21"/>
      <c r="C210" s="21"/>
      <c r="D210" s="22"/>
      <c r="E210" s="22"/>
      <c r="F210" s="21"/>
    </row>
    <row r="211" spans="1:6" x14ac:dyDescent="0.35">
      <c r="A211" s="21"/>
      <c r="B211" s="21"/>
      <c r="C211" s="21"/>
      <c r="D211" s="22"/>
      <c r="E211" s="22"/>
      <c r="F211" s="21"/>
    </row>
    <row r="212" spans="1:6" x14ac:dyDescent="0.35">
      <c r="A212" s="21"/>
      <c r="B212" s="21"/>
      <c r="C212" s="21"/>
      <c r="D212" s="22"/>
      <c r="E212" s="22"/>
      <c r="F212" s="21"/>
    </row>
    <row r="213" spans="1:6" x14ac:dyDescent="0.35">
      <c r="A213" s="21"/>
      <c r="B213" s="21"/>
      <c r="C213" s="21"/>
      <c r="D213" s="22"/>
      <c r="E213" s="22"/>
      <c r="F213" s="21"/>
    </row>
    <row r="214" spans="1:6" x14ac:dyDescent="0.35">
      <c r="A214" s="21"/>
      <c r="B214" s="21"/>
      <c r="C214" s="21"/>
      <c r="D214" s="22"/>
      <c r="E214" s="22"/>
      <c r="F214" s="21"/>
    </row>
    <row r="215" spans="1:6" x14ac:dyDescent="0.35">
      <c r="A215" s="21"/>
      <c r="B215" s="21"/>
      <c r="C215" s="21"/>
      <c r="D215" s="22"/>
      <c r="E215" s="22"/>
      <c r="F215" s="21"/>
    </row>
    <row r="216" spans="1:6" x14ac:dyDescent="0.35">
      <c r="A216" s="21"/>
      <c r="B216" s="21"/>
      <c r="C216" s="21"/>
      <c r="D216" s="22"/>
      <c r="E216" s="22"/>
      <c r="F216" s="21"/>
    </row>
    <row r="217" spans="1:6" x14ac:dyDescent="0.35">
      <c r="A217" s="21"/>
      <c r="B217" s="21"/>
      <c r="C217" s="21"/>
      <c r="D217" s="22"/>
      <c r="E217" s="22"/>
      <c r="F217" s="21"/>
    </row>
    <row r="218" spans="1:6" x14ac:dyDescent="0.35">
      <c r="A218" s="21"/>
      <c r="B218" s="21"/>
      <c r="C218" s="21"/>
      <c r="D218" s="22"/>
      <c r="E218" s="22"/>
      <c r="F218" s="21"/>
    </row>
    <row r="219" spans="1:6" x14ac:dyDescent="0.35">
      <c r="A219" s="21"/>
      <c r="B219" s="21"/>
      <c r="C219" s="21"/>
      <c r="D219" s="22"/>
      <c r="E219" s="22"/>
      <c r="F219" s="21"/>
    </row>
    <row r="220" spans="1:6" x14ac:dyDescent="0.35">
      <c r="A220" s="21"/>
      <c r="B220" s="21"/>
      <c r="C220" s="21"/>
      <c r="D220" s="22"/>
      <c r="E220" s="22"/>
      <c r="F220" s="21"/>
    </row>
    <row r="221" spans="1:6" x14ac:dyDescent="0.35">
      <c r="A221" s="21"/>
      <c r="B221" s="21"/>
      <c r="C221" s="21"/>
      <c r="D221" s="22"/>
      <c r="E221" s="22"/>
      <c r="F221" s="21"/>
    </row>
    <row r="222" spans="1:6" x14ac:dyDescent="0.35">
      <c r="A222" s="21"/>
      <c r="B222" s="21"/>
      <c r="C222" s="21"/>
      <c r="D222" s="22"/>
      <c r="E222" s="22"/>
      <c r="F222" s="21"/>
    </row>
    <row r="223" spans="1:6" x14ac:dyDescent="0.35">
      <c r="A223" s="21"/>
      <c r="B223" s="21"/>
      <c r="C223" s="21"/>
      <c r="D223" s="22"/>
      <c r="E223" s="22"/>
      <c r="F223" s="21"/>
    </row>
    <row r="224" spans="1:6" x14ac:dyDescent="0.35">
      <c r="A224" s="21"/>
      <c r="B224" s="21"/>
      <c r="C224" s="21"/>
      <c r="D224" s="22"/>
      <c r="E224" s="22"/>
      <c r="F224" s="21"/>
    </row>
    <row r="225" spans="1:6" x14ac:dyDescent="0.35">
      <c r="A225" s="21"/>
      <c r="B225" s="21"/>
      <c r="C225" s="21"/>
      <c r="D225" s="22"/>
      <c r="E225" s="22"/>
      <c r="F225" s="21"/>
    </row>
    <row r="226" spans="1:6" x14ac:dyDescent="0.35">
      <c r="A226" s="21"/>
      <c r="B226" s="21"/>
      <c r="C226" s="21"/>
      <c r="D226" s="22"/>
      <c r="E226" s="22"/>
      <c r="F226" s="21"/>
    </row>
    <row r="227" spans="1:6" x14ac:dyDescent="0.35">
      <c r="A227" s="21"/>
      <c r="B227" s="21"/>
      <c r="C227" s="21"/>
      <c r="D227" s="22"/>
      <c r="E227" s="22"/>
      <c r="F227" s="21"/>
    </row>
  </sheetData>
  <autoFilter ref="A2:F190" xr:uid="{296437B8-68A1-4AA4-99A5-E75D04C904AB}">
    <sortState xmlns:xlrd2="http://schemas.microsoft.com/office/spreadsheetml/2017/richdata2" ref="A3:F190">
      <sortCondition ref="A2:A190"/>
    </sortState>
  </autoFilter>
  <mergeCells count="1">
    <mergeCell ref="A1:F1"/>
  </mergeCells>
  <conditionalFormatting sqref="A3:F175">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178"/>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35" t="str">
        <f>"Daily closure report: "&amp;'Front page'!A9</f>
        <v>Daily closure report: Monday, 31 August</v>
      </c>
      <c r="B1" s="35"/>
      <c r="C1" s="35"/>
      <c r="D1" s="35"/>
      <c r="E1" s="35"/>
      <c r="F1" s="35"/>
    </row>
    <row r="2" spans="1:6" s="5" customFormat="1" ht="28" x14ac:dyDescent="0.35">
      <c r="A2" s="12" t="s">
        <v>9</v>
      </c>
      <c r="B2" s="12" t="s">
        <v>1</v>
      </c>
      <c r="C2" s="12" t="s">
        <v>0</v>
      </c>
      <c r="D2" s="11" t="s">
        <v>11</v>
      </c>
      <c r="E2" s="11" t="s">
        <v>12</v>
      </c>
      <c r="F2" s="12" t="s">
        <v>10</v>
      </c>
    </row>
    <row r="3" spans="1:6" s="5" customFormat="1" ht="46.5" x14ac:dyDescent="0.35">
      <c r="A3" s="25" t="s">
        <v>45</v>
      </c>
      <c r="B3" s="25" t="s">
        <v>23</v>
      </c>
      <c r="C3" s="26" t="s">
        <v>53</v>
      </c>
      <c r="D3" s="27">
        <v>45847.208333333299</v>
      </c>
      <c r="E3" s="27">
        <v>46507.999305555597</v>
      </c>
      <c r="F3" s="26" t="s">
        <v>54</v>
      </c>
    </row>
    <row r="4" spans="1:6" s="5" customFormat="1" ht="77.5" x14ac:dyDescent="0.35">
      <c r="A4" s="25" t="s">
        <v>61</v>
      </c>
      <c r="B4" s="25" t="s">
        <v>2</v>
      </c>
      <c r="C4" s="26" t="s">
        <v>492</v>
      </c>
      <c r="D4" s="27">
        <v>46265.166666666701</v>
      </c>
      <c r="E4" s="27">
        <v>46265.625</v>
      </c>
      <c r="F4" s="26" t="s">
        <v>493</v>
      </c>
    </row>
    <row r="5" spans="1:6" s="5" customFormat="1" ht="77.5" x14ac:dyDescent="0.35">
      <c r="A5" s="25" t="s">
        <v>29</v>
      </c>
      <c r="B5" s="25" t="s">
        <v>4</v>
      </c>
      <c r="C5" s="26" t="s">
        <v>491</v>
      </c>
      <c r="D5" s="27">
        <v>46266.333333333299</v>
      </c>
      <c r="E5" s="27">
        <v>46266.625</v>
      </c>
      <c r="F5" s="26" t="s">
        <v>130</v>
      </c>
    </row>
    <row r="6" spans="1:6" s="5" customFormat="1" ht="46.5" x14ac:dyDescent="0.35">
      <c r="A6" s="25" t="s">
        <v>351</v>
      </c>
      <c r="B6" s="25" t="s">
        <v>5</v>
      </c>
      <c r="C6" s="26" t="s">
        <v>496</v>
      </c>
      <c r="D6" s="27">
        <v>46265.833333333299</v>
      </c>
      <c r="E6" s="27">
        <v>46266.25</v>
      </c>
      <c r="F6" s="26" t="s">
        <v>497</v>
      </c>
    </row>
    <row r="7" spans="1:6" s="5" customFormat="1" ht="108.5" x14ac:dyDescent="0.35">
      <c r="A7" s="25" t="s">
        <v>108</v>
      </c>
      <c r="B7" s="25" t="s">
        <v>5</v>
      </c>
      <c r="C7" s="26" t="s">
        <v>417</v>
      </c>
      <c r="D7" s="27">
        <v>46265.8125</v>
      </c>
      <c r="E7" s="27">
        <v>46266.25</v>
      </c>
      <c r="F7" s="26" t="s">
        <v>418</v>
      </c>
    </row>
    <row r="8" spans="1:6" s="5" customFormat="1" ht="108.5" x14ac:dyDescent="0.35">
      <c r="A8" s="25" t="s">
        <v>108</v>
      </c>
      <c r="B8" s="25" t="s">
        <v>6</v>
      </c>
      <c r="C8" s="26" t="s">
        <v>447</v>
      </c>
      <c r="D8" s="27">
        <v>46202.875</v>
      </c>
      <c r="E8" s="27">
        <v>46508.208333333299</v>
      </c>
      <c r="F8" s="26" t="s">
        <v>448</v>
      </c>
    </row>
    <row r="9" spans="1:6" s="5" customFormat="1" ht="108.5" x14ac:dyDescent="0.35">
      <c r="A9" s="25" t="s">
        <v>108</v>
      </c>
      <c r="B9" s="25" t="s">
        <v>2</v>
      </c>
      <c r="C9" s="26" t="s">
        <v>449</v>
      </c>
      <c r="D9" s="27">
        <v>46266.333333333299</v>
      </c>
      <c r="E9" s="27">
        <v>46477</v>
      </c>
      <c r="F9" s="26" t="s">
        <v>448</v>
      </c>
    </row>
    <row r="10" spans="1:6" s="5" customFormat="1" ht="93" x14ac:dyDescent="0.35">
      <c r="A10" s="25" t="s">
        <v>466</v>
      </c>
      <c r="B10" s="25" t="s">
        <v>7</v>
      </c>
      <c r="C10" s="26" t="s">
        <v>467</v>
      </c>
      <c r="D10" s="27">
        <v>46217.625</v>
      </c>
      <c r="E10" s="27">
        <v>46387.875</v>
      </c>
      <c r="F10" s="26" t="s">
        <v>468</v>
      </c>
    </row>
    <row r="11" spans="1:6" s="5" customFormat="1" ht="77.5" x14ac:dyDescent="0.35">
      <c r="A11" s="25" t="s">
        <v>469</v>
      </c>
      <c r="B11" s="25" t="s">
        <v>2</v>
      </c>
      <c r="C11" s="26" t="s">
        <v>488</v>
      </c>
      <c r="D11" s="27">
        <v>46260.833333333299</v>
      </c>
      <c r="E11" s="27">
        <v>46266.25</v>
      </c>
      <c r="F11" s="26" t="s">
        <v>489</v>
      </c>
    </row>
    <row r="12" spans="1:6" s="5" customFormat="1" ht="77.5" x14ac:dyDescent="0.35">
      <c r="A12" s="25" t="s">
        <v>469</v>
      </c>
      <c r="B12" s="25" t="s">
        <v>6</v>
      </c>
      <c r="C12" s="26" t="s">
        <v>490</v>
      </c>
      <c r="D12" s="27">
        <v>46260.833333333299</v>
      </c>
      <c r="E12" s="27">
        <v>46266.25</v>
      </c>
      <c r="F12" s="26" t="s">
        <v>489</v>
      </c>
    </row>
    <row r="13" spans="1:6" s="5" customFormat="1" ht="77.5" x14ac:dyDescent="0.35">
      <c r="A13" s="25" t="s">
        <v>461</v>
      </c>
      <c r="B13" s="25" t="s">
        <v>23</v>
      </c>
      <c r="C13" s="26" t="s">
        <v>462</v>
      </c>
      <c r="D13" s="27">
        <v>46230.833333333299</v>
      </c>
      <c r="E13" s="27">
        <v>46403.25</v>
      </c>
      <c r="F13" s="26" t="s">
        <v>463</v>
      </c>
    </row>
    <row r="14" spans="1:6" s="5" customFormat="1" ht="46.5" x14ac:dyDescent="0.35">
      <c r="A14" s="25" t="s">
        <v>280</v>
      </c>
      <c r="B14" s="25" t="s">
        <v>6</v>
      </c>
      <c r="C14" s="26" t="s">
        <v>494</v>
      </c>
      <c r="D14" s="27">
        <v>46230.208333333299</v>
      </c>
      <c r="E14" s="27">
        <v>46266.208333333299</v>
      </c>
      <c r="F14" s="26" t="s">
        <v>495</v>
      </c>
    </row>
    <row r="15" spans="1:6" s="5" customFormat="1" ht="93" x14ac:dyDescent="0.35">
      <c r="A15" s="25" t="s">
        <v>185</v>
      </c>
      <c r="B15" s="25" t="s">
        <v>6</v>
      </c>
      <c r="C15" s="26" t="s">
        <v>186</v>
      </c>
      <c r="D15" s="27">
        <v>46237.833333333299</v>
      </c>
      <c r="E15" s="27">
        <v>46326.25</v>
      </c>
      <c r="F15" s="26" t="s">
        <v>187</v>
      </c>
    </row>
    <row r="16" spans="1:6" s="5" customFormat="1" ht="93" x14ac:dyDescent="0.35">
      <c r="A16" s="25" t="s">
        <v>185</v>
      </c>
      <c r="B16" s="25" t="s">
        <v>2</v>
      </c>
      <c r="C16" s="26" t="s">
        <v>188</v>
      </c>
      <c r="D16" s="27">
        <v>46237.833333333299</v>
      </c>
      <c r="E16" s="27">
        <v>46326.25</v>
      </c>
      <c r="F16" s="26" t="s">
        <v>187</v>
      </c>
    </row>
    <row r="17" spans="1:6" s="5" customFormat="1" ht="108.5" x14ac:dyDescent="0.35">
      <c r="A17" s="25" t="s">
        <v>145</v>
      </c>
      <c r="B17" s="25" t="s">
        <v>4</v>
      </c>
      <c r="C17" s="26" t="s">
        <v>146</v>
      </c>
      <c r="D17" s="27">
        <v>46266.000694444403</v>
      </c>
      <c r="E17" s="27">
        <v>46266.25</v>
      </c>
      <c r="F17" s="26" t="s">
        <v>147</v>
      </c>
    </row>
    <row r="18" spans="1:6" s="5" customFormat="1" ht="108.5" x14ac:dyDescent="0.35">
      <c r="A18" s="25" t="s">
        <v>145</v>
      </c>
      <c r="B18" s="25" t="s">
        <v>4</v>
      </c>
      <c r="C18" s="26" t="s">
        <v>148</v>
      </c>
      <c r="D18" s="27">
        <v>46266.000694444403</v>
      </c>
      <c r="E18" s="27">
        <v>46266.25</v>
      </c>
      <c r="F18" s="26" t="s">
        <v>147</v>
      </c>
    </row>
    <row r="19" spans="1:6" s="5" customFormat="1" ht="108.5" x14ac:dyDescent="0.35">
      <c r="A19" s="25" t="s">
        <v>145</v>
      </c>
      <c r="B19" s="25" t="s">
        <v>4</v>
      </c>
      <c r="C19" s="26" t="s">
        <v>149</v>
      </c>
      <c r="D19" s="27">
        <v>46266.000694444403</v>
      </c>
      <c r="E19" s="27">
        <v>46266.25</v>
      </c>
      <c r="F19" s="26" t="s">
        <v>147</v>
      </c>
    </row>
    <row r="20" spans="1:6" s="5" customFormat="1" ht="62" x14ac:dyDescent="0.35">
      <c r="A20" s="25" t="s">
        <v>310</v>
      </c>
      <c r="B20" s="25" t="s">
        <v>2</v>
      </c>
      <c r="C20" s="26" t="s">
        <v>311</v>
      </c>
      <c r="D20" s="27">
        <v>46237.25</v>
      </c>
      <c r="E20" s="27">
        <v>46692.25</v>
      </c>
      <c r="F20" s="26" t="s">
        <v>312</v>
      </c>
    </row>
    <row r="21" spans="1:6" s="5" customFormat="1" ht="46.5" x14ac:dyDescent="0.35">
      <c r="A21" s="25" t="s">
        <v>232</v>
      </c>
      <c r="B21" s="25" t="s">
        <v>6</v>
      </c>
      <c r="C21" s="26" t="s">
        <v>233</v>
      </c>
      <c r="D21" s="27">
        <v>45804.208333333299</v>
      </c>
      <c r="E21" s="27">
        <v>46418.208333333299</v>
      </c>
      <c r="F21" s="26" t="s">
        <v>234</v>
      </c>
    </row>
    <row r="22" spans="1:6" s="5" customFormat="1" x14ac:dyDescent="0.35">
      <c r="A22" s="25"/>
      <c r="B22" s="25"/>
      <c r="C22" s="26"/>
      <c r="D22" s="27"/>
      <c r="E22" s="27"/>
      <c r="F22" s="26"/>
    </row>
    <row r="23" spans="1:6" s="5" customFormat="1" x14ac:dyDescent="0.35">
      <c r="A23" s="25"/>
      <c r="B23" s="25"/>
      <c r="C23" s="26"/>
      <c r="D23" s="27"/>
      <c r="E23" s="27"/>
      <c r="F23" s="26"/>
    </row>
    <row r="24" spans="1:6" s="5" customFormat="1" x14ac:dyDescent="0.35">
      <c r="A24" s="25"/>
      <c r="B24" s="25"/>
      <c r="C24" s="26"/>
      <c r="D24" s="27"/>
      <c r="E24" s="27"/>
      <c r="F24" s="26"/>
    </row>
    <row r="25" spans="1:6" s="5" customFormat="1" x14ac:dyDescent="0.35">
      <c r="A25" s="25"/>
      <c r="B25" s="25"/>
      <c r="C25" s="26"/>
      <c r="D25" s="27"/>
      <c r="E25" s="27"/>
      <c r="F25" s="26"/>
    </row>
    <row r="26" spans="1:6" s="5" customFormat="1" x14ac:dyDescent="0.35">
      <c r="A26" s="25"/>
      <c r="B26" s="25"/>
      <c r="C26" s="26"/>
      <c r="D26" s="27"/>
      <c r="E26" s="27"/>
      <c r="F26" s="26"/>
    </row>
    <row r="27" spans="1:6" s="5" customFormat="1" x14ac:dyDescent="0.35">
      <c r="A27" s="25"/>
      <c r="B27" s="25"/>
      <c r="C27" s="26"/>
      <c r="D27" s="27"/>
      <c r="E27" s="27"/>
      <c r="F27" s="26"/>
    </row>
    <row r="28" spans="1:6" s="5" customFormat="1" x14ac:dyDescent="0.35">
      <c r="A28" s="25"/>
      <c r="B28" s="25"/>
      <c r="C28" s="26"/>
      <c r="D28" s="27"/>
      <c r="E28" s="27"/>
      <c r="F28" s="26"/>
    </row>
    <row r="29" spans="1:6" s="5" customFormat="1" x14ac:dyDescent="0.35">
      <c r="A29" s="25"/>
      <c r="B29" s="25"/>
      <c r="C29" s="26"/>
      <c r="D29" s="27"/>
      <c r="E29" s="27"/>
      <c r="F29" s="26"/>
    </row>
    <row r="30" spans="1:6" s="5" customFormat="1" x14ac:dyDescent="0.35">
      <c r="A30" s="25"/>
      <c r="B30" s="25"/>
      <c r="C30" s="26"/>
      <c r="D30" s="27"/>
      <c r="E30" s="27"/>
      <c r="F30" s="26"/>
    </row>
    <row r="31" spans="1:6" s="5" customFormat="1" x14ac:dyDescent="0.35">
      <c r="A31" s="25"/>
      <c r="B31" s="25"/>
      <c r="C31" s="26"/>
      <c r="D31" s="27"/>
      <c r="E31" s="27"/>
      <c r="F31" s="26"/>
    </row>
    <row r="32" spans="1:6" s="5" customFormat="1" x14ac:dyDescent="0.35">
      <c r="A32" s="25"/>
      <c r="B32" s="25"/>
      <c r="C32" s="26"/>
      <c r="D32" s="27"/>
      <c r="E32" s="27"/>
      <c r="F32" s="26"/>
    </row>
    <row r="33" spans="1:6" s="5" customFormat="1" x14ac:dyDescent="0.35">
      <c r="A33" s="25"/>
      <c r="B33" s="25"/>
      <c r="C33" s="26"/>
      <c r="D33" s="27"/>
      <c r="E33" s="27"/>
      <c r="F33" s="26"/>
    </row>
    <row r="34" spans="1:6" s="5" customFormat="1" x14ac:dyDescent="0.35">
      <c r="A34" s="25"/>
      <c r="B34" s="25"/>
      <c r="C34" s="26"/>
      <c r="D34" s="27"/>
      <c r="E34" s="27"/>
      <c r="F34" s="26"/>
    </row>
    <row r="35" spans="1:6" s="5" customFormat="1" x14ac:dyDescent="0.35">
      <c r="A35" s="25"/>
      <c r="B35" s="25"/>
      <c r="C35" s="26"/>
      <c r="D35" s="27"/>
      <c r="E35" s="27"/>
      <c r="F35" s="26"/>
    </row>
    <row r="36" spans="1:6" s="5" customFormat="1" x14ac:dyDescent="0.35">
      <c r="A36" s="25"/>
      <c r="B36" s="25"/>
      <c r="C36" s="26"/>
      <c r="D36" s="27"/>
      <c r="E36" s="27"/>
      <c r="F36" s="26"/>
    </row>
    <row r="37" spans="1:6" s="5" customFormat="1" x14ac:dyDescent="0.35">
      <c r="A37" s="25"/>
      <c r="B37" s="25"/>
      <c r="C37" s="26"/>
      <c r="D37" s="27"/>
      <c r="E37" s="27"/>
      <c r="F37" s="26"/>
    </row>
    <row r="38" spans="1:6" s="5" customFormat="1" x14ac:dyDescent="0.35">
      <c r="A38" s="25"/>
      <c r="B38" s="25"/>
      <c r="C38" s="26"/>
      <c r="D38" s="27"/>
      <c r="E38" s="27"/>
      <c r="F38" s="26"/>
    </row>
    <row r="39" spans="1:6" s="5" customFormat="1" x14ac:dyDescent="0.35">
      <c r="A39" s="25"/>
      <c r="B39" s="25"/>
      <c r="C39" s="26"/>
      <c r="D39" s="27"/>
      <c r="E39" s="27"/>
      <c r="F39" s="26"/>
    </row>
    <row r="40" spans="1:6" s="5" customFormat="1" x14ac:dyDescent="0.35">
      <c r="A40" s="25"/>
      <c r="B40" s="25"/>
      <c r="C40" s="26"/>
      <c r="D40" s="27"/>
      <c r="E40" s="27"/>
      <c r="F40" s="26"/>
    </row>
    <row r="41" spans="1:6" s="5" customFormat="1" x14ac:dyDescent="0.35">
      <c r="A41" s="25"/>
      <c r="B41" s="25"/>
      <c r="C41" s="26"/>
      <c r="D41" s="27"/>
      <c r="E41" s="27"/>
      <c r="F41" s="26"/>
    </row>
    <row r="42" spans="1:6" s="5" customFormat="1" x14ac:dyDescent="0.35">
      <c r="A42" s="25"/>
      <c r="B42" s="25"/>
      <c r="C42" s="26"/>
      <c r="D42" s="27"/>
      <c r="E42" s="27"/>
      <c r="F42" s="26"/>
    </row>
    <row r="43" spans="1:6" s="5" customFormat="1" x14ac:dyDescent="0.35">
      <c r="A43" s="25"/>
      <c r="B43" s="25"/>
      <c r="C43" s="26"/>
      <c r="D43" s="27"/>
      <c r="E43" s="27"/>
      <c r="F43" s="26"/>
    </row>
    <row r="44" spans="1:6" s="5" customFormat="1" x14ac:dyDescent="0.35">
      <c r="A44" s="25"/>
      <c r="B44" s="25"/>
      <c r="C44" s="26"/>
      <c r="D44" s="27"/>
      <c r="E44" s="27"/>
      <c r="F44" s="26"/>
    </row>
    <row r="45" spans="1:6" s="5" customFormat="1" x14ac:dyDescent="0.35">
      <c r="A45" s="25"/>
      <c r="B45" s="25"/>
      <c r="C45" s="26"/>
      <c r="D45" s="27"/>
      <c r="E45" s="27"/>
      <c r="F45" s="26"/>
    </row>
    <row r="46" spans="1:6" s="5" customFormat="1" x14ac:dyDescent="0.35">
      <c r="A46" s="25"/>
      <c r="B46" s="25"/>
      <c r="C46" s="26"/>
      <c r="D46" s="27"/>
      <c r="E46" s="27"/>
      <c r="F46" s="26"/>
    </row>
    <row r="47" spans="1:6" s="5" customFormat="1" x14ac:dyDescent="0.35">
      <c r="A47" s="25"/>
      <c r="B47" s="25"/>
      <c r="C47" s="26"/>
      <c r="D47" s="27"/>
      <c r="E47" s="27"/>
      <c r="F47" s="26"/>
    </row>
    <row r="48" spans="1:6" s="5" customFormat="1" x14ac:dyDescent="0.35">
      <c r="A48" s="25"/>
      <c r="B48" s="25"/>
      <c r="C48" s="26"/>
      <c r="D48" s="27"/>
      <c r="E48" s="27"/>
      <c r="F48" s="26"/>
    </row>
    <row r="49" spans="1:6" s="5" customFormat="1" x14ac:dyDescent="0.35">
      <c r="A49" s="25"/>
      <c r="B49" s="25"/>
      <c r="C49" s="26"/>
      <c r="D49" s="27"/>
      <c r="E49" s="27"/>
      <c r="F49" s="26"/>
    </row>
    <row r="50" spans="1:6" s="5" customFormat="1" x14ac:dyDescent="0.35">
      <c r="A50" s="25"/>
      <c r="B50" s="25"/>
      <c r="C50" s="26"/>
      <c r="D50" s="27"/>
      <c r="E50" s="27"/>
      <c r="F50" s="26"/>
    </row>
    <row r="51" spans="1:6" s="5" customFormat="1" x14ac:dyDescent="0.35">
      <c r="A51" s="25"/>
      <c r="B51" s="25"/>
      <c r="C51" s="26"/>
      <c r="D51" s="27"/>
      <c r="E51" s="27"/>
      <c r="F51" s="26"/>
    </row>
    <row r="52" spans="1:6" s="5" customFormat="1" x14ac:dyDescent="0.35">
      <c r="A52" s="25"/>
      <c r="B52" s="25"/>
      <c r="C52" s="26"/>
      <c r="D52" s="27"/>
      <c r="E52" s="27"/>
      <c r="F52" s="26"/>
    </row>
    <row r="53" spans="1:6" s="5" customFormat="1" x14ac:dyDescent="0.35">
      <c r="A53" s="25"/>
      <c r="B53" s="25"/>
      <c r="C53" s="26"/>
      <c r="D53" s="27"/>
      <c r="E53" s="27"/>
      <c r="F53" s="26"/>
    </row>
    <row r="54" spans="1:6" s="5" customFormat="1" x14ac:dyDescent="0.35">
      <c r="A54" s="25"/>
      <c r="B54" s="25"/>
      <c r="C54" s="26"/>
      <c r="D54" s="27"/>
      <c r="E54" s="27"/>
      <c r="F54" s="26"/>
    </row>
    <row r="55" spans="1:6" s="5" customFormat="1" x14ac:dyDescent="0.35">
      <c r="A55" s="25"/>
      <c r="B55" s="25"/>
      <c r="C55" s="26"/>
      <c r="D55" s="27"/>
      <c r="E55" s="27"/>
      <c r="F55" s="26"/>
    </row>
    <row r="56" spans="1:6" s="5" customFormat="1" x14ac:dyDescent="0.35">
      <c r="A56" s="25"/>
      <c r="B56" s="25"/>
      <c r="C56" s="26"/>
      <c r="D56" s="27"/>
      <c r="E56" s="27"/>
      <c r="F56" s="26"/>
    </row>
    <row r="57" spans="1:6" s="5" customFormat="1" x14ac:dyDescent="0.35">
      <c r="A57" s="25"/>
      <c r="B57" s="25"/>
      <c r="C57" s="26"/>
      <c r="D57" s="27"/>
      <c r="E57" s="27"/>
      <c r="F57" s="26"/>
    </row>
    <row r="58" spans="1:6" s="5" customFormat="1" x14ac:dyDescent="0.35">
      <c r="A58" s="25"/>
      <c r="B58" s="25"/>
      <c r="C58" s="26"/>
      <c r="D58" s="27"/>
      <c r="E58" s="27"/>
      <c r="F58" s="26"/>
    </row>
    <row r="59" spans="1:6" s="5" customFormat="1" x14ac:dyDescent="0.35">
      <c r="A59" s="25"/>
      <c r="B59" s="25"/>
      <c r="C59" s="26"/>
      <c r="D59" s="27"/>
      <c r="E59" s="27"/>
      <c r="F59" s="26"/>
    </row>
    <row r="60" spans="1:6" s="5" customFormat="1" x14ac:dyDescent="0.35">
      <c r="A60" s="25"/>
      <c r="B60" s="25"/>
      <c r="C60" s="26"/>
      <c r="D60" s="27"/>
      <c r="E60" s="27"/>
      <c r="F60" s="26"/>
    </row>
    <row r="61" spans="1:6" s="5" customFormat="1" x14ac:dyDescent="0.35">
      <c r="A61" s="25"/>
      <c r="B61" s="25"/>
      <c r="C61" s="26"/>
      <c r="D61" s="27"/>
      <c r="E61" s="27"/>
      <c r="F61" s="26"/>
    </row>
    <row r="62" spans="1:6" s="5" customFormat="1" x14ac:dyDescent="0.35">
      <c r="A62" s="25"/>
      <c r="B62" s="25"/>
      <c r="C62" s="26"/>
      <c r="D62" s="27"/>
      <c r="E62" s="27"/>
      <c r="F62" s="26"/>
    </row>
    <row r="63" spans="1:6" s="5" customFormat="1" x14ac:dyDescent="0.35">
      <c r="A63" s="25"/>
      <c r="B63" s="25"/>
      <c r="C63" s="26"/>
      <c r="D63" s="27"/>
      <c r="E63" s="27"/>
      <c r="F63" s="26"/>
    </row>
    <row r="64" spans="1:6" s="5" customFormat="1" x14ac:dyDescent="0.35">
      <c r="A64" s="25"/>
      <c r="B64" s="25"/>
      <c r="C64" s="26"/>
      <c r="D64" s="27"/>
      <c r="E64" s="27"/>
      <c r="F64" s="26"/>
    </row>
    <row r="65" spans="1:6" s="5" customFormat="1" x14ac:dyDescent="0.35">
      <c r="A65" s="25"/>
      <c r="B65" s="25"/>
      <c r="C65" s="26"/>
      <c r="D65" s="27"/>
      <c r="E65" s="27"/>
      <c r="F65" s="26"/>
    </row>
    <row r="66" spans="1:6" s="5" customFormat="1" x14ac:dyDescent="0.35">
      <c r="A66" s="25"/>
      <c r="B66" s="25"/>
      <c r="C66" s="26"/>
      <c r="D66" s="27"/>
      <c r="E66" s="27"/>
      <c r="F66" s="26"/>
    </row>
    <row r="67" spans="1:6" s="5" customFormat="1" x14ac:dyDescent="0.35">
      <c r="A67" s="25"/>
      <c r="B67" s="25"/>
      <c r="C67" s="26"/>
      <c r="D67" s="27"/>
      <c r="E67" s="27"/>
      <c r="F67" s="26"/>
    </row>
    <row r="68" spans="1:6" s="5" customFormat="1" x14ac:dyDescent="0.35">
      <c r="A68" s="25"/>
      <c r="B68" s="25"/>
      <c r="C68" s="26"/>
      <c r="D68" s="27"/>
      <c r="E68" s="27"/>
      <c r="F68" s="26"/>
    </row>
    <row r="69" spans="1:6" s="5" customFormat="1" x14ac:dyDescent="0.35">
      <c r="A69" s="25"/>
      <c r="B69" s="25"/>
      <c r="C69" s="26"/>
      <c r="D69" s="27"/>
      <c r="E69" s="27"/>
      <c r="F69" s="26"/>
    </row>
    <row r="70" spans="1:6" s="5" customFormat="1" x14ac:dyDescent="0.35">
      <c r="A70" s="25"/>
      <c r="B70" s="25"/>
      <c r="C70" s="26"/>
      <c r="D70" s="27"/>
      <c r="E70" s="27"/>
      <c r="F70" s="26"/>
    </row>
    <row r="71" spans="1:6" s="5" customFormat="1" x14ac:dyDescent="0.35">
      <c r="A71" s="25"/>
      <c r="B71" s="25"/>
      <c r="C71" s="26"/>
      <c r="D71" s="27"/>
      <c r="E71" s="27"/>
      <c r="F71" s="26"/>
    </row>
    <row r="72" spans="1:6" s="5" customFormat="1" x14ac:dyDescent="0.35">
      <c r="A72" s="25"/>
      <c r="B72" s="25"/>
      <c r="C72" s="26"/>
      <c r="D72" s="27"/>
      <c r="E72" s="27"/>
      <c r="F72" s="26"/>
    </row>
    <row r="73" spans="1:6" s="5" customFormat="1" x14ac:dyDescent="0.35">
      <c r="A73" s="25"/>
      <c r="B73" s="25"/>
      <c r="C73" s="26"/>
      <c r="D73" s="27"/>
      <c r="E73" s="27"/>
      <c r="F73" s="26"/>
    </row>
    <row r="74" spans="1:6" s="5" customFormat="1" x14ac:dyDescent="0.35">
      <c r="A74" s="25"/>
      <c r="B74" s="25"/>
      <c r="C74" s="26"/>
      <c r="D74" s="27"/>
      <c r="E74" s="27"/>
      <c r="F74" s="26"/>
    </row>
    <row r="75" spans="1:6" s="5" customFormat="1" x14ac:dyDescent="0.35">
      <c r="A75" s="25"/>
      <c r="B75" s="25"/>
      <c r="C75" s="26"/>
      <c r="D75" s="27"/>
      <c r="E75" s="27"/>
      <c r="F75" s="26"/>
    </row>
    <row r="76" spans="1:6" s="5" customFormat="1" x14ac:dyDescent="0.35">
      <c r="A76" s="25"/>
      <c r="B76" s="25"/>
      <c r="C76" s="26"/>
      <c r="D76" s="27"/>
      <c r="E76" s="27"/>
      <c r="F76" s="26"/>
    </row>
    <row r="77" spans="1:6" s="5" customFormat="1" x14ac:dyDescent="0.35">
      <c r="A77" s="25"/>
      <c r="B77" s="25"/>
      <c r="C77" s="26"/>
      <c r="D77" s="27"/>
      <c r="E77" s="27"/>
      <c r="F77" s="26"/>
    </row>
    <row r="78" spans="1:6" s="5" customFormat="1" x14ac:dyDescent="0.35">
      <c r="A78" s="25"/>
      <c r="B78" s="25"/>
      <c r="C78" s="26"/>
      <c r="D78" s="27"/>
      <c r="E78" s="27"/>
      <c r="F78" s="26"/>
    </row>
    <row r="79" spans="1:6" s="5" customFormat="1" x14ac:dyDescent="0.35">
      <c r="A79" s="25"/>
      <c r="B79" s="25"/>
      <c r="C79" s="26"/>
      <c r="D79" s="27"/>
      <c r="E79" s="27"/>
      <c r="F79" s="26"/>
    </row>
    <row r="80" spans="1:6" s="5" customFormat="1" x14ac:dyDescent="0.35">
      <c r="A80" s="25"/>
      <c r="B80" s="25"/>
      <c r="C80" s="26"/>
      <c r="D80" s="27"/>
      <c r="E80" s="27"/>
      <c r="F80" s="26"/>
    </row>
    <row r="81" spans="1:6" s="5" customFormat="1" x14ac:dyDescent="0.35">
      <c r="A81" s="25"/>
      <c r="B81" s="25"/>
      <c r="C81" s="26"/>
      <c r="D81" s="27"/>
      <c r="E81" s="27"/>
      <c r="F81" s="26"/>
    </row>
    <row r="82" spans="1:6" s="5" customFormat="1" x14ac:dyDescent="0.35">
      <c r="A82" s="25"/>
      <c r="B82" s="25"/>
      <c r="C82" s="26"/>
      <c r="D82" s="27"/>
      <c r="E82" s="27"/>
      <c r="F82" s="26"/>
    </row>
    <row r="83" spans="1:6" s="5" customFormat="1" x14ac:dyDescent="0.35">
      <c r="A83" s="25"/>
      <c r="B83" s="25"/>
      <c r="C83" s="26"/>
      <c r="D83" s="27"/>
      <c r="E83" s="27"/>
      <c r="F83" s="26"/>
    </row>
    <row r="84" spans="1:6" s="5" customFormat="1" x14ac:dyDescent="0.35">
      <c r="A84" s="25"/>
      <c r="B84" s="25"/>
      <c r="C84" s="26"/>
      <c r="D84" s="27"/>
      <c r="E84" s="27"/>
      <c r="F84" s="26"/>
    </row>
    <row r="85" spans="1:6" s="5" customFormat="1" x14ac:dyDescent="0.35">
      <c r="A85" s="25"/>
      <c r="B85" s="25"/>
      <c r="C85" s="26"/>
      <c r="D85" s="27"/>
      <c r="E85" s="27"/>
      <c r="F85" s="26"/>
    </row>
    <row r="86" spans="1:6" s="5" customFormat="1" x14ac:dyDescent="0.35">
      <c r="A86" s="25"/>
      <c r="B86" s="25"/>
      <c r="C86" s="26"/>
      <c r="D86" s="27"/>
      <c r="E86" s="27"/>
      <c r="F86" s="26"/>
    </row>
    <row r="87" spans="1:6" s="5" customFormat="1" x14ac:dyDescent="0.35">
      <c r="A87" s="25"/>
      <c r="B87" s="25"/>
      <c r="C87" s="26"/>
      <c r="D87" s="27"/>
      <c r="E87" s="27"/>
      <c r="F87" s="26"/>
    </row>
    <row r="88" spans="1:6" s="5" customFormat="1" x14ac:dyDescent="0.35">
      <c r="A88" s="25"/>
      <c r="B88" s="25"/>
      <c r="C88" s="26"/>
      <c r="D88" s="27"/>
      <c r="E88" s="27"/>
      <c r="F88" s="26"/>
    </row>
    <row r="89" spans="1:6" s="5" customFormat="1" x14ac:dyDescent="0.35">
      <c r="A89" s="25"/>
      <c r="B89" s="25"/>
      <c r="C89" s="26"/>
      <c r="D89" s="27"/>
      <c r="E89" s="27"/>
      <c r="F89" s="26"/>
    </row>
    <row r="90" spans="1:6" s="5" customFormat="1" x14ac:dyDescent="0.35">
      <c r="A90" s="25"/>
      <c r="B90" s="25"/>
      <c r="C90" s="26"/>
      <c r="D90" s="27"/>
      <c r="E90" s="27"/>
      <c r="F90" s="26"/>
    </row>
    <row r="91" spans="1:6" s="5" customFormat="1" x14ac:dyDescent="0.35">
      <c r="A91" s="25"/>
      <c r="B91" s="25"/>
      <c r="C91" s="26"/>
      <c r="D91" s="27"/>
      <c r="E91" s="27"/>
      <c r="F91" s="26"/>
    </row>
    <row r="92" spans="1:6" s="5" customFormat="1" x14ac:dyDescent="0.35">
      <c r="A92" s="25"/>
      <c r="B92" s="25"/>
      <c r="C92" s="26"/>
      <c r="D92" s="27"/>
      <c r="E92" s="27"/>
      <c r="F92" s="26"/>
    </row>
    <row r="93" spans="1:6" s="5" customFormat="1" x14ac:dyDescent="0.35">
      <c r="A93" s="25"/>
      <c r="B93" s="25"/>
      <c r="C93" s="26"/>
      <c r="D93" s="27"/>
      <c r="E93" s="27"/>
      <c r="F93" s="26"/>
    </row>
    <row r="94" spans="1:6" s="5" customFormat="1" x14ac:dyDescent="0.35">
      <c r="A94" s="25"/>
      <c r="B94" s="25"/>
      <c r="C94" s="26"/>
      <c r="D94" s="27"/>
      <c r="E94" s="27"/>
      <c r="F94" s="26"/>
    </row>
    <row r="95" spans="1:6" s="5" customFormat="1" x14ac:dyDescent="0.35">
      <c r="A95" s="25"/>
      <c r="B95" s="25"/>
      <c r="C95" s="26"/>
      <c r="D95" s="27"/>
      <c r="E95" s="27"/>
      <c r="F95" s="26"/>
    </row>
    <row r="96" spans="1:6" s="5" customFormat="1" x14ac:dyDescent="0.35">
      <c r="A96" s="25"/>
      <c r="B96" s="25"/>
      <c r="C96" s="26"/>
      <c r="D96" s="27"/>
      <c r="E96" s="27"/>
      <c r="F96" s="26"/>
    </row>
    <row r="97" spans="1:6" s="5" customFormat="1" x14ac:dyDescent="0.35">
      <c r="A97" s="25"/>
      <c r="B97" s="25"/>
      <c r="C97" s="26"/>
      <c r="D97" s="27"/>
      <c r="E97" s="27"/>
      <c r="F97" s="26"/>
    </row>
    <row r="98" spans="1:6" s="5" customFormat="1" x14ac:dyDescent="0.35">
      <c r="A98" s="25"/>
      <c r="B98" s="25"/>
      <c r="C98" s="26"/>
      <c r="D98" s="27"/>
      <c r="E98" s="27"/>
      <c r="F98" s="26"/>
    </row>
    <row r="99" spans="1:6" s="5" customFormat="1" x14ac:dyDescent="0.35">
      <c r="A99" s="25"/>
      <c r="B99" s="25"/>
      <c r="C99" s="26"/>
      <c r="D99" s="27"/>
      <c r="E99" s="27"/>
      <c r="F99" s="26"/>
    </row>
    <row r="100" spans="1:6" s="5" customFormat="1" x14ac:dyDescent="0.35">
      <c r="A100" s="25"/>
      <c r="B100" s="25"/>
      <c r="C100" s="26"/>
      <c r="D100" s="27"/>
      <c r="E100" s="27"/>
      <c r="F100" s="26"/>
    </row>
    <row r="101" spans="1:6" s="5" customFormat="1" x14ac:dyDescent="0.35">
      <c r="A101" s="25"/>
      <c r="B101" s="25"/>
      <c r="C101" s="26"/>
      <c r="D101" s="27"/>
      <c r="E101" s="27"/>
      <c r="F101" s="26"/>
    </row>
    <row r="102" spans="1:6" s="5" customFormat="1" x14ac:dyDescent="0.35">
      <c r="A102" s="25"/>
      <c r="B102" s="25"/>
      <c r="C102" s="26"/>
      <c r="D102" s="27"/>
      <c r="E102" s="27"/>
      <c r="F102" s="26"/>
    </row>
    <row r="103" spans="1:6" s="5" customFormat="1" x14ac:dyDescent="0.35">
      <c r="A103" s="25"/>
      <c r="B103" s="25"/>
      <c r="C103" s="26"/>
      <c r="D103" s="27"/>
      <c r="E103" s="27"/>
      <c r="F103" s="26"/>
    </row>
    <row r="104" spans="1:6" s="5" customFormat="1" x14ac:dyDescent="0.35">
      <c r="A104" s="25"/>
      <c r="B104" s="25"/>
      <c r="C104" s="26"/>
      <c r="D104" s="27"/>
      <c r="E104" s="27"/>
      <c r="F104" s="26"/>
    </row>
    <row r="105" spans="1:6" s="5" customFormat="1" x14ac:dyDescent="0.35">
      <c r="A105" s="25"/>
      <c r="B105" s="25"/>
      <c r="C105" s="26"/>
      <c r="D105" s="27"/>
      <c r="E105" s="27"/>
      <c r="F105" s="26"/>
    </row>
    <row r="106" spans="1:6" s="5" customFormat="1" x14ac:dyDescent="0.35">
      <c r="A106" s="25"/>
      <c r="B106" s="25"/>
      <c r="C106" s="26"/>
      <c r="D106" s="27"/>
      <c r="E106" s="27"/>
      <c r="F106" s="26"/>
    </row>
    <row r="107" spans="1:6" s="5" customFormat="1" x14ac:dyDescent="0.35">
      <c r="A107" s="25"/>
      <c r="B107" s="25"/>
      <c r="C107" s="26"/>
      <c r="D107" s="27"/>
      <c r="E107" s="27"/>
      <c r="F107" s="26"/>
    </row>
    <row r="108" spans="1:6" s="5" customFormat="1" x14ac:dyDescent="0.35">
      <c r="A108" s="25"/>
      <c r="B108" s="25"/>
      <c r="C108" s="26"/>
      <c r="D108" s="27"/>
      <c r="E108" s="27"/>
      <c r="F108" s="26"/>
    </row>
    <row r="109" spans="1:6" s="5" customFormat="1" x14ac:dyDescent="0.35">
      <c r="A109" s="25"/>
      <c r="B109" s="25"/>
      <c r="C109" s="26"/>
      <c r="D109" s="27"/>
      <c r="E109" s="27"/>
      <c r="F109" s="26"/>
    </row>
    <row r="110" spans="1:6" s="5" customFormat="1" x14ac:dyDescent="0.35">
      <c r="A110" s="25"/>
      <c r="B110" s="25"/>
      <c r="C110" s="26"/>
      <c r="D110" s="27"/>
      <c r="E110" s="27"/>
      <c r="F110" s="26"/>
    </row>
    <row r="111" spans="1:6" s="5" customFormat="1" x14ac:dyDescent="0.35">
      <c r="A111" s="25"/>
      <c r="B111" s="25"/>
      <c r="C111" s="26"/>
      <c r="D111" s="27"/>
      <c r="E111" s="27"/>
      <c r="F111" s="26"/>
    </row>
    <row r="112" spans="1:6" s="5" customFormat="1" x14ac:dyDescent="0.35">
      <c r="A112" s="25"/>
      <c r="B112" s="25"/>
      <c r="C112" s="26"/>
      <c r="D112" s="27"/>
      <c r="E112" s="27"/>
      <c r="F112" s="26"/>
    </row>
    <row r="113" spans="1:6" s="5" customFormat="1" x14ac:dyDescent="0.35">
      <c r="A113" s="25"/>
      <c r="B113" s="25"/>
      <c r="C113" s="26"/>
      <c r="D113" s="27"/>
      <c r="E113" s="27"/>
      <c r="F113" s="26"/>
    </row>
    <row r="114" spans="1:6" s="5" customFormat="1" x14ac:dyDescent="0.35">
      <c r="A114" s="25"/>
      <c r="B114" s="25"/>
      <c r="C114" s="26"/>
      <c r="D114" s="27"/>
      <c r="E114" s="27"/>
      <c r="F114" s="26"/>
    </row>
    <row r="115" spans="1:6" s="5" customFormat="1" x14ac:dyDescent="0.35">
      <c r="A115" s="25"/>
      <c r="B115" s="25"/>
      <c r="C115" s="26"/>
      <c r="D115" s="27"/>
      <c r="E115" s="27"/>
      <c r="F115" s="26"/>
    </row>
    <row r="116" spans="1:6" x14ac:dyDescent="0.35">
      <c r="A116" s="25"/>
      <c r="B116" s="25"/>
      <c r="C116" s="26"/>
      <c r="D116" s="27"/>
      <c r="E116" s="27"/>
      <c r="F116" s="26"/>
    </row>
    <row r="117" spans="1:6" x14ac:dyDescent="0.35">
      <c r="A117" s="25"/>
      <c r="B117" s="25"/>
      <c r="C117" s="26"/>
      <c r="D117" s="27"/>
      <c r="E117" s="27"/>
      <c r="F117" s="26"/>
    </row>
    <row r="118" spans="1:6" x14ac:dyDescent="0.35">
      <c r="A118" s="25"/>
      <c r="B118" s="25"/>
      <c r="C118" s="26"/>
      <c r="D118" s="27"/>
      <c r="E118" s="27"/>
      <c r="F118" s="26"/>
    </row>
    <row r="119" spans="1:6" x14ac:dyDescent="0.35">
      <c r="A119" s="25"/>
      <c r="B119" s="25"/>
      <c r="C119" s="26"/>
      <c r="D119" s="27"/>
      <c r="E119" s="27"/>
      <c r="F119" s="26"/>
    </row>
    <row r="120" spans="1:6" x14ac:dyDescent="0.35">
      <c r="A120" s="25"/>
      <c r="B120" s="25"/>
      <c r="C120" s="26"/>
      <c r="D120" s="27"/>
      <c r="E120" s="27"/>
      <c r="F120" s="26"/>
    </row>
    <row r="121" spans="1:6" x14ac:dyDescent="0.35">
      <c r="A121" s="25"/>
      <c r="B121" s="25"/>
      <c r="C121" s="26"/>
      <c r="D121" s="27"/>
      <c r="E121" s="27"/>
      <c r="F121" s="26"/>
    </row>
    <row r="122" spans="1:6" x14ac:dyDescent="0.35">
      <c r="A122" s="25"/>
      <c r="B122" s="25"/>
      <c r="C122" s="26"/>
      <c r="D122" s="27"/>
      <c r="E122" s="27"/>
      <c r="F122" s="26"/>
    </row>
    <row r="123" spans="1:6" x14ac:dyDescent="0.35">
      <c r="A123" s="25"/>
      <c r="B123" s="25"/>
      <c r="C123" s="26"/>
      <c r="D123" s="27"/>
      <c r="E123" s="27"/>
      <c r="F123" s="26"/>
    </row>
    <row r="124" spans="1:6" x14ac:dyDescent="0.35">
      <c r="A124" s="25"/>
      <c r="B124" s="25"/>
      <c r="C124" s="26"/>
      <c r="D124" s="27"/>
      <c r="E124" s="27"/>
      <c r="F124" s="26"/>
    </row>
    <row r="125" spans="1:6" x14ac:dyDescent="0.35">
      <c r="A125" s="25"/>
      <c r="B125" s="25"/>
      <c r="C125" s="26"/>
      <c r="D125" s="27"/>
      <c r="E125" s="27"/>
      <c r="F125" s="26"/>
    </row>
    <row r="126" spans="1:6" x14ac:dyDescent="0.35">
      <c r="A126" s="25"/>
      <c r="B126" s="25"/>
      <c r="C126" s="26"/>
      <c r="D126" s="27"/>
      <c r="E126" s="27"/>
      <c r="F126" s="26"/>
    </row>
    <row r="127" spans="1:6" x14ac:dyDescent="0.35">
      <c r="A127" s="25"/>
      <c r="B127" s="25"/>
      <c r="C127" s="26"/>
      <c r="D127" s="27"/>
      <c r="E127" s="27"/>
      <c r="F127" s="26"/>
    </row>
    <row r="128" spans="1:6" x14ac:dyDescent="0.35">
      <c r="A128" s="25"/>
      <c r="B128" s="25"/>
      <c r="C128" s="26"/>
      <c r="D128" s="27"/>
      <c r="E128" s="27"/>
      <c r="F128" s="26"/>
    </row>
    <row r="129" spans="1:6" x14ac:dyDescent="0.35">
      <c r="A129" s="25"/>
      <c r="B129" s="25"/>
      <c r="C129" s="26"/>
      <c r="D129" s="27"/>
      <c r="E129" s="27"/>
      <c r="F129" s="26"/>
    </row>
    <row r="130" spans="1:6" x14ac:dyDescent="0.35">
      <c r="A130" s="25"/>
      <c r="B130" s="25"/>
      <c r="C130" s="26"/>
      <c r="D130" s="27"/>
      <c r="E130" s="27"/>
      <c r="F130" s="26"/>
    </row>
    <row r="131" spans="1:6" x14ac:dyDescent="0.35">
      <c r="A131" s="25"/>
      <c r="B131" s="25"/>
      <c r="C131" s="26"/>
      <c r="D131" s="27"/>
      <c r="E131" s="27"/>
      <c r="F131" s="26"/>
    </row>
    <row r="132" spans="1:6" x14ac:dyDescent="0.35">
      <c r="A132" s="25"/>
      <c r="B132" s="25"/>
      <c r="C132" s="26"/>
      <c r="D132" s="27"/>
      <c r="E132" s="27"/>
      <c r="F132" s="26"/>
    </row>
    <row r="133" spans="1:6" x14ac:dyDescent="0.35">
      <c r="A133" s="25"/>
      <c r="B133" s="25"/>
      <c r="C133" s="26"/>
      <c r="D133" s="27"/>
      <c r="E133" s="27"/>
      <c r="F133" s="26"/>
    </row>
    <row r="134" spans="1:6" x14ac:dyDescent="0.35">
      <c r="A134" s="25"/>
      <c r="B134" s="25"/>
      <c r="C134" s="26"/>
      <c r="D134" s="27"/>
      <c r="E134" s="27"/>
      <c r="F134" s="26"/>
    </row>
    <row r="135" spans="1:6" x14ac:dyDescent="0.35">
      <c r="A135" s="25"/>
      <c r="B135" s="25"/>
      <c r="C135" s="26"/>
      <c r="D135" s="27"/>
      <c r="E135" s="27"/>
      <c r="F135" s="26"/>
    </row>
    <row r="136" spans="1:6" x14ac:dyDescent="0.35">
      <c r="A136" s="25"/>
      <c r="B136" s="25"/>
      <c r="C136" s="26"/>
      <c r="D136" s="27"/>
      <c r="E136" s="27"/>
      <c r="F136" s="26"/>
    </row>
    <row r="137" spans="1:6" x14ac:dyDescent="0.35">
      <c r="A137" s="25"/>
      <c r="B137" s="25"/>
      <c r="C137" s="26"/>
      <c r="D137" s="27"/>
      <c r="E137" s="27"/>
      <c r="F137" s="26"/>
    </row>
    <row r="138" spans="1:6" x14ac:dyDescent="0.35">
      <c r="A138" s="25"/>
      <c r="B138" s="25"/>
      <c r="C138" s="26"/>
      <c r="D138" s="27"/>
      <c r="E138" s="27"/>
      <c r="F138" s="26"/>
    </row>
    <row r="139" spans="1:6" x14ac:dyDescent="0.35">
      <c r="A139" s="25"/>
      <c r="B139" s="25"/>
      <c r="C139" s="26"/>
      <c r="D139" s="27"/>
      <c r="E139" s="27"/>
      <c r="F139" s="26"/>
    </row>
    <row r="140" spans="1:6" x14ac:dyDescent="0.35">
      <c r="A140" s="25"/>
      <c r="B140" s="25"/>
      <c r="C140" s="26"/>
      <c r="D140" s="27"/>
      <c r="E140" s="27"/>
      <c r="F140" s="26"/>
    </row>
    <row r="141" spans="1:6" x14ac:dyDescent="0.35">
      <c r="A141" s="25"/>
      <c r="B141" s="25"/>
      <c r="C141" s="26"/>
      <c r="D141" s="27"/>
      <c r="E141" s="27"/>
      <c r="F141" s="26"/>
    </row>
    <row r="142" spans="1:6" x14ac:dyDescent="0.35">
      <c r="A142" s="25"/>
      <c r="B142" s="25"/>
      <c r="C142" s="26"/>
      <c r="D142" s="27"/>
      <c r="E142" s="27"/>
      <c r="F142" s="26"/>
    </row>
    <row r="143" spans="1:6" x14ac:dyDescent="0.35">
      <c r="A143" s="25"/>
      <c r="B143" s="25"/>
      <c r="C143" s="26"/>
      <c r="D143" s="27"/>
      <c r="E143" s="27"/>
      <c r="F143" s="26"/>
    </row>
    <row r="144" spans="1:6" x14ac:dyDescent="0.35">
      <c r="A144" s="25"/>
      <c r="B144" s="25"/>
      <c r="C144" s="26"/>
      <c r="D144" s="27"/>
      <c r="E144" s="27"/>
      <c r="F144" s="26"/>
    </row>
    <row r="145" spans="1:6" x14ac:dyDescent="0.35">
      <c r="A145" s="25"/>
      <c r="B145" s="25"/>
      <c r="C145" s="26"/>
      <c r="D145" s="27"/>
      <c r="E145" s="27"/>
      <c r="F145" s="26"/>
    </row>
    <row r="146" spans="1:6" x14ac:dyDescent="0.35">
      <c r="A146" s="25"/>
      <c r="B146" s="25"/>
      <c r="C146" s="26"/>
      <c r="D146" s="27"/>
      <c r="E146" s="27"/>
      <c r="F146" s="26"/>
    </row>
    <row r="147" spans="1:6" x14ac:dyDescent="0.35">
      <c r="A147" s="25"/>
      <c r="B147" s="25"/>
      <c r="C147" s="26"/>
      <c r="D147" s="27"/>
      <c r="E147" s="27"/>
      <c r="F147" s="26"/>
    </row>
    <row r="148" spans="1:6" x14ac:dyDescent="0.35">
      <c r="A148" s="25"/>
      <c r="B148" s="25"/>
      <c r="C148" s="26"/>
      <c r="D148" s="27"/>
      <c r="E148" s="27"/>
      <c r="F148" s="26"/>
    </row>
    <row r="149" spans="1:6" x14ac:dyDescent="0.35">
      <c r="A149" s="25"/>
      <c r="B149" s="25"/>
      <c r="C149" s="26"/>
      <c r="D149" s="27"/>
      <c r="E149" s="27"/>
      <c r="F149" s="26"/>
    </row>
    <row r="150" spans="1:6" x14ac:dyDescent="0.35">
      <c r="A150" s="25"/>
      <c r="B150" s="25"/>
      <c r="C150" s="26"/>
      <c r="D150" s="27"/>
      <c r="E150" s="27"/>
      <c r="F150" s="26"/>
    </row>
    <row r="151" spans="1:6" x14ac:dyDescent="0.35">
      <c r="A151" s="25"/>
      <c r="B151" s="25"/>
      <c r="C151" s="26"/>
      <c r="D151" s="27"/>
      <c r="E151" s="27"/>
      <c r="F151" s="26"/>
    </row>
    <row r="152" spans="1:6" x14ac:dyDescent="0.35">
      <c r="A152" s="25"/>
      <c r="B152" s="25"/>
      <c r="C152" s="26"/>
      <c r="D152" s="27"/>
      <c r="E152" s="27"/>
      <c r="F152" s="26"/>
    </row>
    <row r="153" spans="1:6" x14ac:dyDescent="0.35">
      <c r="A153" s="25"/>
      <c r="B153" s="25"/>
      <c r="C153" s="26"/>
      <c r="D153" s="27"/>
      <c r="E153" s="27"/>
      <c r="F153" s="26"/>
    </row>
    <row r="154" spans="1:6" x14ac:dyDescent="0.35">
      <c r="A154" s="25"/>
      <c r="B154" s="25"/>
      <c r="C154" s="26"/>
      <c r="D154" s="27"/>
      <c r="E154" s="27"/>
      <c r="F154" s="26"/>
    </row>
    <row r="155" spans="1:6" x14ac:dyDescent="0.35">
      <c r="A155" s="25"/>
      <c r="B155" s="25"/>
      <c r="C155" s="26"/>
      <c r="D155" s="27"/>
      <c r="E155" s="27"/>
      <c r="F155" s="26"/>
    </row>
    <row r="156" spans="1:6" x14ac:dyDescent="0.35">
      <c r="A156" s="25"/>
      <c r="B156" s="25"/>
      <c r="C156" s="26"/>
      <c r="D156" s="27"/>
      <c r="E156" s="27"/>
      <c r="F156" s="26"/>
    </row>
    <row r="157" spans="1:6" x14ac:dyDescent="0.35">
      <c r="A157" s="25"/>
      <c r="B157" s="25"/>
      <c r="C157" s="26"/>
      <c r="D157" s="27"/>
      <c r="E157" s="27"/>
      <c r="F157" s="26"/>
    </row>
    <row r="158" spans="1:6" x14ac:dyDescent="0.35">
      <c r="A158" s="25"/>
      <c r="B158" s="25"/>
      <c r="C158" s="26"/>
      <c r="D158" s="27"/>
      <c r="E158" s="27"/>
      <c r="F158" s="26"/>
    </row>
    <row r="159" spans="1:6" x14ac:dyDescent="0.35">
      <c r="A159" s="25"/>
      <c r="B159" s="25"/>
      <c r="C159" s="26"/>
      <c r="D159" s="27"/>
      <c r="E159" s="27"/>
      <c r="F159" s="26"/>
    </row>
    <row r="160" spans="1:6" x14ac:dyDescent="0.35">
      <c r="A160" s="25"/>
      <c r="B160" s="25"/>
      <c r="C160" s="26"/>
      <c r="D160" s="27"/>
      <c r="E160" s="27"/>
      <c r="F160" s="26"/>
    </row>
    <row r="161" spans="1:6" x14ac:dyDescent="0.35">
      <c r="A161" s="25"/>
      <c r="B161" s="25"/>
      <c r="C161" s="26"/>
      <c r="D161" s="27"/>
      <c r="E161" s="27"/>
      <c r="F161" s="26"/>
    </row>
    <row r="162" spans="1:6" x14ac:dyDescent="0.35">
      <c r="A162" s="25"/>
      <c r="B162" s="25"/>
      <c r="C162" s="26"/>
      <c r="D162" s="27"/>
      <c r="E162" s="27"/>
      <c r="F162" s="26"/>
    </row>
    <row r="163" spans="1:6" x14ac:dyDescent="0.35">
      <c r="A163" s="25"/>
      <c r="B163" s="25"/>
      <c r="C163" s="26"/>
      <c r="D163" s="27"/>
      <c r="E163" s="27"/>
      <c r="F163" s="26"/>
    </row>
    <row r="164" spans="1:6" x14ac:dyDescent="0.35">
      <c r="A164" s="25"/>
      <c r="B164" s="25"/>
      <c r="C164" s="26"/>
      <c r="D164" s="27"/>
      <c r="E164" s="27"/>
      <c r="F164" s="26"/>
    </row>
    <row r="165" spans="1:6" x14ac:dyDescent="0.35">
      <c r="A165" s="25"/>
      <c r="B165" s="25"/>
      <c r="C165" s="26"/>
      <c r="D165" s="27"/>
      <c r="E165" s="27"/>
      <c r="F165" s="26"/>
    </row>
    <row r="166" spans="1:6" x14ac:dyDescent="0.35">
      <c r="A166" s="25"/>
      <c r="B166" s="25"/>
      <c r="C166" s="26"/>
      <c r="D166" s="27"/>
      <c r="E166" s="27"/>
      <c r="F166" s="26"/>
    </row>
    <row r="167" spans="1:6" x14ac:dyDescent="0.35">
      <c r="A167" s="25"/>
      <c r="B167" s="25"/>
      <c r="C167" s="26"/>
      <c r="D167" s="27"/>
      <c r="E167" s="27"/>
      <c r="F167" s="26"/>
    </row>
    <row r="168" spans="1:6" x14ac:dyDescent="0.35">
      <c r="A168" s="25"/>
      <c r="B168" s="25"/>
      <c r="C168" s="26"/>
      <c r="D168" s="27"/>
      <c r="E168" s="27"/>
      <c r="F168" s="26"/>
    </row>
    <row r="169" spans="1:6" x14ac:dyDescent="0.35">
      <c r="A169" s="25"/>
      <c r="B169" s="25"/>
      <c r="C169" s="26"/>
      <c r="D169" s="27"/>
      <c r="E169" s="27"/>
      <c r="F169" s="26"/>
    </row>
    <row r="170" spans="1:6" x14ac:dyDescent="0.35">
      <c r="A170" s="25"/>
      <c r="B170" s="25"/>
      <c r="C170" s="26"/>
      <c r="D170" s="27"/>
      <c r="E170" s="27"/>
      <c r="F170" s="26"/>
    </row>
    <row r="171" spans="1:6" x14ac:dyDescent="0.35">
      <c r="A171" s="25"/>
      <c r="B171" s="25"/>
      <c r="C171" s="26"/>
      <c r="D171" s="27"/>
      <c r="E171" s="27"/>
      <c r="F171" s="26"/>
    </row>
    <row r="172" spans="1:6" x14ac:dyDescent="0.35">
      <c r="A172" s="25"/>
      <c r="B172" s="25"/>
      <c r="C172" s="26"/>
      <c r="D172" s="27"/>
      <c r="E172" s="27"/>
      <c r="F172" s="26"/>
    </row>
    <row r="173" spans="1:6" x14ac:dyDescent="0.35">
      <c r="A173" s="25"/>
      <c r="B173" s="25"/>
      <c r="C173" s="26"/>
      <c r="D173" s="27"/>
      <c r="E173" s="27"/>
      <c r="F173" s="26"/>
    </row>
    <row r="174" spans="1:6" x14ac:dyDescent="0.35">
      <c r="A174" s="25"/>
      <c r="B174" s="25"/>
      <c r="C174" s="26"/>
      <c r="D174" s="27"/>
      <c r="E174" s="27"/>
      <c r="F174" s="26"/>
    </row>
    <row r="175" spans="1:6" x14ac:dyDescent="0.35">
      <c r="A175" s="25"/>
      <c r="B175" s="25"/>
      <c r="C175" s="26"/>
      <c r="D175" s="27"/>
      <c r="E175" s="27"/>
      <c r="F175" s="26"/>
    </row>
    <row r="176" spans="1:6" x14ac:dyDescent="0.35">
      <c r="A176" s="25"/>
      <c r="B176" s="25"/>
      <c r="C176" s="26"/>
      <c r="D176" s="27"/>
      <c r="E176" s="27"/>
      <c r="F176" s="26"/>
    </row>
    <row r="177" spans="1:6" x14ac:dyDescent="0.35">
      <c r="A177" s="25"/>
      <c r="B177" s="25"/>
      <c r="C177" s="26"/>
      <c r="D177" s="27"/>
      <c r="E177" s="27"/>
      <c r="F177" s="26"/>
    </row>
    <row r="178" spans="1:6" x14ac:dyDescent="0.35">
      <c r="A178" s="25"/>
      <c r="B178" s="25"/>
      <c r="C178" s="26"/>
      <c r="D178" s="27"/>
      <c r="E178" s="27"/>
      <c r="F178" s="26"/>
    </row>
  </sheetData>
  <autoFilter ref="A2:F87" xr:uid="{8E28860C-F965-40C0-9C49-A8B021D34924}">
    <sortState xmlns:xlrd2="http://schemas.microsoft.com/office/spreadsheetml/2017/richdata2" ref="A3:F87">
      <sortCondition ref="A2:A87"/>
    </sortState>
  </autoFilter>
  <mergeCells count="1">
    <mergeCell ref="A1:F1"/>
  </mergeCells>
  <conditionalFormatting sqref="A3:F178">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262"/>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35" t="str">
        <f>"Daily closure report: "&amp;'Front page'!A10</f>
        <v>Daily closure report: Tuesday, 1 September</v>
      </c>
      <c r="B1" s="35"/>
      <c r="C1" s="35"/>
      <c r="D1" s="35"/>
      <c r="E1" s="35"/>
      <c r="F1" s="35"/>
    </row>
    <row r="2" spans="1:6" s="5" customFormat="1" ht="28" x14ac:dyDescent="0.35">
      <c r="A2" s="12" t="s">
        <v>9</v>
      </c>
      <c r="B2" s="12" t="s">
        <v>1</v>
      </c>
      <c r="C2" s="12" t="s">
        <v>0</v>
      </c>
      <c r="D2" s="11" t="s">
        <v>11</v>
      </c>
      <c r="E2" s="11" t="s">
        <v>12</v>
      </c>
      <c r="F2" s="12" t="s">
        <v>10</v>
      </c>
    </row>
    <row r="3" spans="1:6" s="5" customFormat="1" ht="62" x14ac:dyDescent="0.35">
      <c r="A3" s="25" t="s">
        <v>45</v>
      </c>
      <c r="B3" s="25" t="s">
        <v>6</v>
      </c>
      <c r="C3" s="26" t="s">
        <v>46</v>
      </c>
      <c r="D3" s="27">
        <v>46266.833333333299</v>
      </c>
      <c r="E3" s="27">
        <v>46267.208333333299</v>
      </c>
      <c r="F3" s="26" t="s">
        <v>47</v>
      </c>
    </row>
    <row r="4" spans="1:6" s="5" customFormat="1" ht="77.5" x14ac:dyDescent="0.35">
      <c r="A4" s="25" t="s">
        <v>45</v>
      </c>
      <c r="B4" s="25" t="s">
        <v>23</v>
      </c>
      <c r="C4" s="26" t="s">
        <v>53</v>
      </c>
      <c r="D4" s="27">
        <v>45847.208333333299</v>
      </c>
      <c r="E4" s="27">
        <v>46507.999305555597</v>
      </c>
      <c r="F4" s="26" t="s">
        <v>54</v>
      </c>
    </row>
    <row r="5" spans="1:6" s="5" customFormat="1" ht="77.5" x14ac:dyDescent="0.35">
      <c r="A5" s="25" t="s">
        <v>45</v>
      </c>
      <c r="B5" s="25" t="s">
        <v>6</v>
      </c>
      <c r="C5" s="26" t="s">
        <v>114</v>
      </c>
      <c r="D5" s="27">
        <v>46266.833333333299</v>
      </c>
      <c r="E5" s="27">
        <v>46267.25</v>
      </c>
      <c r="F5" s="26" t="s">
        <v>115</v>
      </c>
    </row>
    <row r="6" spans="1:6" s="5" customFormat="1" ht="77.5" x14ac:dyDescent="0.35">
      <c r="A6" s="25" t="s">
        <v>45</v>
      </c>
      <c r="B6" s="25" t="s">
        <v>6</v>
      </c>
      <c r="C6" s="26" t="s">
        <v>116</v>
      </c>
      <c r="D6" s="27">
        <v>46266.833333333299</v>
      </c>
      <c r="E6" s="27">
        <v>46267.25</v>
      </c>
      <c r="F6" s="26" t="s">
        <v>115</v>
      </c>
    </row>
    <row r="7" spans="1:6" s="5" customFormat="1" ht="62" x14ac:dyDescent="0.35">
      <c r="A7" s="25" t="s">
        <v>45</v>
      </c>
      <c r="B7" s="25" t="s">
        <v>6</v>
      </c>
      <c r="C7" s="26" t="s">
        <v>117</v>
      </c>
      <c r="D7" s="27">
        <v>46266.833333333299</v>
      </c>
      <c r="E7" s="27">
        <v>46267.25</v>
      </c>
      <c r="F7" s="26" t="s">
        <v>115</v>
      </c>
    </row>
    <row r="8" spans="1:6" s="5" customFormat="1" ht="46.5" x14ac:dyDescent="0.35">
      <c r="A8" s="25" t="s">
        <v>45</v>
      </c>
      <c r="B8" s="25" t="s">
        <v>6</v>
      </c>
      <c r="C8" s="26" t="s">
        <v>118</v>
      </c>
      <c r="D8" s="27">
        <v>46266.833333333299</v>
      </c>
      <c r="E8" s="27">
        <v>46267.25</v>
      </c>
      <c r="F8" s="26" t="s">
        <v>115</v>
      </c>
    </row>
    <row r="9" spans="1:6" s="5" customFormat="1" ht="62" x14ac:dyDescent="0.35">
      <c r="A9" s="25" t="s">
        <v>45</v>
      </c>
      <c r="B9" s="25" t="s">
        <v>6</v>
      </c>
      <c r="C9" s="26" t="s">
        <v>119</v>
      </c>
      <c r="D9" s="27">
        <v>46266.833333333299</v>
      </c>
      <c r="E9" s="27">
        <v>46267.25</v>
      </c>
      <c r="F9" s="26" t="s">
        <v>115</v>
      </c>
    </row>
    <row r="10" spans="1:6" s="5" customFormat="1" ht="46.5" x14ac:dyDescent="0.35">
      <c r="A10" s="25" t="s">
        <v>45</v>
      </c>
      <c r="B10" s="25" t="s">
        <v>6</v>
      </c>
      <c r="C10" s="26" t="s">
        <v>120</v>
      </c>
      <c r="D10" s="27">
        <v>46266.833333333299</v>
      </c>
      <c r="E10" s="27">
        <v>46267.25</v>
      </c>
      <c r="F10" s="26" t="s">
        <v>115</v>
      </c>
    </row>
    <row r="11" spans="1:6" s="5" customFormat="1" ht="46.5" x14ac:dyDescent="0.35">
      <c r="A11" s="25" t="s">
        <v>45</v>
      </c>
      <c r="B11" s="25" t="s">
        <v>6</v>
      </c>
      <c r="C11" s="26" t="s">
        <v>121</v>
      </c>
      <c r="D11" s="27">
        <v>46266.833333333299</v>
      </c>
      <c r="E11" s="27">
        <v>46267.25</v>
      </c>
      <c r="F11" s="26" t="s">
        <v>122</v>
      </c>
    </row>
    <row r="12" spans="1:6" s="5" customFormat="1" ht="77.5" x14ac:dyDescent="0.35">
      <c r="A12" s="25" t="s">
        <v>45</v>
      </c>
      <c r="B12" s="25" t="s">
        <v>6</v>
      </c>
      <c r="C12" s="26" t="s">
        <v>123</v>
      </c>
      <c r="D12" s="27">
        <v>46266.833333333299</v>
      </c>
      <c r="E12" s="27">
        <v>46267.25</v>
      </c>
      <c r="F12" s="26" t="s">
        <v>122</v>
      </c>
    </row>
    <row r="13" spans="1:6" s="5" customFormat="1" ht="77.5" x14ac:dyDescent="0.35">
      <c r="A13" s="25" t="s">
        <v>45</v>
      </c>
      <c r="B13" s="25" t="s">
        <v>6</v>
      </c>
      <c r="C13" s="26" t="s">
        <v>124</v>
      </c>
      <c r="D13" s="27">
        <v>46266.833333333299</v>
      </c>
      <c r="E13" s="27">
        <v>46267.25</v>
      </c>
      <c r="F13" s="26" t="s">
        <v>122</v>
      </c>
    </row>
    <row r="14" spans="1:6" s="5" customFormat="1" ht="62" x14ac:dyDescent="0.35">
      <c r="A14" s="25" t="s">
        <v>61</v>
      </c>
      <c r="B14" s="25" t="s">
        <v>2</v>
      </c>
      <c r="C14" s="26" t="s">
        <v>62</v>
      </c>
      <c r="D14" s="27">
        <v>46266.875</v>
      </c>
      <c r="E14" s="27">
        <v>46267.208333333299</v>
      </c>
      <c r="F14" s="26" t="s">
        <v>63</v>
      </c>
    </row>
    <row r="15" spans="1:6" s="5" customFormat="1" ht="77.5" x14ac:dyDescent="0.35">
      <c r="A15" s="25" t="s">
        <v>61</v>
      </c>
      <c r="B15" s="25" t="s">
        <v>2</v>
      </c>
      <c r="C15" s="26" t="s">
        <v>143</v>
      </c>
      <c r="D15" s="27">
        <v>46266.833333333299</v>
      </c>
      <c r="E15" s="27">
        <v>46267.25</v>
      </c>
      <c r="F15" s="26" t="s">
        <v>144</v>
      </c>
    </row>
    <row r="16" spans="1:6" s="5" customFormat="1" ht="62" x14ac:dyDescent="0.35">
      <c r="A16" s="25" t="s">
        <v>61</v>
      </c>
      <c r="B16" s="25" t="s">
        <v>6</v>
      </c>
      <c r="C16" s="26" t="s">
        <v>196</v>
      </c>
      <c r="D16" s="27">
        <v>46266.833333333299</v>
      </c>
      <c r="E16" s="27">
        <v>46267.25</v>
      </c>
      <c r="F16" s="26" t="s">
        <v>197</v>
      </c>
    </row>
    <row r="17" spans="1:6" s="5" customFormat="1" ht="62" x14ac:dyDescent="0.35">
      <c r="A17" s="25" t="s">
        <v>61</v>
      </c>
      <c r="B17" s="25" t="s">
        <v>6</v>
      </c>
      <c r="C17" s="26" t="s">
        <v>198</v>
      </c>
      <c r="D17" s="27">
        <v>46266.833333333299</v>
      </c>
      <c r="E17" s="27">
        <v>46267.25</v>
      </c>
      <c r="F17" s="26" t="s">
        <v>197</v>
      </c>
    </row>
    <row r="18" spans="1:6" s="5" customFormat="1" ht="62" x14ac:dyDescent="0.35">
      <c r="A18" s="25" t="s">
        <v>61</v>
      </c>
      <c r="B18" s="25" t="s">
        <v>6</v>
      </c>
      <c r="C18" s="26" t="s">
        <v>199</v>
      </c>
      <c r="D18" s="27">
        <v>46266.833333333299</v>
      </c>
      <c r="E18" s="27">
        <v>46267.25</v>
      </c>
      <c r="F18" s="26" t="s">
        <v>197</v>
      </c>
    </row>
    <row r="19" spans="1:6" s="5" customFormat="1" ht="62" x14ac:dyDescent="0.35">
      <c r="A19" s="25" t="s">
        <v>61</v>
      </c>
      <c r="B19" s="25" t="s">
        <v>6</v>
      </c>
      <c r="C19" s="26" t="s">
        <v>200</v>
      </c>
      <c r="D19" s="27">
        <v>46266.833333333299</v>
      </c>
      <c r="E19" s="27">
        <v>46267.25</v>
      </c>
      <c r="F19" s="26" t="s">
        <v>197</v>
      </c>
    </row>
    <row r="20" spans="1:6" s="5" customFormat="1" ht="62" x14ac:dyDescent="0.35">
      <c r="A20" s="25" t="s">
        <v>61</v>
      </c>
      <c r="B20" s="25" t="s">
        <v>6</v>
      </c>
      <c r="C20" s="26" t="s">
        <v>201</v>
      </c>
      <c r="D20" s="27">
        <v>46266.833333333299</v>
      </c>
      <c r="E20" s="27">
        <v>46267.25</v>
      </c>
      <c r="F20" s="26" t="s">
        <v>197</v>
      </c>
    </row>
    <row r="21" spans="1:6" s="7" customFormat="1" ht="62" x14ac:dyDescent="0.35">
      <c r="A21" s="25" t="s">
        <v>61</v>
      </c>
      <c r="B21" s="25" t="s">
        <v>6</v>
      </c>
      <c r="C21" s="26" t="s">
        <v>202</v>
      </c>
      <c r="D21" s="27">
        <v>46266.833333333299</v>
      </c>
      <c r="E21" s="27">
        <v>46267.25</v>
      </c>
      <c r="F21" s="26" t="s">
        <v>197</v>
      </c>
    </row>
    <row r="22" spans="1:6" s="7" customFormat="1" ht="46.5" x14ac:dyDescent="0.35">
      <c r="A22" s="25" t="s">
        <v>61</v>
      </c>
      <c r="B22" s="25" t="s">
        <v>2</v>
      </c>
      <c r="C22" s="26" t="s">
        <v>213</v>
      </c>
      <c r="D22" s="27">
        <v>46266.833333333299</v>
      </c>
      <c r="E22" s="27">
        <v>46267.25</v>
      </c>
      <c r="F22" s="26" t="s">
        <v>214</v>
      </c>
    </row>
    <row r="23" spans="1:6" s="7" customFormat="1" ht="46.5" x14ac:dyDescent="0.35">
      <c r="A23" s="25" t="s">
        <v>61</v>
      </c>
      <c r="B23" s="25" t="s">
        <v>2</v>
      </c>
      <c r="C23" s="26" t="s">
        <v>215</v>
      </c>
      <c r="D23" s="27">
        <v>46266.833333333299</v>
      </c>
      <c r="E23" s="27">
        <v>46267.25</v>
      </c>
      <c r="F23" s="26" t="s">
        <v>214</v>
      </c>
    </row>
    <row r="24" spans="1:6" s="7" customFormat="1" ht="46.5" x14ac:dyDescent="0.35">
      <c r="A24" s="25" t="s">
        <v>61</v>
      </c>
      <c r="B24" s="25" t="s">
        <v>2</v>
      </c>
      <c r="C24" s="26" t="s">
        <v>216</v>
      </c>
      <c r="D24" s="27">
        <v>46266.833333333299</v>
      </c>
      <c r="E24" s="27">
        <v>46267.25</v>
      </c>
      <c r="F24" s="26" t="s">
        <v>214</v>
      </c>
    </row>
    <row r="25" spans="1:6" s="7" customFormat="1" ht="46.5" x14ac:dyDescent="0.35">
      <c r="A25" s="25" t="s">
        <v>61</v>
      </c>
      <c r="B25" s="25" t="s">
        <v>6</v>
      </c>
      <c r="C25" s="26" t="s">
        <v>217</v>
      </c>
      <c r="D25" s="27">
        <v>46266.833333333299</v>
      </c>
      <c r="E25" s="27">
        <v>46267.25</v>
      </c>
      <c r="F25" s="26" t="s">
        <v>218</v>
      </c>
    </row>
    <row r="26" spans="1:6" s="7" customFormat="1" ht="46.5" x14ac:dyDescent="0.35">
      <c r="A26" s="25" t="s">
        <v>61</v>
      </c>
      <c r="B26" s="25" t="s">
        <v>6</v>
      </c>
      <c r="C26" s="26" t="s">
        <v>219</v>
      </c>
      <c r="D26" s="27">
        <v>46266.833333333299</v>
      </c>
      <c r="E26" s="27">
        <v>46267.25</v>
      </c>
      <c r="F26" s="26" t="s">
        <v>218</v>
      </c>
    </row>
    <row r="27" spans="1:6" s="5" customFormat="1" ht="46.5" x14ac:dyDescent="0.35">
      <c r="A27" s="25" t="s">
        <v>61</v>
      </c>
      <c r="B27" s="25" t="s">
        <v>6</v>
      </c>
      <c r="C27" s="26" t="s">
        <v>220</v>
      </c>
      <c r="D27" s="27">
        <v>46266.833333333299</v>
      </c>
      <c r="E27" s="27">
        <v>46267.25</v>
      </c>
      <c r="F27" s="26" t="s">
        <v>221</v>
      </c>
    </row>
    <row r="28" spans="1:6" s="5" customFormat="1" ht="93" x14ac:dyDescent="0.35">
      <c r="A28" s="25" t="s">
        <v>405</v>
      </c>
      <c r="B28" s="25" t="s">
        <v>6</v>
      </c>
      <c r="C28" s="26" t="s">
        <v>406</v>
      </c>
      <c r="D28" s="27">
        <v>46266.833333333299</v>
      </c>
      <c r="E28" s="27">
        <v>46267.166666666701</v>
      </c>
      <c r="F28" s="26" t="s">
        <v>407</v>
      </c>
    </row>
    <row r="29" spans="1:6" s="5" customFormat="1" ht="62" x14ac:dyDescent="0.35">
      <c r="A29" s="25" t="s">
        <v>17</v>
      </c>
      <c r="B29" s="25" t="s">
        <v>6</v>
      </c>
      <c r="C29" s="26" t="s">
        <v>18</v>
      </c>
      <c r="D29" s="27">
        <v>46266.875</v>
      </c>
      <c r="E29" s="27">
        <v>46267.208333333299</v>
      </c>
      <c r="F29" s="26" t="s">
        <v>19</v>
      </c>
    </row>
    <row r="30" spans="1:6" s="5" customFormat="1" ht="62" x14ac:dyDescent="0.35">
      <c r="A30" s="25" t="s">
        <v>38</v>
      </c>
      <c r="B30" s="25" t="s">
        <v>5</v>
      </c>
      <c r="C30" s="26" t="s">
        <v>39</v>
      </c>
      <c r="D30" s="27">
        <v>46266.833333333299</v>
      </c>
      <c r="E30" s="27">
        <v>46267.25</v>
      </c>
      <c r="F30" s="26" t="s">
        <v>40</v>
      </c>
    </row>
    <row r="31" spans="1:6" s="5" customFormat="1" ht="62" x14ac:dyDescent="0.35">
      <c r="A31" s="25" t="s">
        <v>38</v>
      </c>
      <c r="B31" s="25" t="s">
        <v>5</v>
      </c>
      <c r="C31" s="26" t="s">
        <v>41</v>
      </c>
      <c r="D31" s="27">
        <v>46266.833333333299</v>
      </c>
      <c r="E31" s="27">
        <v>46267.25</v>
      </c>
      <c r="F31" s="26" t="s">
        <v>40</v>
      </c>
    </row>
    <row r="32" spans="1:6" s="5" customFormat="1" ht="46.5" x14ac:dyDescent="0.35">
      <c r="A32" s="25" t="s">
        <v>29</v>
      </c>
      <c r="B32" s="25" t="s">
        <v>5</v>
      </c>
      <c r="C32" s="26" t="s">
        <v>30</v>
      </c>
      <c r="D32" s="27">
        <v>46266.916666666701</v>
      </c>
      <c r="E32" s="27">
        <v>46267.25</v>
      </c>
      <c r="F32" s="26" t="s">
        <v>31</v>
      </c>
    </row>
    <row r="33" spans="1:6" s="5" customFormat="1" ht="62" x14ac:dyDescent="0.35">
      <c r="A33" s="25" t="s">
        <v>29</v>
      </c>
      <c r="B33" s="25" t="s">
        <v>4</v>
      </c>
      <c r="C33" s="26" t="s">
        <v>32</v>
      </c>
      <c r="D33" s="27">
        <v>46266.875</v>
      </c>
      <c r="E33" s="27">
        <v>46267.208333333299</v>
      </c>
      <c r="F33" s="26" t="s">
        <v>33</v>
      </c>
    </row>
    <row r="34" spans="1:6" s="5" customFormat="1" ht="46.5" x14ac:dyDescent="0.35">
      <c r="A34" s="25" t="s">
        <v>29</v>
      </c>
      <c r="B34" s="25" t="s">
        <v>4</v>
      </c>
      <c r="C34" s="26" t="s">
        <v>34</v>
      </c>
      <c r="D34" s="27">
        <v>46266.833333333299</v>
      </c>
      <c r="E34" s="27">
        <v>46267.25</v>
      </c>
      <c r="F34" s="26" t="s">
        <v>35</v>
      </c>
    </row>
    <row r="35" spans="1:6" s="5" customFormat="1" ht="46.5" x14ac:dyDescent="0.35">
      <c r="A35" s="25" t="s">
        <v>29</v>
      </c>
      <c r="B35" s="25" t="s">
        <v>5</v>
      </c>
      <c r="C35" s="26" t="s">
        <v>36</v>
      </c>
      <c r="D35" s="27">
        <v>46266.833333333299</v>
      </c>
      <c r="E35" s="27">
        <v>46267.25</v>
      </c>
      <c r="F35" s="26" t="s">
        <v>37</v>
      </c>
    </row>
    <row r="36" spans="1:6" s="5" customFormat="1" ht="46.5" x14ac:dyDescent="0.35">
      <c r="A36" s="25" t="s">
        <v>29</v>
      </c>
      <c r="B36" s="25" t="s">
        <v>5</v>
      </c>
      <c r="C36" s="26" t="s">
        <v>42</v>
      </c>
      <c r="D36" s="27">
        <v>46266.833333333299</v>
      </c>
      <c r="E36" s="27">
        <v>46267.25</v>
      </c>
      <c r="F36" s="26" t="s">
        <v>43</v>
      </c>
    </row>
    <row r="37" spans="1:6" s="5" customFormat="1" ht="46.5" x14ac:dyDescent="0.35">
      <c r="A37" s="25" t="s">
        <v>29</v>
      </c>
      <c r="B37" s="25" t="s">
        <v>5</v>
      </c>
      <c r="C37" s="26" t="s">
        <v>44</v>
      </c>
      <c r="D37" s="27">
        <v>46266.833333333299</v>
      </c>
      <c r="E37" s="27">
        <v>46267.25</v>
      </c>
      <c r="F37" s="26" t="s">
        <v>43</v>
      </c>
    </row>
    <row r="38" spans="1:6" s="5" customFormat="1" ht="62" x14ac:dyDescent="0.35">
      <c r="A38" s="25" t="s">
        <v>29</v>
      </c>
      <c r="B38" s="25" t="s">
        <v>5</v>
      </c>
      <c r="C38" s="26" t="s">
        <v>50</v>
      </c>
      <c r="D38" s="27">
        <v>46266.833333333299</v>
      </c>
      <c r="E38" s="27">
        <v>46267.25</v>
      </c>
      <c r="F38" s="26" t="s">
        <v>49</v>
      </c>
    </row>
    <row r="39" spans="1:6" s="5" customFormat="1" ht="93" x14ac:dyDescent="0.35">
      <c r="A39" s="25" t="s">
        <v>29</v>
      </c>
      <c r="B39" s="25" t="s">
        <v>5</v>
      </c>
      <c r="C39" s="26" t="s">
        <v>99</v>
      </c>
      <c r="D39" s="27">
        <v>46266.541666666701</v>
      </c>
      <c r="E39" s="27">
        <v>46270.25</v>
      </c>
      <c r="F39" s="26" t="s">
        <v>100</v>
      </c>
    </row>
    <row r="40" spans="1:6" s="6" customFormat="1" ht="93" x14ac:dyDescent="0.35">
      <c r="A40" s="25" t="s">
        <v>29</v>
      </c>
      <c r="B40" s="25" t="s">
        <v>5</v>
      </c>
      <c r="C40" s="26" t="s">
        <v>101</v>
      </c>
      <c r="D40" s="27">
        <v>46266.833333333299</v>
      </c>
      <c r="E40" s="27">
        <v>46267.25</v>
      </c>
      <c r="F40" s="26" t="s">
        <v>100</v>
      </c>
    </row>
    <row r="41" spans="1:6" s="6" customFormat="1" ht="93" x14ac:dyDescent="0.35">
      <c r="A41" s="25" t="s">
        <v>29</v>
      </c>
      <c r="B41" s="25" t="s">
        <v>5</v>
      </c>
      <c r="C41" s="26" t="s">
        <v>102</v>
      </c>
      <c r="D41" s="27">
        <v>46266.833333333299</v>
      </c>
      <c r="E41" s="27">
        <v>46267.25</v>
      </c>
      <c r="F41" s="26" t="s">
        <v>100</v>
      </c>
    </row>
    <row r="42" spans="1:6" s="6" customFormat="1" ht="93" x14ac:dyDescent="0.35">
      <c r="A42" s="25" t="s">
        <v>29</v>
      </c>
      <c r="B42" s="25" t="s">
        <v>5</v>
      </c>
      <c r="C42" s="26" t="s">
        <v>103</v>
      </c>
      <c r="D42" s="27">
        <v>46266.833333333299</v>
      </c>
      <c r="E42" s="27">
        <v>46267.25</v>
      </c>
      <c r="F42" s="26" t="s">
        <v>100</v>
      </c>
    </row>
    <row r="43" spans="1:6" s="6" customFormat="1" ht="93" x14ac:dyDescent="0.35">
      <c r="A43" s="25" t="s">
        <v>29</v>
      </c>
      <c r="B43" s="25" t="s">
        <v>5</v>
      </c>
      <c r="C43" s="26" t="s">
        <v>104</v>
      </c>
      <c r="D43" s="27">
        <v>46266.833333333299</v>
      </c>
      <c r="E43" s="27">
        <v>46267.25</v>
      </c>
      <c r="F43" s="26" t="s">
        <v>100</v>
      </c>
    </row>
    <row r="44" spans="1:6" s="6" customFormat="1" ht="93" x14ac:dyDescent="0.35">
      <c r="A44" s="25" t="s">
        <v>29</v>
      </c>
      <c r="B44" s="25" t="s">
        <v>5</v>
      </c>
      <c r="C44" s="26" t="s">
        <v>105</v>
      </c>
      <c r="D44" s="27">
        <v>46266.833333333299</v>
      </c>
      <c r="E44" s="27">
        <v>46267.25</v>
      </c>
      <c r="F44" s="26" t="s">
        <v>100</v>
      </c>
    </row>
    <row r="45" spans="1:6" s="6" customFormat="1" ht="93" x14ac:dyDescent="0.35">
      <c r="A45" s="25" t="s">
        <v>29</v>
      </c>
      <c r="B45" s="25" t="s">
        <v>5</v>
      </c>
      <c r="C45" s="26" t="s">
        <v>106</v>
      </c>
      <c r="D45" s="27">
        <v>46266.833333333299</v>
      </c>
      <c r="E45" s="27">
        <v>46267.25</v>
      </c>
      <c r="F45" s="26" t="s">
        <v>100</v>
      </c>
    </row>
    <row r="46" spans="1:6" s="6" customFormat="1" ht="93" x14ac:dyDescent="0.35">
      <c r="A46" s="25" t="s">
        <v>29</v>
      </c>
      <c r="B46" s="25" t="s">
        <v>5</v>
      </c>
      <c r="C46" s="26" t="s">
        <v>107</v>
      </c>
      <c r="D46" s="27">
        <v>46266.833333333299</v>
      </c>
      <c r="E46" s="27">
        <v>46267.25</v>
      </c>
      <c r="F46" s="26" t="s">
        <v>100</v>
      </c>
    </row>
    <row r="47" spans="1:6" s="6" customFormat="1" ht="46.5" x14ac:dyDescent="0.35">
      <c r="A47" s="25" t="s">
        <v>29</v>
      </c>
      <c r="B47" s="25" t="s">
        <v>4</v>
      </c>
      <c r="C47" s="26" t="s">
        <v>129</v>
      </c>
      <c r="D47" s="27">
        <v>46266.333333333299</v>
      </c>
      <c r="E47" s="27">
        <v>46266.625</v>
      </c>
      <c r="F47" s="26" t="s">
        <v>130</v>
      </c>
    </row>
    <row r="48" spans="1:6" s="6" customFormat="1" ht="46.5" x14ac:dyDescent="0.35">
      <c r="A48" s="25" t="s">
        <v>29</v>
      </c>
      <c r="B48" s="25" t="s">
        <v>5</v>
      </c>
      <c r="C48" s="26" t="s">
        <v>131</v>
      </c>
      <c r="D48" s="27">
        <v>46267.333333333299</v>
      </c>
      <c r="E48" s="27">
        <v>46267.625</v>
      </c>
      <c r="F48" s="26" t="s">
        <v>132</v>
      </c>
    </row>
    <row r="49" spans="1:6" s="5" customFormat="1" ht="93" x14ac:dyDescent="0.35">
      <c r="A49" s="25" t="s">
        <v>175</v>
      </c>
      <c r="B49" s="25" t="s">
        <v>2</v>
      </c>
      <c r="C49" s="26" t="s">
        <v>176</v>
      </c>
      <c r="D49" s="27">
        <v>46266.833333333299</v>
      </c>
      <c r="E49" s="27">
        <v>46267.25</v>
      </c>
      <c r="F49" s="26" t="s">
        <v>177</v>
      </c>
    </row>
    <row r="50" spans="1:6" s="5" customFormat="1" ht="46.5" x14ac:dyDescent="0.35">
      <c r="A50" s="25" t="s">
        <v>228</v>
      </c>
      <c r="B50" s="25" t="s">
        <v>23</v>
      </c>
      <c r="C50" s="26" t="s">
        <v>229</v>
      </c>
      <c r="D50" s="27">
        <v>46266.833333333299</v>
      </c>
      <c r="E50" s="27">
        <v>46267.25</v>
      </c>
      <c r="F50" s="26" t="s">
        <v>226</v>
      </c>
    </row>
    <row r="51" spans="1:6" s="5" customFormat="1" ht="46.5" x14ac:dyDescent="0.35">
      <c r="A51" s="25" t="s">
        <v>228</v>
      </c>
      <c r="B51" s="25" t="s">
        <v>4</v>
      </c>
      <c r="C51" s="26" t="s">
        <v>230</v>
      </c>
      <c r="D51" s="27">
        <v>46266.833333333299</v>
      </c>
      <c r="E51" s="27">
        <v>46267.25</v>
      </c>
      <c r="F51" s="26" t="s">
        <v>226</v>
      </c>
    </row>
    <row r="52" spans="1:6" s="5" customFormat="1" ht="46.5" x14ac:dyDescent="0.35">
      <c r="A52" s="25" t="s">
        <v>228</v>
      </c>
      <c r="B52" s="25" t="s">
        <v>5</v>
      </c>
      <c r="C52" s="26" t="s">
        <v>231</v>
      </c>
      <c r="D52" s="27">
        <v>46266.833333333299</v>
      </c>
      <c r="E52" s="27">
        <v>46267.25</v>
      </c>
      <c r="F52" s="26" t="s">
        <v>226</v>
      </c>
    </row>
    <row r="53" spans="1:6" s="5" customFormat="1" ht="62" x14ac:dyDescent="0.35">
      <c r="A53" s="25" t="s">
        <v>193</v>
      </c>
      <c r="B53" s="25" t="s">
        <v>4</v>
      </c>
      <c r="C53" s="26" t="s">
        <v>194</v>
      </c>
      <c r="D53" s="27">
        <v>46266.833333333299</v>
      </c>
      <c r="E53" s="27">
        <v>46267.208333333299</v>
      </c>
      <c r="F53" s="26" t="s">
        <v>195</v>
      </c>
    </row>
    <row r="54" spans="1:6" s="5" customFormat="1" ht="46.5" x14ac:dyDescent="0.35">
      <c r="A54" s="25" t="s">
        <v>210</v>
      </c>
      <c r="B54" s="25" t="s">
        <v>6</v>
      </c>
      <c r="C54" s="26" t="s">
        <v>211</v>
      </c>
      <c r="D54" s="27">
        <v>46266.833333333299</v>
      </c>
      <c r="E54" s="27">
        <v>46267.25</v>
      </c>
      <c r="F54" s="26" t="s">
        <v>212</v>
      </c>
    </row>
    <row r="55" spans="1:6" s="5" customFormat="1" ht="46.5" x14ac:dyDescent="0.35">
      <c r="A55" s="25" t="s">
        <v>210</v>
      </c>
      <c r="B55" s="25" t="s">
        <v>2</v>
      </c>
      <c r="C55" s="26" t="s">
        <v>222</v>
      </c>
      <c r="D55" s="27">
        <v>46266.833333333299</v>
      </c>
      <c r="E55" s="27">
        <v>46267.25</v>
      </c>
      <c r="F55" s="26" t="s">
        <v>223</v>
      </c>
    </row>
    <row r="56" spans="1:6" s="5" customFormat="1" ht="46.5" x14ac:dyDescent="0.35">
      <c r="A56" s="25" t="s">
        <v>210</v>
      </c>
      <c r="B56" s="25" t="s">
        <v>6</v>
      </c>
      <c r="C56" s="26" t="s">
        <v>224</v>
      </c>
      <c r="D56" s="27">
        <v>46266.833333333299</v>
      </c>
      <c r="E56" s="27">
        <v>46267.25</v>
      </c>
      <c r="F56" s="26" t="s">
        <v>223</v>
      </c>
    </row>
    <row r="57" spans="1:6" s="5" customFormat="1" ht="46.5" x14ac:dyDescent="0.35">
      <c r="A57" s="25" t="s">
        <v>210</v>
      </c>
      <c r="B57" s="25" t="s">
        <v>6</v>
      </c>
      <c r="C57" s="26" t="s">
        <v>225</v>
      </c>
      <c r="D57" s="27">
        <v>46266.833333333299</v>
      </c>
      <c r="E57" s="27">
        <v>46267.25</v>
      </c>
      <c r="F57" s="26" t="s">
        <v>226</v>
      </c>
    </row>
    <row r="58" spans="1:6" s="5" customFormat="1" ht="46.5" x14ac:dyDescent="0.35">
      <c r="A58" s="25" t="s">
        <v>210</v>
      </c>
      <c r="B58" s="25" t="s">
        <v>2</v>
      </c>
      <c r="C58" s="26" t="s">
        <v>227</v>
      </c>
      <c r="D58" s="27">
        <v>46266.833333333299</v>
      </c>
      <c r="E58" s="27">
        <v>46267.25</v>
      </c>
      <c r="F58" s="26" t="s">
        <v>226</v>
      </c>
    </row>
    <row r="59" spans="1:6" s="5" customFormat="1" ht="46.5" x14ac:dyDescent="0.35">
      <c r="A59" s="25" t="s">
        <v>358</v>
      </c>
      <c r="B59" s="25" t="s">
        <v>4</v>
      </c>
      <c r="C59" s="26" t="s">
        <v>359</v>
      </c>
      <c r="D59" s="27">
        <v>46266.833333333299</v>
      </c>
      <c r="E59" s="27">
        <v>46267.25</v>
      </c>
      <c r="F59" s="26" t="s">
        <v>360</v>
      </c>
    </row>
    <row r="60" spans="1:6" s="5" customFormat="1" ht="46.5" x14ac:dyDescent="0.35">
      <c r="A60" s="25" t="s">
        <v>358</v>
      </c>
      <c r="B60" s="25" t="s">
        <v>4</v>
      </c>
      <c r="C60" s="26" t="s">
        <v>361</v>
      </c>
      <c r="D60" s="27">
        <v>46266.833333333299</v>
      </c>
      <c r="E60" s="27">
        <v>46267.25</v>
      </c>
      <c r="F60" s="26" t="s">
        <v>360</v>
      </c>
    </row>
    <row r="61" spans="1:6" s="5" customFormat="1" ht="46.5" x14ac:dyDescent="0.35">
      <c r="A61" s="25" t="s">
        <v>358</v>
      </c>
      <c r="B61" s="25" t="s">
        <v>5</v>
      </c>
      <c r="C61" s="26" t="s">
        <v>370</v>
      </c>
      <c r="D61" s="27">
        <v>46266.833333333299</v>
      </c>
      <c r="E61" s="27">
        <v>46267.25</v>
      </c>
      <c r="F61" s="26" t="s">
        <v>371</v>
      </c>
    </row>
    <row r="62" spans="1:6" s="5" customFormat="1" ht="46.5" x14ac:dyDescent="0.35">
      <c r="A62" s="25" t="s">
        <v>358</v>
      </c>
      <c r="B62" s="25" t="s">
        <v>5</v>
      </c>
      <c r="C62" s="26" t="s">
        <v>372</v>
      </c>
      <c r="D62" s="27">
        <v>46266.833333333299</v>
      </c>
      <c r="E62" s="27">
        <v>46267.25</v>
      </c>
      <c r="F62" s="26" t="s">
        <v>373</v>
      </c>
    </row>
    <row r="63" spans="1:6" s="5" customFormat="1" ht="46.5" x14ac:dyDescent="0.35">
      <c r="A63" s="25" t="s">
        <v>358</v>
      </c>
      <c r="B63" s="25" t="s">
        <v>5</v>
      </c>
      <c r="C63" s="26" t="s">
        <v>374</v>
      </c>
      <c r="D63" s="27">
        <v>46266.833333333299</v>
      </c>
      <c r="E63" s="27">
        <v>46267.25</v>
      </c>
      <c r="F63" s="26" t="s">
        <v>375</v>
      </c>
    </row>
    <row r="64" spans="1:6" s="5" customFormat="1" ht="77.5" x14ac:dyDescent="0.35">
      <c r="A64" s="25" t="s">
        <v>358</v>
      </c>
      <c r="B64" s="25" t="s">
        <v>5</v>
      </c>
      <c r="C64" s="26" t="s">
        <v>403</v>
      </c>
      <c r="D64" s="27">
        <v>46266.916666666701</v>
      </c>
      <c r="E64" s="27">
        <v>46267.208333333299</v>
      </c>
      <c r="F64" s="26" t="s">
        <v>404</v>
      </c>
    </row>
    <row r="65" spans="1:6" s="5" customFormat="1" ht="62" x14ac:dyDescent="0.35">
      <c r="A65" s="25" t="s">
        <v>396</v>
      </c>
      <c r="B65" s="25" t="s">
        <v>5</v>
      </c>
      <c r="C65" s="26" t="s">
        <v>397</v>
      </c>
      <c r="D65" s="27">
        <v>46266.916666666701</v>
      </c>
      <c r="E65" s="27">
        <v>46267.229166666701</v>
      </c>
      <c r="F65" s="26" t="s">
        <v>398</v>
      </c>
    </row>
    <row r="66" spans="1:6" s="5" customFormat="1" ht="46.5" x14ac:dyDescent="0.35">
      <c r="A66" s="25" t="s">
        <v>348</v>
      </c>
      <c r="B66" s="25" t="s">
        <v>2</v>
      </c>
      <c r="C66" s="26" t="s">
        <v>349</v>
      </c>
      <c r="D66" s="27">
        <v>46266.833333333299</v>
      </c>
      <c r="E66" s="27">
        <v>46267.25</v>
      </c>
      <c r="F66" s="26" t="s">
        <v>350</v>
      </c>
    </row>
    <row r="67" spans="1:6" s="5" customFormat="1" ht="46.5" x14ac:dyDescent="0.35">
      <c r="A67" s="25" t="s">
        <v>348</v>
      </c>
      <c r="B67" s="25" t="s">
        <v>2</v>
      </c>
      <c r="C67" s="26" t="s">
        <v>376</v>
      </c>
      <c r="D67" s="27">
        <v>46266.833333333299</v>
      </c>
      <c r="E67" s="27">
        <v>46267.25</v>
      </c>
      <c r="F67" s="26" t="s">
        <v>377</v>
      </c>
    </row>
    <row r="68" spans="1:6" s="5" customFormat="1" ht="46.5" x14ac:dyDescent="0.35">
      <c r="A68" s="25" t="s">
        <v>348</v>
      </c>
      <c r="B68" s="25" t="s">
        <v>6</v>
      </c>
      <c r="C68" s="26" t="s">
        <v>378</v>
      </c>
      <c r="D68" s="27">
        <v>46266.833333333299</v>
      </c>
      <c r="E68" s="27">
        <v>46267.25</v>
      </c>
      <c r="F68" s="26" t="s">
        <v>377</v>
      </c>
    </row>
    <row r="69" spans="1:6" s="5" customFormat="1" ht="77.5" x14ac:dyDescent="0.35">
      <c r="A69" s="25" t="s">
        <v>368</v>
      </c>
      <c r="B69" s="25" t="s">
        <v>6</v>
      </c>
      <c r="C69" s="26" t="s">
        <v>369</v>
      </c>
      <c r="D69" s="27">
        <v>46266.875</v>
      </c>
      <c r="E69" s="27">
        <v>46267.25</v>
      </c>
      <c r="F69" s="26" t="s">
        <v>367</v>
      </c>
    </row>
    <row r="70" spans="1:6" s="5" customFormat="1" ht="46.5" x14ac:dyDescent="0.35">
      <c r="A70" s="25" t="s">
        <v>368</v>
      </c>
      <c r="B70" s="25" t="s">
        <v>2</v>
      </c>
      <c r="C70" s="26" t="s">
        <v>379</v>
      </c>
      <c r="D70" s="27">
        <v>46266.833333333299</v>
      </c>
      <c r="E70" s="27">
        <v>46267.25</v>
      </c>
      <c r="F70" s="26" t="s">
        <v>380</v>
      </c>
    </row>
    <row r="71" spans="1:6" s="5" customFormat="1" ht="46.5" x14ac:dyDescent="0.35">
      <c r="A71" s="25" t="s">
        <v>368</v>
      </c>
      <c r="B71" s="25" t="s">
        <v>2</v>
      </c>
      <c r="C71" s="26" t="s">
        <v>381</v>
      </c>
      <c r="D71" s="27">
        <v>46266.833333333299</v>
      </c>
      <c r="E71" s="27">
        <v>46267.25</v>
      </c>
      <c r="F71" s="26" t="s">
        <v>380</v>
      </c>
    </row>
    <row r="72" spans="1:6" s="5" customFormat="1" ht="46.5" x14ac:dyDescent="0.35">
      <c r="A72" s="25" t="s">
        <v>351</v>
      </c>
      <c r="B72" s="25" t="s">
        <v>4</v>
      </c>
      <c r="C72" s="26" t="s">
        <v>352</v>
      </c>
      <c r="D72" s="27">
        <v>46266.833333333299</v>
      </c>
      <c r="E72" s="27">
        <v>46267.25</v>
      </c>
      <c r="F72" s="26" t="s">
        <v>353</v>
      </c>
    </row>
    <row r="73" spans="1:6" s="5" customFormat="1" ht="46.5" x14ac:dyDescent="0.35">
      <c r="A73" s="25" t="s">
        <v>351</v>
      </c>
      <c r="B73" s="25" t="s">
        <v>5</v>
      </c>
      <c r="C73" s="26" t="s">
        <v>354</v>
      </c>
      <c r="D73" s="27">
        <v>46266.833333333299</v>
      </c>
      <c r="E73" s="27">
        <v>46267.25</v>
      </c>
      <c r="F73" s="26" t="s">
        <v>353</v>
      </c>
    </row>
    <row r="74" spans="1:6" s="5" customFormat="1" ht="77.5" x14ac:dyDescent="0.35">
      <c r="A74" s="25" t="s">
        <v>351</v>
      </c>
      <c r="B74" s="25" t="s">
        <v>4</v>
      </c>
      <c r="C74" s="26" t="s">
        <v>366</v>
      </c>
      <c r="D74" s="27">
        <v>46266.875</v>
      </c>
      <c r="E74" s="27">
        <v>46267.25</v>
      </c>
      <c r="F74" s="26" t="s">
        <v>367</v>
      </c>
    </row>
    <row r="75" spans="1:6" s="5" customFormat="1" ht="62" x14ac:dyDescent="0.35">
      <c r="A75" s="25" t="s">
        <v>387</v>
      </c>
      <c r="B75" s="25" t="s">
        <v>2</v>
      </c>
      <c r="C75" s="26" t="s">
        <v>388</v>
      </c>
      <c r="D75" s="27">
        <v>46266.875</v>
      </c>
      <c r="E75" s="27">
        <v>46267.229166666701</v>
      </c>
      <c r="F75" s="26" t="s">
        <v>389</v>
      </c>
    </row>
    <row r="76" spans="1:6" s="5" customFormat="1" ht="62" x14ac:dyDescent="0.35">
      <c r="A76" s="25" t="s">
        <v>387</v>
      </c>
      <c r="B76" s="25" t="s">
        <v>2</v>
      </c>
      <c r="C76" s="26" t="s">
        <v>390</v>
      </c>
      <c r="D76" s="27">
        <v>46266.875</v>
      </c>
      <c r="E76" s="27">
        <v>46267.229166666701</v>
      </c>
      <c r="F76" s="26" t="s">
        <v>389</v>
      </c>
    </row>
    <row r="77" spans="1:6" s="5" customFormat="1" ht="46.5" x14ac:dyDescent="0.35">
      <c r="A77" s="25" t="s">
        <v>319</v>
      </c>
      <c r="B77" s="25" t="s">
        <v>2</v>
      </c>
      <c r="C77" s="26" t="s">
        <v>320</v>
      </c>
      <c r="D77" s="27">
        <v>46266.875</v>
      </c>
      <c r="E77" s="27">
        <v>46267.25</v>
      </c>
      <c r="F77" s="26" t="s">
        <v>321</v>
      </c>
    </row>
    <row r="78" spans="1:6" s="5" customFormat="1" ht="46.5" x14ac:dyDescent="0.35">
      <c r="A78" s="25" t="s">
        <v>319</v>
      </c>
      <c r="B78" s="25" t="s">
        <v>2</v>
      </c>
      <c r="C78" s="26" t="s">
        <v>322</v>
      </c>
      <c r="D78" s="27">
        <v>46266.875</v>
      </c>
      <c r="E78" s="27">
        <v>46267.25</v>
      </c>
      <c r="F78" s="26" t="s">
        <v>321</v>
      </c>
    </row>
    <row r="79" spans="1:6" s="5" customFormat="1" ht="31" x14ac:dyDescent="0.35">
      <c r="A79" s="25" t="s">
        <v>319</v>
      </c>
      <c r="B79" s="25" t="s">
        <v>23</v>
      </c>
      <c r="C79" s="26" t="s">
        <v>333</v>
      </c>
      <c r="D79" s="27">
        <v>46266.875</v>
      </c>
      <c r="E79" s="27">
        <v>46267.25</v>
      </c>
      <c r="F79" s="26" t="s">
        <v>334</v>
      </c>
    </row>
    <row r="80" spans="1:6" s="5" customFormat="1" ht="46.5" x14ac:dyDescent="0.35">
      <c r="A80" s="25" t="s">
        <v>319</v>
      </c>
      <c r="B80" s="25" t="s">
        <v>2</v>
      </c>
      <c r="C80" s="26" t="s">
        <v>343</v>
      </c>
      <c r="D80" s="27">
        <v>46266.875</v>
      </c>
      <c r="E80" s="27">
        <v>46267.25</v>
      </c>
      <c r="F80" s="26" t="s">
        <v>344</v>
      </c>
    </row>
    <row r="81" spans="1:6" s="5" customFormat="1" ht="124" x14ac:dyDescent="0.35">
      <c r="A81" s="25" t="s">
        <v>319</v>
      </c>
      <c r="B81" s="25" t="s">
        <v>2</v>
      </c>
      <c r="C81" s="26" t="s">
        <v>408</v>
      </c>
      <c r="D81" s="27">
        <v>46266.916666666701</v>
      </c>
      <c r="E81" s="27">
        <v>46267.229166666701</v>
      </c>
      <c r="F81" s="26" t="s">
        <v>409</v>
      </c>
    </row>
    <row r="82" spans="1:6" s="5" customFormat="1" ht="124" x14ac:dyDescent="0.35">
      <c r="A82" s="25" t="s">
        <v>319</v>
      </c>
      <c r="B82" s="25" t="s">
        <v>2</v>
      </c>
      <c r="C82" s="26" t="s">
        <v>410</v>
      </c>
      <c r="D82" s="27">
        <v>46266.916666666701</v>
      </c>
      <c r="E82" s="27">
        <v>46267.229166666701</v>
      </c>
      <c r="F82" s="26" t="s">
        <v>409</v>
      </c>
    </row>
    <row r="83" spans="1:6" s="5" customFormat="1" ht="93" x14ac:dyDescent="0.35">
      <c r="A83" s="25" t="s">
        <v>319</v>
      </c>
      <c r="B83" s="25" t="s">
        <v>6</v>
      </c>
      <c r="C83" s="26" t="s">
        <v>413</v>
      </c>
      <c r="D83" s="27">
        <v>46266.916666666701</v>
      </c>
      <c r="E83" s="27">
        <v>46267.229166666701</v>
      </c>
      <c r="F83" s="26" t="s">
        <v>414</v>
      </c>
    </row>
    <row r="84" spans="1:6" s="5" customFormat="1" ht="124" x14ac:dyDescent="0.35">
      <c r="A84" s="25" t="s">
        <v>419</v>
      </c>
      <c r="B84" s="25" t="s">
        <v>4</v>
      </c>
      <c r="C84" s="26" t="s">
        <v>420</v>
      </c>
      <c r="D84" s="27">
        <v>46266.833333333299</v>
      </c>
      <c r="E84" s="27">
        <v>46267.25</v>
      </c>
      <c r="F84" s="26" t="s">
        <v>421</v>
      </c>
    </row>
    <row r="85" spans="1:6" s="5" customFormat="1" ht="62" x14ac:dyDescent="0.35">
      <c r="A85" s="25" t="s">
        <v>335</v>
      </c>
      <c r="B85" s="25" t="s">
        <v>4</v>
      </c>
      <c r="C85" s="26" t="s">
        <v>336</v>
      </c>
      <c r="D85" s="27">
        <v>46266.875</v>
      </c>
      <c r="E85" s="27">
        <v>46267.25</v>
      </c>
      <c r="F85" s="26" t="s">
        <v>337</v>
      </c>
    </row>
    <row r="86" spans="1:6" s="5" customFormat="1" ht="108.5" x14ac:dyDescent="0.35">
      <c r="A86" s="25" t="s">
        <v>335</v>
      </c>
      <c r="B86" s="25" t="s">
        <v>23</v>
      </c>
      <c r="C86" s="26" t="s">
        <v>426</v>
      </c>
      <c r="D86" s="27">
        <v>46266.875</v>
      </c>
      <c r="E86" s="27">
        <v>46267.25</v>
      </c>
      <c r="F86" s="26" t="s">
        <v>427</v>
      </c>
    </row>
    <row r="87" spans="1:6" s="5" customFormat="1" ht="46.5" x14ac:dyDescent="0.35">
      <c r="A87" s="25" t="s">
        <v>335</v>
      </c>
      <c r="B87" s="25" t="s">
        <v>5</v>
      </c>
      <c r="C87" s="26" t="s">
        <v>437</v>
      </c>
      <c r="D87" s="27">
        <v>46266.875</v>
      </c>
      <c r="E87" s="27">
        <v>46267.25</v>
      </c>
      <c r="F87" s="26" t="s">
        <v>438</v>
      </c>
    </row>
    <row r="88" spans="1:6" s="5" customFormat="1" ht="62" x14ac:dyDescent="0.35">
      <c r="A88" s="25" t="s">
        <v>330</v>
      </c>
      <c r="B88" s="25" t="s">
        <v>23</v>
      </c>
      <c r="C88" s="26" t="s">
        <v>331</v>
      </c>
      <c r="D88" s="27">
        <v>46266.875</v>
      </c>
      <c r="E88" s="27">
        <v>46267.25</v>
      </c>
      <c r="F88" s="26" t="s">
        <v>332</v>
      </c>
    </row>
    <row r="89" spans="1:6" s="5" customFormat="1" ht="46.5" x14ac:dyDescent="0.35">
      <c r="A89" s="25" t="s">
        <v>313</v>
      </c>
      <c r="B89" s="25" t="s">
        <v>2</v>
      </c>
      <c r="C89" s="26" t="s">
        <v>314</v>
      </c>
      <c r="D89" s="27">
        <v>46266.875</v>
      </c>
      <c r="E89" s="27">
        <v>46267.25</v>
      </c>
      <c r="F89" s="26" t="s">
        <v>315</v>
      </c>
    </row>
    <row r="90" spans="1:6" s="5" customFormat="1" ht="31" x14ac:dyDescent="0.35">
      <c r="A90" s="25" t="s">
        <v>313</v>
      </c>
      <c r="B90" s="25" t="s">
        <v>2</v>
      </c>
      <c r="C90" s="26" t="s">
        <v>323</v>
      </c>
      <c r="D90" s="27">
        <v>46266.875</v>
      </c>
      <c r="E90" s="27">
        <v>46267.25</v>
      </c>
      <c r="F90" s="26" t="s">
        <v>324</v>
      </c>
    </row>
    <row r="91" spans="1:6" s="5" customFormat="1" ht="46.5" x14ac:dyDescent="0.35">
      <c r="A91" s="25" t="s">
        <v>439</v>
      </c>
      <c r="B91" s="25" t="s">
        <v>23</v>
      </c>
      <c r="C91" s="26" t="s">
        <v>440</v>
      </c>
      <c r="D91" s="27">
        <v>46266.833333333299</v>
      </c>
      <c r="E91" s="27">
        <v>46267.25</v>
      </c>
      <c r="F91" s="26" t="s">
        <v>441</v>
      </c>
    </row>
    <row r="92" spans="1:6" s="5" customFormat="1" ht="93" x14ac:dyDescent="0.35">
      <c r="A92" s="25" t="s">
        <v>108</v>
      </c>
      <c r="B92" s="25" t="s">
        <v>2</v>
      </c>
      <c r="C92" s="26" t="s">
        <v>109</v>
      </c>
      <c r="D92" s="27">
        <v>46266.833333333299</v>
      </c>
      <c r="E92" s="27">
        <v>46267.25</v>
      </c>
      <c r="F92" s="26" t="s">
        <v>110</v>
      </c>
    </row>
    <row r="93" spans="1:6" s="5" customFormat="1" ht="46.5" x14ac:dyDescent="0.35">
      <c r="A93" s="25" t="s">
        <v>108</v>
      </c>
      <c r="B93" s="25" t="s">
        <v>4</v>
      </c>
      <c r="C93" s="26" t="s">
        <v>415</v>
      </c>
      <c r="D93" s="27">
        <v>46266.8125</v>
      </c>
      <c r="E93" s="27">
        <v>46267.25</v>
      </c>
      <c r="F93" s="26" t="s">
        <v>416</v>
      </c>
    </row>
    <row r="94" spans="1:6" s="5" customFormat="1" ht="62" x14ac:dyDescent="0.35">
      <c r="A94" s="25" t="s">
        <v>108</v>
      </c>
      <c r="B94" s="25" t="s">
        <v>5</v>
      </c>
      <c r="C94" s="26" t="s">
        <v>417</v>
      </c>
      <c r="D94" s="27">
        <v>46266.8125</v>
      </c>
      <c r="E94" s="27">
        <v>46267.25</v>
      </c>
      <c r="F94" s="26" t="s">
        <v>418</v>
      </c>
    </row>
    <row r="95" spans="1:6" s="5" customFormat="1" ht="108.5" x14ac:dyDescent="0.35">
      <c r="A95" s="25" t="s">
        <v>108</v>
      </c>
      <c r="B95" s="25" t="s">
        <v>5</v>
      </c>
      <c r="C95" s="26" t="s">
        <v>422</v>
      </c>
      <c r="D95" s="27">
        <v>46266.875</v>
      </c>
      <c r="E95" s="27">
        <v>46267.25</v>
      </c>
      <c r="F95" s="26" t="s">
        <v>423</v>
      </c>
    </row>
    <row r="96" spans="1:6" s="5" customFormat="1" ht="77.5" x14ac:dyDescent="0.35">
      <c r="A96" s="25" t="s">
        <v>108</v>
      </c>
      <c r="B96" s="25" t="s">
        <v>5</v>
      </c>
      <c r="C96" s="26" t="s">
        <v>424</v>
      </c>
      <c r="D96" s="27">
        <v>46266.875</v>
      </c>
      <c r="E96" s="27">
        <v>46267.25</v>
      </c>
      <c r="F96" s="26" t="s">
        <v>425</v>
      </c>
    </row>
    <row r="97" spans="1:6" s="5" customFormat="1" ht="108.5" x14ac:dyDescent="0.35">
      <c r="A97" s="25" t="s">
        <v>108</v>
      </c>
      <c r="B97" s="25" t="s">
        <v>6</v>
      </c>
      <c r="C97" s="26" t="s">
        <v>447</v>
      </c>
      <c r="D97" s="27">
        <v>46202.875</v>
      </c>
      <c r="E97" s="27">
        <v>46508.208333333299</v>
      </c>
      <c r="F97" s="26" t="s">
        <v>448</v>
      </c>
    </row>
    <row r="98" spans="1:6" s="5" customFormat="1" ht="108.5" x14ac:dyDescent="0.35">
      <c r="A98" s="25" t="s">
        <v>108</v>
      </c>
      <c r="B98" s="25" t="s">
        <v>2</v>
      </c>
      <c r="C98" s="26" t="s">
        <v>449</v>
      </c>
      <c r="D98" s="27">
        <v>46266.333333333299</v>
      </c>
      <c r="E98" s="27">
        <v>46477</v>
      </c>
      <c r="F98" s="26" t="s">
        <v>448</v>
      </c>
    </row>
    <row r="99" spans="1:6" s="5" customFormat="1" ht="77.5" x14ac:dyDescent="0.35">
      <c r="A99" s="25" t="s">
        <v>108</v>
      </c>
      <c r="B99" s="25" t="s">
        <v>2</v>
      </c>
      <c r="C99" s="26" t="s">
        <v>459</v>
      </c>
      <c r="D99" s="27">
        <v>46266.875</v>
      </c>
      <c r="E99" s="27">
        <v>46267.25</v>
      </c>
      <c r="F99" s="26" t="s">
        <v>460</v>
      </c>
    </row>
    <row r="100" spans="1:6" s="5" customFormat="1" ht="186" x14ac:dyDescent="0.35">
      <c r="A100" s="25" t="s">
        <v>432</v>
      </c>
      <c r="B100" s="25" t="s">
        <v>4</v>
      </c>
      <c r="C100" s="26" t="s">
        <v>433</v>
      </c>
      <c r="D100" s="27">
        <v>46266.916666666701</v>
      </c>
      <c r="E100" s="27">
        <v>46267.25</v>
      </c>
      <c r="F100" s="26" t="s">
        <v>434</v>
      </c>
    </row>
    <row r="101" spans="1:6" s="5" customFormat="1" ht="31" x14ac:dyDescent="0.35">
      <c r="A101" s="25" t="s">
        <v>345</v>
      </c>
      <c r="B101" s="25" t="s">
        <v>2</v>
      </c>
      <c r="C101" s="26" t="s">
        <v>346</v>
      </c>
      <c r="D101" s="27">
        <v>46266.875</v>
      </c>
      <c r="E101" s="27">
        <v>46267.25</v>
      </c>
      <c r="F101" s="26" t="s">
        <v>347</v>
      </c>
    </row>
    <row r="102" spans="1:6" s="5" customFormat="1" ht="62" x14ac:dyDescent="0.35">
      <c r="A102" s="25" t="s">
        <v>55</v>
      </c>
      <c r="B102" s="25" t="s">
        <v>4</v>
      </c>
      <c r="C102" s="26" t="s">
        <v>56</v>
      </c>
      <c r="D102" s="27">
        <v>46266.833333333299</v>
      </c>
      <c r="E102" s="27">
        <v>46267.25</v>
      </c>
      <c r="F102" s="26" t="s">
        <v>57</v>
      </c>
    </row>
    <row r="103" spans="1:6" s="5" customFormat="1" ht="77.5" x14ac:dyDescent="0.35">
      <c r="A103" s="25" t="s">
        <v>442</v>
      </c>
      <c r="B103" s="25" t="s">
        <v>2</v>
      </c>
      <c r="C103" s="26" t="s">
        <v>443</v>
      </c>
      <c r="D103" s="27">
        <v>46266.875</v>
      </c>
      <c r="E103" s="27">
        <v>46267.25</v>
      </c>
      <c r="F103" s="26" t="s">
        <v>444</v>
      </c>
    </row>
    <row r="104" spans="1:6" s="5" customFormat="1" ht="77.5" x14ac:dyDescent="0.35">
      <c r="A104" s="25" t="s">
        <v>442</v>
      </c>
      <c r="B104" s="25" t="s">
        <v>6</v>
      </c>
      <c r="C104" s="26" t="s">
        <v>445</v>
      </c>
      <c r="D104" s="27">
        <v>46266.875</v>
      </c>
      <c r="E104" s="27">
        <v>46267.25</v>
      </c>
      <c r="F104" s="26" t="s">
        <v>446</v>
      </c>
    </row>
    <row r="105" spans="1:6" s="5" customFormat="1" ht="93" x14ac:dyDescent="0.35">
      <c r="A105" s="25" t="s">
        <v>127</v>
      </c>
      <c r="B105" s="25" t="s">
        <v>2</v>
      </c>
      <c r="C105" s="26" t="s">
        <v>128</v>
      </c>
      <c r="D105" s="27">
        <v>46266.833333333299</v>
      </c>
      <c r="E105" s="27">
        <v>46267.25</v>
      </c>
      <c r="F105" s="26" t="s">
        <v>126</v>
      </c>
    </row>
    <row r="106" spans="1:6" s="5" customFormat="1" ht="62" x14ac:dyDescent="0.35">
      <c r="A106" s="25" t="s">
        <v>66</v>
      </c>
      <c r="B106" s="25" t="s">
        <v>4</v>
      </c>
      <c r="C106" s="26" t="s">
        <v>67</v>
      </c>
      <c r="D106" s="27">
        <v>46266.833333333299</v>
      </c>
      <c r="E106" s="27">
        <v>46267.25</v>
      </c>
      <c r="F106" s="26" t="s">
        <v>68</v>
      </c>
    </row>
    <row r="107" spans="1:6" s="5" customFormat="1" ht="46.5" x14ac:dyDescent="0.35">
      <c r="A107" s="25" t="s">
        <v>66</v>
      </c>
      <c r="B107" s="25" t="s">
        <v>5</v>
      </c>
      <c r="C107" s="26" t="s">
        <v>78</v>
      </c>
      <c r="D107" s="27">
        <v>46266.833333333299</v>
      </c>
      <c r="E107" s="27">
        <v>46267.25</v>
      </c>
      <c r="F107" s="26" t="s">
        <v>79</v>
      </c>
    </row>
    <row r="108" spans="1:6" s="5" customFormat="1" ht="93" x14ac:dyDescent="0.35">
      <c r="A108" s="25" t="s">
        <v>466</v>
      </c>
      <c r="B108" s="25" t="s">
        <v>7</v>
      </c>
      <c r="C108" s="26" t="s">
        <v>467</v>
      </c>
      <c r="D108" s="27">
        <v>46217.625</v>
      </c>
      <c r="E108" s="27">
        <v>46387.875</v>
      </c>
      <c r="F108" s="26" t="s">
        <v>468</v>
      </c>
    </row>
    <row r="109" spans="1:6" s="5" customFormat="1" ht="77.5" x14ac:dyDescent="0.35">
      <c r="A109" s="25" t="s">
        <v>466</v>
      </c>
      <c r="B109" s="25" t="s">
        <v>4</v>
      </c>
      <c r="C109" s="26" t="s">
        <v>477</v>
      </c>
      <c r="D109" s="27">
        <v>46266.916666666701</v>
      </c>
      <c r="E109" s="27">
        <v>46267.25</v>
      </c>
      <c r="F109" s="26" t="s">
        <v>478</v>
      </c>
    </row>
    <row r="110" spans="1:6" s="5" customFormat="1" ht="62" x14ac:dyDescent="0.35">
      <c r="A110" s="25" t="s">
        <v>469</v>
      </c>
      <c r="B110" s="25" t="s">
        <v>2</v>
      </c>
      <c r="C110" s="26" t="s">
        <v>470</v>
      </c>
      <c r="D110" s="27">
        <v>46266.875</v>
      </c>
      <c r="E110" s="27">
        <v>46267.25</v>
      </c>
      <c r="F110" s="26" t="s">
        <v>471</v>
      </c>
    </row>
    <row r="111" spans="1:6" s="5" customFormat="1" ht="62" x14ac:dyDescent="0.35">
      <c r="A111" s="25" t="s">
        <v>469</v>
      </c>
      <c r="B111" s="25" t="s">
        <v>2</v>
      </c>
      <c r="C111" s="26" t="s">
        <v>472</v>
      </c>
      <c r="D111" s="27">
        <v>46266.875</v>
      </c>
      <c r="E111" s="27">
        <v>46267.25</v>
      </c>
      <c r="F111" s="26" t="s">
        <v>471</v>
      </c>
    </row>
    <row r="112" spans="1:6" s="5" customFormat="1" ht="77.5" x14ac:dyDescent="0.35">
      <c r="A112" s="25" t="s">
        <v>469</v>
      </c>
      <c r="B112" s="25" t="s">
        <v>23</v>
      </c>
      <c r="C112" s="26" t="s">
        <v>473</v>
      </c>
      <c r="D112" s="27">
        <v>46266.875</v>
      </c>
      <c r="E112" s="27">
        <v>46267.25</v>
      </c>
      <c r="F112" s="26" t="s">
        <v>474</v>
      </c>
    </row>
    <row r="113" spans="1:6" s="5" customFormat="1" ht="77.5" x14ac:dyDescent="0.35">
      <c r="A113" s="25" t="s">
        <v>20</v>
      </c>
      <c r="B113" s="25" t="s">
        <v>4</v>
      </c>
      <c r="C113" s="26" t="s">
        <v>21</v>
      </c>
      <c r="D113" s="27">
        <v>46266.833333333299</v>
      </c>
      <c r="E113" s="27">
        <v>46267.25</v>
      </c>
      <c r="F113" s="26" t="s">
        <v>22</v>
      </c>
    </row>
    <row r="114" spans="1:6" s="5" customFormat="1" ht="77.5" x14ac:dyDescent="0.35">
      <c r="A114" s="25" t="s">
        <v>20</v>
      </c>
      <c r="B114" s="25" t="s">
        <v>23</v>
      </c>
      <c r="C114" s="26" t="s">
        <v>24</v>
      </c>
      <c r="D114" s="27">
        <v>46266.833333333299</v>
      </c>
      <c r="E114" s="27">
        <v>46267.25</v>
      </c>
      <c r="F114" s="26" t="s">
        <v>22</v>
      </c>
    </row>
    <row r="115" spans="1:6" s="5" customFormat="1" ht="77.5" x14ac:dyDescent="0.35">
      <c r="A115" s="25" t="s">
        <v>20</v>
      </c>
      <c r="B115" s="25" t="s">
        <v>4</v>
      </c>
      <c r="C115" s="26" t="s">
        <v>25</v>
      </c>
      <c r="D115" s="27">
        <v>46266.833333333299</v>
      </c>
      <c r="E115" s="27">
        <v>46267.25</v>
      </c>
      <c r="F115" s="26" t="s">
        <v>22</v>
      </c>
    </row>
    <row r="116" spans="1:6" s="5" customFormat="1" ht="62" x14ac:dyDescent="0.35">
      <c r="A116" s="25" t="s">
        <v>20</v>
      </c>
      <c r="B116" s="25" t="s">
        <v>5</v>
      </c>
      <c r="C116" s="26" t="s">
        <v>48</v>
      </c>
      <c r="D116" s="27">
        <v>46266.833333333299</v>
      </c>
      <c r="E116" s="27">
        <v>46267.25</v>
      </c>
      <c r="F116" s="26" t="s">
        <v>49</v>
      </c>
    </row>
    <row r="117" spans="1:6" s="5" customFormat="1" ht="77.5" x14ac:dyDescent="0.35">
      <c r="A117" s="25" t="s">
        <v>69</v>
      </c>
      <c r="B117" s="25" t="s">
        <v>6</v>
      </c>
      <c r="C117" s="26" t="s">
        <v>70</v>
      </c>
      <c r="D117" s="27">
        <v>46266.833333333299</v>
      </c>
      <c r="E117" s="27">
        <v>46267.25</v>
      </c>
      <c r="F117" s="26" t="s">
        <v>71</v>
      </c>
    </row>
    <row r="118" spans="1:6" s="5" customFormat="1" ht="62" x14ac:dyDescent="0.35">
      <c r="A118" s="25" t="s">
        <v>69</v>
      </c>
      <c r="B118" s="25" t="s">
        <v>2</v>
      </c>
      <c r="C118" s="26" t="s">
        <v>72</v>
      </c>
      <c r="D118" s="27">
        <v>46266.833333333299</v>
      </c>
      <c r="E118" s="27">
        <v>46267.25</v>
      </c>
      <c r="F118" s="26" t="s">
        <v>73</v>
      </c>
    </row>
    <row r="119" spans="1:6" s="5" customFormat="1" ht="46.5" x14ac:dyDescent="0.35">
      <c r="A119" s="25" t="s">
        <v>482</v>
      </c>
      <c r="B119" s="25" t="s">
        <v>4</v>
      </c>
      <c r="C119" s="26" t="s">
        <v>483</v>
      </c>
      <c r="D119" s="27">
        <v>46266.833333333299</v>
      </c>
      <c r="E119" s="27">
        <v>46267.208333333299</v>
      </c>
      <c r="F119" s="26" t="s">
        <v>484</v>
      </c>
    </row>
    <row r="120" spans="1:6" s="5" customFormat="1" ht="46.5" x14ac:dyDescent="0.35">
      <c r="A120" s="25" t="s">
        <v>482</v>
      </c>
      <c r="B120" s="25" t="s">
        <v>4</v>
      </c>
      <c r="C120" s="26" t="s">
        <v>485</v>
      </c>
      <c r="D120" s="27">
        <v>46266.833333333299</v>
      </c>
      <c r="E120" s="27">
        <v>46267.208333333299</v>
      </c>
      <c r="F120" s="26" t="s">
        <v>484</v>
      </c>
    </row>
    <row r="121" spans="1:6" s="5" customFormat="1" ht="46.5" x14ac:dyDescent="0.35">
      <c r="A121" s="25" t="s">
        <v>482</v>
      </c>
      <c r="B121" s="25" t="s">
        <v>5</v>
      </c>
      <c r="C121" s="26" t="s">
        <v>486</v>
      </c>
      <c r="D121" s="27">
        <v>46266.833333333299</v>
      </c>
      <c r="E121" s="27">
        <v>46267.208333333299</v>
      </c>
      <c r="F121" s="26" t="s">
        <v>487</v>
      </c>
    </row>
    <row r="122" spans="1:6" s="5" customFormat="1" ht="77.5" x14ac:dyDescent="0.35">
      <c r="A122" s="25" t="s">
        <v>461</v>
      </c>
      <c r="B122" s="25" t="s">
        <v>23</v>
      </c>
      <c r="C122" s="26" t="s">
        <v>462</v>
      </c>
      <c r="D122" s="27">
        <v>46230.833333333299</v>
      </c>
      <c r="E122" s="27">
        <v>46403.25</v>
      </c>
      <c r="F122" s="26" t="s">
        <v>463</v>
      </c>
    </row>
    <row r="123" spans="1:6" s="5" customFormat="1" ht="62" x14ac:dyDescent="0.35">
      <c r="A123" s="25" t="s">
        <v>461</v>
      </c>
      <c r="B123" s="25" t="s">
        <v>6</v>
      </c>
      <c r="C123" s="26" t="s">
        <v>475</v>
      </c>
      <c r="D123" s="27">
        <v>46266.999305555597</v>
      </c>
      <c r="E123" s="27">
        <v>46267.25</v>
      </c>
      <c r="F123" s="26" t="s">
        <v>476</v>
      </c>
    </row>
    <row r="124" spans="1:6" s="5" customFormat="1" ht="46.5" x14ac:dyDescent="0.35">
      <c r="A124" s="25" t="s">
        <v>280</v>
      </c>
      <c r="B124" s="25" t="s">
        <v>6</v>
      </c>
      <c r="C124" s="26" t="s">
        <v>281</v>
      </c>
      <c r="D124" s="27">
        <v>46266.875</v>
      </c>
      <c r="E124" s="27">
        <v>46267.25</v>
      </c>
      <c r="F124" s="26" t="s">
        <v>282</v>
      </c>
    </row>
    <row r="125" spans="1:6" s="5" customFormat="1" ht="77.5" x14ac:dyDescent="0.35">
      <c r="A125" s="25" t="s">
        <v>150</v>
      </c>
      <c r="B125" s="25" t="s">
        <v>23</v>
      </c>
      <c r="C125" s="26" t="s">
        <v>151</v>
      </c>
      <c r="D125" s="27">
        <v>46266.833333333299</v>
      </c>
      <c r="E125" s="27">
        <v>46267.25</v>
      </c>
      <c r="F125" s="26" t="s">
        <v>152</v>
      </c>
    </row>
    <row r="126" spans="1:6" s="5" customFormat="1" ht="93" x14ac:dyDescent="0.35">
      <c r="A126" s="25" t="s">
        <v>185</v>
      </c>
      <c r="B126" s="25" t="s">
        <v>6</v>
      </c>
      <c r="C126" s="26" t="s">
        <v>186</v>
      </c>
      <c r="D126" s="27">
        <v>46237.833333333299</v>
      </c>
      <c r="E126" s="27">
        <v>46326.25</v>
      </c>
      <c r="F126" s="26" t="s">
        <v>187</v>
      </c>
    </row>
    <row r="127" spans="1:6" s="5" customFormat="1" ht="93" x14ac:dyDescent="0.35">
      <c r="A127" s="25" t="s">
        <v>185</v>
      </c>
      <c r="B127" s="25" t="s">
        <v>2</v>
      </c>
      <c r="C127" s="26" t="s">
        <v>188</v>
      </c>
      <c r="D127" s="27">
        <v>46237.833333333299</v>
      </c>
      <c r="E127" s="27">
        <v>46326.25</v>
      </c>
      <c r="F127" s="26" t="s">
        <v>187</v>
      </c>
    </row>
    <row r="128" spans="1:6" s="5" customFormat="1" ht="46.5" x14ac:dyDescent="0.35">
      <c r="A128" s="25" t="s">
        <v>178</v>
      </c>
      <c r="B128" s="25" t="s">
        <v>5</v>
      </c>
      <c r="C128" s="26" t="s">
        <v>179</v>
      </c>
      <c r="D128" s="27">
        <v>46266.833333333299</v>
      </c>
      <c r="E128" s="27">
        <v>46267.25</v>
      </c>
      <c r="F128" s="26" t="s">
        <v>180</v>
      </c>
    </row>
    <row r="129" spans="1:6" s="5" customFormat="1" ht="93" x14ac:dyDescent="0.35">
      <c r="A129" s="25" t="s">
        <v>178</v>
      </c>
      <c r="B129" s="25" t="s">
        <v>4</v>
      </c>
      <c r="C129" s="26" t="s">
        <v>189</v>
      </c>
      <c r="D129" s="27">
        <v>46266.833333333299</v>
      </c>
      <c r="E129" s="27">
        <v>46267.25</v>
      </c>
      <c r="F129" s="26" t="s">
        <v>190</v>
      </c>
    </row>
    <row r="130" spans="1:6" s="5" customFormat="1" ht="93" x14ac:dyDescent="0.35">
      <c r="A130" s="25" t="s">
        <v>178</v>
      </c>
      <c r="B130" s="25" t="s">
        <v>4</v>
      </c>
      <c r="C130" s="26" t="s">
        <v>191</v>
      </c>
      <c r="D130" s="27">
        <v>46266.833333333299</v>
      </c>
      <c r="E130" s="27">
        <v>46267.25</v>
      </c>
      <c r="F130" s="26" t="s">
        <v>190</v>
      </c>
    </row>
    <row r="131" spans="1:6" s="5" customFormat="1" ht="93" x14ac:dyDescent="0.35">
      <c r="A131" s="25" t="s">
        <v>178</v>
      </c>
      <c r="B131" s="25" t="s">
        <v>4</v>
      </c>
      <c r="C131" s="26" t="s">
        <v>192</v>
      </c>
      <c r="D131" s="27">
        <v>46266.833333333299</v>
      </c>
      <c r="E131" s="27">
        <v>46267.25</v>
      </c>
      <c r="F131" s="26" t="s">
        <v>190</v>
      </c>
    </row>
    <row r="132" spans="1:6" s="5" customFormat="1" ht="93" x14ac:dyDescent="0.35">
      <c r="A132" s="25" t="s">
        <v>163</v>
      </c>
      <c r="B132" s="25" t="s">
        <v>5</v>
      </c>
      <c r="C132" s="26" t="s">
        <v>164</v>
      </c>
      <c r="D132" s="27">
        <v>46266.833333333299</v>
      </c>
      <c r="E132" s="27">
        <v>46267.208333333299</v>
      </c>
      <c r="F132" s="26" t="s">
        <v>165</v>
      </c>
    </row>
    <row r="133" spans="1:6" s="5" customFormat="1" ht="93" x14ac:dyDescent="0.35">
      <c r="A133" s="25" t="s">
        <v>163</v>
      </c>
      <c r="B133" s="25" t="s">
        <v>5</v>
      </c>
      <c r="C133" s="26" t="s">
        <v>166</v>
      </c>
      <c r="D133" s="27">
        <v>46266.833333333299</v>
      </c>
      <c r="E133" s="27">
        <v>46267.208333333299</v>
      </c>
      <c r="F133" s="26" t="s">
        <v>165</v>
      </c>
    </row>
    <row r="134" spans="1:6" s="5" customFormat="1" ht="77.5" x14ac:dyDescent="0.35">
      <c r="A134" s="25" t="s">
        <v>203</v>
      </c>
      <c r="B134" s="25" t="s">
        <v>5</v>
      </c>
      <c r="C134" s="26" t="s">
        <v>204</v>
      </c>
      <c r="D134" s="27">
        <v>46266.833333333299</v>
      </c>
      <c r="E134" s="27">
        <v>46267.25</v>
      </c>
      <c r="F134" s="26" t="s">
        <v>205</v>
      </c>
    </row>
    <row r="135" spans="1:6" s="5" customFormat="1" ht="77.5" x14ac:dyDescent="0.35">
      <c r="A135" s="25" t="s">
        <v>203</v>
      </c>
      <c r="B135" s="25" t="s">
        <v>5</v>
      </c>
      <c r="C135" s="26" t="s">
        <v>206</v>
      </c>
      <c r="D135" s="27">
        <v>46266.833333333299</v>
      </c>
      <c r="E135" s="27">
        <v>46267.25</v>
      </c>
      <c r="F135" s="26" t="s">
        <v>205</v>
      </c>
    </row>
    <row r="136" spans="1:6" s="5" customFormat="1" ht="77.5" x14ac:dyDescent="0.35">
      <c r="A136" s="25" t="s">
        <v>203</v>
      </c>
      <c r="B136" s="25" t="s">
        <v>5</v>
      </c>
      <c r="C136" s="26" t="s">
        <v>207</v>
      </c>
      <c r="D136" s="27">
        <v>46266.833333333299</v>
      </c>
      <c r="E136" s="27">
        <v>46267.25</v>
      </c>
      <c r="F136" s="26" t="s">
        <v>205</v>
      </c>
    </row>
    <row r="137" spans="1:6" s="5" customFormat="1" ht="77.5" x14ac:dyDescent="0.35">
      <c r="A137" s="25" t="s">
        <v>203</v>
      </c>
      <c r="B137" s="25" t="s">
        <v>5</v>
      </c>
      <c r="C137" s="26" t="s">
        <v>208</v>
      </c>
      <c r="D137" s="27">
        <v>46266.833333333299</v>
      </c>
      <c r="E137" s="27">
        <v>46267.25</v>
      </c>
      <c r="F137" s="26" t="s">
        <v>205</v>
      </c>
    </row>
    <row r="138" spans="1:6" s="5" customFormat="1" ht="77.5" x14ac:dyDescent="0.35">
      <c r="A138" s="25" t="s">
        <v>203</v>
      </c>
      <c r="B138" s="25" t="s">
        <v>5</v>
      </c>
      <c r="C138" s="26" t="s">
        <v>209</v>
      </c>
      <c r="D138" s="27">
        <v>46266.833333333299</v>
      </c>
      <c r="E138" s="27">
        <v>46267.25</v>
      </c>
      <c r="F138" s="26" t="s">
        <v>205</v>
      </c>
    </row>
    <row r="139" spans="1:6" s="5" customFormat="1" ht="46.5" x14ac:dyDescent="0.35">
      <c r="A139" s="25" t="s">
        <v>295</v>
      </c>
      <c r="B139" s="25" t="s">
        <v>2</v>
      </c>
      <c r="C139" s="26" t="s">
        <v>296</v>
      </c>
      <c r="D139" s="27">
        <v>46266.833333333299</v>
      </c>
      <c r="E139" s="27">
        <v>46267.25</v>
      </c>
      <c r="F139" s="26" t="s">
        <v>297</v>
      </c>
    </row>
    <row r="140" spans="1:6" s="5" customFormat="1" ht="77.5" x14ac:dyDescent="0.35">
      <c r="A140" s="25" t="s">
        <v>58</v>
      </c>
      <c r="B140" s="25" t="s">
        <v>2</v>
      </c>
      <c r="C140" s="26" t="s">
        <v>59</v>
      </c>
      <c r="D140" s="27">
        <v>46266.916666666701</v>
      </c>
      <c r="E140" s="27">
        <v>46267.208333333299</v>
      </c>
      <c r="F140" s="26" t="s">
        <v>60</v>
      </c>
    </row>
    <row r="141" spans="1:6" s="5" customFormat="1" ht="77.5" x14ac:dyDescent="0.35">
      <c r="A141" s="25" t="s">
        <v>58</v>
      </c>
      <c r="B141" s="25" t="s">
        <v>2</v>
      </c>
      <c r="C141" s="26" t="s">
        <v>64</v>
      </c>
      <c r="D141" s="27">
        <v>46266.875</v>
      </c>
      <c r="E141" s="27">
        <v>46267.208333333299</v>
      </c>
      <c r="F141" s="26" t="s">
        <v>65</v>
      </c>
    </row>
    <row r="142" spans="1:6" s="5" customFormat="1" ht="46.5" x14ac:dyDescent="0.35">
      <c r="A142" s="25" t="s">
        <v>58</v>
      </c>
      <c r="B142" s="25" t="s">
        <v>6</v>
      </c>
      <c r="C142" s="26" t="s">
        <v>74</v>
      </c>
      <c r="D142" s="27">
        <v>46266.916666666701</v>
      </c>
      <c r="E142" s="27">
        <v>46267.208333333299</v>
      </c>
      <c r="F142" s="26" t="s">
        <v>75</v>
      </c>
    </row>
    <row r="143" spans="1:6" s="5" customFormat="1" ht="46.5" x14ac:dyDescent="0.35">
      <c r="A143" s="25" t="s">
        <v>58</v>
      </c>
      <c r="B143" s="25" t="s">
        <v>2</v>
      </c>
      <c r="C143" s="26" t="s">
        <v>76</v>
      </c>
      <c r="D143" s="27">
        <v>46266.916666666701</v>
      </c>
      <c r="E143" s="27">
        <v>46267.208333333299</v>
      </c>
      <c r="F143" s="26" t="s">
        <v>77</v>
      </c>
    </row>
    <row r="144" spans="1:6" s="5" customFormat="1" ht="93" x14ac:dyDescent="0.35">
      <c r="A144" s="25" t="s">
        <v>58</v>
      </c>
      <c r="B144" s="25" t="s">
        <v>6</v>
      </c>
      <c r="C144" s="26" t="s">
        <v>97</v>
      </c>
      <c r="D144" s="27">
        <v>46266.833333333299</v>
      </c>
      <c r="E144" s="27">
        <v>46267.25</v>
      </c>
      <c r="F144" s="26" t="s">
        <v>98</v>
      </c>
    </row>
    <row r="145" spans="1:6" s="5" customFormat="1" ht="93" x14ac:dyDescent="0.35">
      <c r="A145" s="25" t="s">
        <v>58</v>
      </c>
      <c r="B145" s="25" t="s">
        <v>2</v>
      </c>
      <c r="C145" s="26" t="s">
        <v>125</v>
      </c>
      <c r="D145" s="27">
        <v>46266.833333333299</v>
      </c>
      <c r="E145" s="27">
        <v>46267.25</v>
      </c>
      <c r="F145" s="26" t="s">
        <v>126</v>
      </c>
    </row>
    <row r="146" spans="1:6" s="5" customFormat="1" ht="77.5" x14ac:dyDescent="0.35">
      <c r="A146" s="25" t="s">
        <v>58</v>
      </c>
      <c r="B146" s="25" t="s">
        <v>2</v>
      </c>
      <c r="C146" s="26" t="s">
        <v>159</v>
      </c>
      <c r="D146" s="27">
        <v>46266.833333333299</v>
      </c>
      <c r="E146" s="27">
        <v>46267.25</v>
      </c>
      <c r="F146" s="26" t="s">
        <v>160</v>
      </c>
    </row>
    <row r="147" spans="1:6" s="5" customFormat="1" ht="77.5" x14ac:dyDescent="0.35">
      <c r="A147" s="25" t="s">
        <v>58</v>
      </c>
      <c r="B147" s="25" t="s">
        <v>2</v>
      </c>
      <c r="C147" s="26" t="s">
        <v>161</v>
      </c>
      <c r="D147" s="27">
        <v>46266.833333333299</v>
      </c>
      <c r="E147" s="27">
        <v>46267.25</v>
      </c>
      <c r="F147" s="26" t="s">
        <v>160</v>
      </c>
    </row>
    <row r="148" spans="1:6" s="5" customFormat="1" ht="77.5" x14ac:dyDescent="0.35">
      <c r="A148" s="25" t="s">
        <v>58</v>
      </c>
      <c r="B148" s="25" t="s">
        <v>2</v>
      </c>
      <c r="C148" s="26" t="s">
        <v>162</v>
      </c>
      <c r="D148" s="27">
        <v>46266.833333333299</v>
      </c>
      <c r="E148" s="27">
        <v>46267.25</v>
      </c>
      <c r="F148" s="26" t="s">
        <v>160</v>
      </c>
    </row>
    <row r="149" spans="1:6" s="5" customFormat="1" ht="62" x14ac:dyDescent="0.35">
      <c r="A149" s="25" t="s">
        <v>26</v>
      </c>
      <c r="B149" s="25" t="s">
        <v>2</v>
      </c>
      <c r="C149" s="26" t="s">
        <v>27</v>
      </c>
      <c r="D149" s="27">
        <v>46266.875</v>
      </c>
      <c r="E149" s="27">
        <v>46267.208333333299</v>
      </c>
      <c r="F149" s="26" t="s">
        <v>28</v>
      </c>
    </row>
    <row r="150" spans="1:6" s="5" customFormat="1" ht="46.5" x14ac:dyDescent="0.35">
      <c r="A150" s="25" t="s">
        <v>26</v>
      </c>
      <c r="B150" s="25" t="s">
        <v>6</v>
      </c>
      <c r="C150" s="26" t="s">
        <v>51</v>
      </c>
      <c r="D150" s="27">
        <v>46266.875</v>
      </c>
      <c r="E150" s="27">
        <v>46267.208333333299</v>
      </c>
      <c r="F150" s="26" t="s">
        <v>52</v>
      </c>
    </row>
    <row r="151" spans="1:6" s="5" customFormat="1" ht="93" x14ac:dyDescent="0.35">
      <c r="A151" s="25" t="s">
        <v>156</v>
      </c>
      <c r="B151" s="25" t="s">
        <v>6</v>
      </c>
      <c r="C151" s="26" t="s">
        <v>157</v>
      </c>
      <c r="D151" s="27">
        <v>46266.833333333299</v>
      </c>
      <c r="E151" s="27">
        <v>46267.25</v>
      </c>
      <c r="F151" s="26" t="s">
        <v>154</v>
      </c>
    </row>
    <row r="152" spans="1:6" s="5" customFormat="1" ht="93" x14ac:dyDescent="0.35">
      <c r="A152" s="25" t="s">
        <v>156</v>
      </c>
      <c r="B152" s="25" t="s">
        <v>6</v>
      </c>
      <c r="C152" s="26" t="s">
        <v>158</v>
      </c>
      <c r="D152" s="27">
        <v>46266.833333333299</v>
      </c>
      <c r="E152" s="27">
        <v>46267.25</v>
      </c>
      <c r="F152" s="26" t="s">
        <v>154</v>
      </c>
    </row>
    <row r="153" spans="1:6" s="5" customFormat="1" ht="108.5" x14ac:dyDescent="0.35">
      <c r="A153" s="25" t="s">
        <v>145</v>
      </c>
      <c r="B153" s="25" t="s">
        <v>4</v>
      </c>
      <c r="C153" s="26" t="s">
        <v>146</v>
      </c>
      <c r="D153" s="27">
        <v>46266.833333333299</v>
      </c>
      <c r="E153" s="27">
        <v>46267.25</v>
      </c>
      <c r="F153" s="26" t="s">
        <v>147</v>
      </c>
    </row>
    <row r="154" spans="1:6" s="5" customFormat="1" ht="108.5" x14ac:dyDescent="0.35">
      <c r="A154" s="25" t="s">
        <v>145</v>
      </c>
      <c r="B154" s="25" t="s">
        <v>4</v>
      </c>
      <c r="C154" s="26" t="s">
        <v>148</v>
      </c>
      <c r="D154" s="27">
        <v>46266.833333333299</v>
      </c>
      <c r="E154" s="27">
        <v>46267.25</v>
      </c>
      <c r="F154" s="26" t="s">
        <v>147</v>
      </c>
    </row>
    <row r="155" spans="1:6" s="5" customFormat="1" ht="108.5" x14ac:dyDescent="0.35">
      <c r="A155" s="25" t="s">
        <v>145</v>
      </c>
      <c r="B155" s="25" t="s">
        <v>4</v>
      </c>
      <c r="C155" s="26" t="s">
        <v>149</v>
      </c>
      <c r="D155" s="27">
        <v>46266.833333333299</v>
      </c>
      <c r="E155" s="27">
        <v>46267.25</v>
      </c>
      <c r="F155" s="26" t="s">
        <v>147</v>
      </c>
    </row>
    <row r="156" spans="1:6" s="5" customFormat="1" ht="31" x14ac:dyDescent="0.35">
      <c r="A156" s="25" t="s">
        <v>362</v>
      </c>
      <c r="B156" s="25" t="s">
        <v>5</v>
      </c>
      <c r="C156" s="26" t="s">
        <v>363</v>
      </c>
      <c r="D156" s="27">
        <v>46266.833333333299</v>
      </c>
      <c r="E156" s="27">
        <v>46267.25</v>
      </c>
      <c r="F156" s="26" t="s">
        <v>364</v>
      </c>
    </row>
    <row r="157" spans="1:6" s="5" customFormat="1" ht="31" x14ac:dyDescent="0.35">
      <c r="A157" s="25" t="s">
        <v>362</v>
      </c>
      <c r="B157" s="25" t="s">
        <v>5</v>
      </c>
      <c r="C157" s="26" t="s">
        <v>365</v>
      </c>
      <c r="D157" s="27">
        <v>46266.833333333299</v>
      </c>
      <c r="E157" s="27">
        <v>46267.25</v>
      </c>
      <c r="F157" s="26" t="s">
        <v>364</v>
      </c>
    </row>
    <row r="158" spans="1:6" s="5" customFormat="1" ht="62" x14ac:dyDescent="0.35">
      <c r="A158" s="25" t="s">
        <v>355</v>
      </c>
      <c r="B158" s="25" t="s">
        <v>4</v>
      </c>
      <c r="C158" s="26" t="s">
        <v>356</v>
      </c>
      <c r="D158" s="27">
        <v>46266.833333333299</v>
      </c>
      <c r="E158" s="27">
        <v>46267.25</v>
      </c>
      <c r="F158" s="26" t="s">
        <v>357</v>
      </c>
    </row>
    <row r="159" spans="1:6" s="5" customFormat="1" ht="77.5" x14ac:dyDescent="0.35">
      <c r="A159" s="25" t="s">
        <v>355</v>
      </c>
      <c r="B159" s="25" t="s">
        <v>5</v>
      </c>
      <c r="C159" s="26" t="s">
        <v>391</v>
      </c>
      <c r="D159" s="27">
        <v>46266.916666666701</v>
      </c>
      <c r="E159" s="27">
        <v>46267.229166666701</v>
      </c>
      <c r="F159" s="26" t="s">
        <v>392</v>
      </c>
    </row>
    <row r="160" spans="1:6" s="5" customFormat="1" ht="62" x14ac:dyDescent="0.35">
      <c r="A160" s="25" t="s">
        <v>393</v>
      </c>
      <c r="B160" s="25" t="s">
        <v>6</v>
      </c>
      <c r="C160" s="26" t="s">
        <v>394</v>
      </c>
      <c r="D160" s="27">
        <v>46266.916666666701</v>
      </c>
      <c r="E160" s="27">
        <v>46267.229166666701</v>
      </c>
      <c r="F160" s="26" t="s">
        <v>395</v>
      </c>
    </row>
    <row r="161" spans="1:6" s="5" customFormat="1" ht="77.5" x14ac:dyDescent="0.35">
      <c r="A161" s="25" t="s">
        <v>384</v>
      </c>
      <c r="B161" s="25" t="s">
        <v>7</v>
      </c>
      <c r="C161" s="26" t="s">
        <v>385</v>
      </c>
      <c r="D161" s="27">
        <v>46266.916666666701</v>
      </c>
      <c r="E161" s="27">
        <v>46267.229166666701</v>
      </c>
      <c r="F161" s="26" t="s">
        <v>383</v>
      </c>
    </row>
    <row r="162" spans="1:6" s="5" customFormat="1" ht="77.5" x14ac:dyDescent="0.35">
      <c r="A162" s="25" t="s">
        <v>384</v>
      </c>
      <c r="B162" s="25" t="s">
        <v>8</v>
      </c>
      <c r="C162" s="26" t="s">
        <v>386</v>
      </c>
      <c r="D162" s="27">
        <v>46266.916666666701</v>
      </c>
      <c r="E162" s="27">
        <v>46267.229166666701</v>
      </c>
      <c r="F162" s="26" t="s">
        <v>383</v>
      </c>
    </row>
    <row r="163" spans="1:6" s="5" customFormat="1" ht="46.5" x14ac:dyDescent="0.35">
      <c r="A163" s="25" t="s">
        <v>384</v>
      </c>
      <c r="B163" s="25" t="s">
        <v>7</v>
      </c>
      <c r="C163" s="26" t="s">
        <v>399</v>
      </c>
      <c r="D163" s="27">
        <v>46266.916666666701</v>
      </c>
      <c r="E163" s="27">
        <v>46267.229166666701</v>
      </c>
      <c r="F163" s="26" t="s">
        <v>400</v>
      </c>
    </row>
    <row r="164" spans="1:6" s="5" customFormat="1" ht="77.5" x14ac:dyDescent="0.35">
      <c r="A164" s="25" t="s">
        <v>384</v>
      </c>
      <c r="B164" s="25" t="s">
        <v>8</v>
      </c>
      <c r="C164" s="26" t="s">
        <v>401</v>
      </c>
      <c r="D164" s="27">
        <v>46266.916666666701</v>
      </c>
      <c r="E164" s="27">
        <v>46267.229166666701</v>
      </c>
      <c r="F164" s="26" t="s">
        <v>402</v>
      </c>
    </row>
    <row r="165" spans="1:6" s="5" customFormat="1" ht="46.5" x14ac:dyDescent="0.35">
      <c r="A165" s="25" t="s">
        <v>384</v>
      </c>
      <c r="B165" s="25" t="s">
        <v>8</v>
      </c>
      <c r="C165" s="26" t="s">
        <v>411</v>
      </c>
      <c r="D165" s="27">
        <v>46266.916666666701</v>
      </c>
      <c r="E165" s="27">
        <v>46267.229166666701</v>
      </c>
      <c r="F165" s="26" t="s">
        <v>412</v>
      </c>
    </row>
    <row r="166" spans="1:6" s="5" customFormat="1" ht="31" x14ac:dyDescent="0.35">
      <c r="A166" s="25" t="s">
        <v>316</v>
      </c>
      <c r="B166" s="25" t="s">
        <v>5</v>
      </c>
      <c r="C166" s="26" t="s">
        <v>317</v>
      </c>
      <c r="D166" s="27">
        <v>46266.875</v>
      </c>
      <c r="E166" s="27">
        <v>46267.25</v>
      </c>
      <c r="F166" s="26" t="s">
        <v>318</v>
      </c>
    </row>
    <row r="167" spans="1:6" s="5" customFormat="1" ht="31" x14ac:dyDescent="0.35">
      <c r="A167" s="25" t="s">
        <v>316</v>
      </c>
      <c r="B167" s="25" t="s">
        <v>4</v>
      </c>
      <c r="C167" s="26" t="s">
        <v>325</v>
      </c>
      <c r="D167" s="27">
        <v>46266.875</v>
      </c>
      <c r="E167" s="27">
        <v>46267.25</v>
      </c>
      <c r="F167" s="26" t="s">
        <v>326</v>
      </c>
    </row>
    <row r="168" spans="1:6" s="5" customFormat="1" ht="31" x14ac:dyDescent="0.35">
      <c r="A168" s="25" t="s">
        <v>316</v>
      </c>
      <c r="B168" s="25" t="s">
        <v>4</v>
      </c>
      <c r="C168" s="26" t="s">
        <v>327</v>
      </c>
      <c r="D168" s="27">
        <v>46266.875</v>
      </c>
      <c r="E168" s="27">
        <v>46267.25</v>
      </c>
      <c r="F168" s="26" t="s">
        <v>326</v>
      </c>
    </row>
    <row r="169" spans="1:6" s="5" customFormat="1" ht="62" x14ac:dyDescent="0.35">
      <c r="A169" s="25" t="s">
        <v>316</v>
      </c>
      <c r="B169" s="25" t="s">
        <v>4</v>
      </c>
      <c r="C169" s="26" t="s">
        <v>339</v>
      </c>
      <c r="D169" s="27">
        <v>46266.958333333299</v>
      </c>
      <c r="E169" s="27">
        <v>46267.25</v>
      </c>
      <c r="F169" s="26" t="s">
        <v>340</v>
      </c>
    </row>
    <row r="170" spans="1:6" ht="62" x14ac:dyDescent="0.35">
      <c r="A170" s="25" t="s">
        <v>341</v>
      </c>
      <c r="B170" s="25" t="s">
        <v>6</v>
      </c>
      <c r="C170" s="26" t="s">
        <v>342</v>
      </c>
      <c r="D170" s="27">
        <v>46266.958333333299</v>
      </c>
      <c r="E170" s="27">
        <v>46267.25</v>
      </c>
      <c r="F170" s="26" t="s">
        <v>340</v>
      </c>
    </row>
    <row r="171" spans="1:6" ht="62" x14ac:dyDescent="0.35">
      <c r="A171" s="25" t="s">
        <v>310</v>
      </c>
      <c r="B171" s="25" t="s">
        <v>2</v>
      </c>
      <c r="C171" s="26" t="s">
        <v>311</v>
      </c>
      <c r="D171" s="27">
        <v>46237.25</v>
      </c>
      <c r="E171" s="27">
        <v>46692.25</v>
      </c>
      <c r="F171" s="26" t="s">
        <v>312</v>
      </c>
    </row>
    <row r="172" spans="1:6" ht="46.5" x14ac:dyDescent="0.35">
      <c r="A172" s="25" t="s">
        <v>310</v>
      </c>
      <c r="B172" s="25" t="s">
        <v>2</v>
      </c>
      <c r="C172" s="26" t="s">
        <v>328</v>
      </c>
      <c r="D172" s="27">
        <v>46266.875</v>
      </c>
      <c r="E172" s="27">
        <v>46267.25</v>
      </c>
      <c r="F172" s="26" t="s">
        <v>329</v>
      </c>
    </row>
    <row r="173" spans="1:6" ht="62" x14ac:dyDescent="0.35">
      <c r="A173" s="25" t="s">
        <v>310</v>
      </c>
      <c r="B173" s="25" t="s">
        <v>2</v>
      </c>
      <c r="C173" s="26" t="s">
        <v>338</v>
      </c>
      <c r="D173" s="27">
        <v>46266.875</v>
      </c>
      <c r="E173" s="27">
        <v>46267.25</v>
      </c>
      <c r="F173" s="26" t="s">
        <v>337</v>
      </c>
    </row>
    <row r="174" spans="1:6" ht="77.5" x14ac:dyDescent="0.35">
      <c r="A174" s="25" t="s">
        <v>310</v>
      </c>
      <c r="B174" s="25" t="s">
        <v>4</v>
      </c>
      <c r="C174" s="26" t="s">
        <v>382</v>
      </c>
      <c r="D174" s="27">
        <v>46266.916666666701</v>
      </c>
      <c r="E174" s="27">
        <v>46267.229166666701</v>
      </c>
      <c r="F174" s="26" t="s">
        <v>383</v>
      </c>
    </row>
    <row r="175" spans="1:6" ht="77.5" x14ac:dyDescent="0.35">
      <c r="A175" s="25" t="s">
        <v>80</v>
      </c>
      <c r="B175" s="25" t="s">
        <v>2</v>
      </c>
      <c r="C175" s="26" t="s">
        <v>81</v>
      </c>
      <c r="D175" s="27">
        <v>46266.927083333299</v>
      </c>
      <c r="E175" s="27">
        <v>46267.25</v>
      </c>
      <c r="F175" s="26" t="s">
        <v>82</v>
      </c>
    </row>
    <row r="176" spans="1:6" ht="77.5" x14ac:dyDescent="0.35">
      <c r="A176" s="25" t="s">
        <v>80</v>
      </c>
      <c r="B176" s="25" t="s">
        <v>2</v>
      </c>
      <c r="C176" s="26" t="s">
        <v>83</v>
      </c>
      <c r="D176" s="27">
        <v>46266.927083333299</v>
      </c>
      <c r="E176" s="27">
        <v>46267.25</v>
      </c>
      <c r="F176" s="26" t="s">
        <v>82</v>
      </c>
    </row>
    <row r="177" spans="1:6" ht="77.5" x14ac:dyDescent="0.35">
      <c r="A177" s="25" t="s">
        <v>80</v>
      </c>
      <c r="B177" s="25" t="s">
        <v>2</v>
      </c>
      <c r="C177" s="26" t="s">
        <v>84</v>
      </c>
      <c r="D177" s="27">
        <v>46266.927083333299</v>
      </c>
      <c r="E177" s="27">
        <v>46267.25</v>
      </c>
      <c r="F177" s="26" t="s">
        <v>82</v>
      </c>
    </row>
    <row r="178" spans="1:6" ht="77.5" x14ac:dyDescent="0.35">
      <c r="A178" s="25" t="s">
        <v>80</v>
      </c>
      <c r="B178" s="25" t="s">
        <v>6</v>
      </c>
      <c r="C178" s="26" t="s">
        <v>85</v>
      </c>
      <c r="D178" s="27">
        <v>46266.927083333299</v>
      </c>
      <c r="E178" s="27">
        <v>46267.25</v>
      </c>
      <c r="F178" s="26" t="s">
        <v>86</v>
      </c>
    </row>
    <row r="179" spans="1:6" ht="77.5" x14ac:dyDescent="0.35">
      <c r="A179" s="25" t="s">
        <v>80</v>
      </c>
      <c r="B179" s="25" t="s">
        <v>6</v>
      </c>
      <c r="C179" s="26" t="s">
        <v>87</v>
      </c>
      <c r="D179" s="27">
        <v>46266.927083333299</v>
      </c>
      <c r="E179" s="27">
        <v>46267.25</v>
      </c>
      <c r="F179" s="26" t="s">
        <v>86</v>
      </c>
    </row>
    <row r="180" spans="1:6" ht="77.5" x14ac:dyDescent="0.35">
      <c r="A180" s="25" t="s">
        <v>80</v>
      </c>
      <c r="B180" s="25" t="s">
        <v>6</v>
      </c>
      <c r="C180" s="26" t="s">
        <v>88</v>
      </c>
      <c r="D180" s="27">
        <v>46266.927083333299</v>
      </c>
      <c r="E180" s="27">
        <v>46267.25</v>
      </c>
      <c r="F180" s="26" t="s">
        <v>89</v>
      </c>
    </row>
    <row r="181" spans="1:6" ht="77.5" x14ac:dyDescent="0.35">
      <c r="A181" s="25" t="s">
        <v>80</v>
      </c>
      <c r="B181" s="25" t="s">
        <v>6</v>
      </c>
      <c r="C181" s="26" t="s">
        <v>90</v>
      </c>
      <c r="D181" s="27">
        <v>46266.927083333299</v>
      </c>
      <c r="E181" s="27">
        <v>46267.25</v>
      </c>
      <c r="F181" s="26" t="s">
        <v>89</v>
      </c>
    </row>
    <row r="182" spans="1:6" ht="77.5" x14ac:dyDescent="0.35">
      <c r="A182" s="25" t="s">
        <v>80</v>
      </c>
      <c r="B182" s="25" t="s">
        <v>6</v>
      </c>
      <c r="C182" s="26" t="s">
        <v>91</v>
      </c>
      <c r="D182" s="27">
        <v>46266.958333333299</v>
      </c>
      <c r="E182" s="27">
        <v>46267.208333333299</v>
      </c>
      <c r="F182" s="26" t="s">
        <v>92</v>
      </c>
    </row>
    <row r="183" spans="1:6" ht="77.5" x14ac:dyDescent="0.35">
      <c r="A183" s="25" t="s">
        <v>80</v>
      </c>
      <c r="B183" s="25" t="s">
        <v>6</v>
      </c>
      <c r="C183" s="26" t="s">
        <v>93</v>
      </c>
      <c r="D183" s="27">
        <v>46266.958333333299</v>
      </c>
      <c r="E183" s="27">
        <v>46267.208333333299</v>
      </c>
      <c r="F183" s="26" t="s">
        <v>92</v>
      </c>
    </row>
    <row r="184" spans="1:6" ht="62" x14ac:dyDescent="0.35">
      <c r="A184" s="25" t="s">
        <v>479</v>
      </c>
      <c r="B184" s="25" t="s">
        <v>7</v>
      </c>
      <c r="C184" s="26" t="s">
        <v>480</v>
      </c>
      <c r="D184" s="27">
        <v>46266.875</v>
      </c>
      <c r="E184" s="27">
        <v>46267.125</v>
      </c>
      <c r="F184" s="26" t="s">
        <v>481</v>
      </c>
    </row>
    <row r="185" spans="1:6" ht="93" x14ac:dyDescent="0.35">
      <c r="A185" s="25" t="s">
        <v>94</v>
      </c>
      <c r="B185" s="25" t="s">
        <v>5</v>
      </c>
      <c r="C185" s="26" t="s">
        <v>95</v>
      </c>
      <c r="D185" s="27">
        <v>46266.833333333299</v>
      </c>
      <c r="E185" s="27">
        <v>46267.25</v>
      </c>
      <c r="F185" s="26" t="s">
        <v>96</v>
      </c>
    </row>
    <row r="186" spans="1:6" ht="139.5" x14ac:dyDescent="0.35">
      <c r="A186" s="25" t="s">
        <v>428</v>
      </c>
      <c r="B186" s="25" t="s">
        <v>2</v>
      </c>
      <c r="C186" s="26" t="s">
        <v>429</v>
      </c>
      <c r="D186" s="27">
        <v>46266.875</v>
      </c>
      <c r="E186" s="27">
        <v>46267.25</v>
      </c>
      <c r="F186" s="26" t="s">
        <v>430</v>
      </c>
    </row>
    <row r="187" spans="1:6" ht="139.5" x14ac:dyDescent="0.35">
      <c r="A187" s="25" t="s">
        <v>428</v>
      </c>
      <c r="B187" s="25" t="s">
        <v>2</v>
      </c>
      <c r="C187" s="26" t="s">
        <v>431</v>
      </c>
      <c r="D187" s="27">
        <v>46266.875</v>
      </c>
      <c r="E187" s="27">
        <v>46267.25</v>
      </c>
      <c r="F187" s="26" t="s">
        <v>430</v>
      </c>
    </row>
    <row r="188" spans="1:6" ht="186" x14ac:dyDescent="0.35">
      <c r="A188" s="25" t="s">
        <v>428</v>
      </c>
      <c r="B188" s="25" t="s">
        <v>6</v>
      </c>
      <c r="C188" s="26" t="s">
        <v>435</v>
      </c>
      <c r="D188" s="27">
        <v>46266.916666666701</v>
      </c>
      <c r="E188" s="27">
        <v>46267.25</v>
      </c>
      <c r="F188" s="26" t="s">
        <v>434</v>
      </c>
    </row>
    <row r="189" spans="1:6" ht="186" x14ac:dyDescent="0.35">
      <c r="A189" s="25" t="s">
        <v>428</v>
      </c>
      <c r="B189" s="25" t="s">
        <v>6</v>
      </c>
      <c r="C189" s="26" t="s">
        <v>436</v>
      </c>
      <c r="D189" s="27">
        <v>46266.916666666701</v>
      </c>
      <c r="E189" s="27">
        <v>46267.25</v>
      </c>
      <c r="F189" s="26" t="s">
        <v>434</v>
      </c>
    </row>
    <row r="190" spans="1:6" ht="62" x14ac:dyDescent="0.35">
      <c r="A190" s="25" t="s">
        <v>428</v>
      </c>
      <c r="B190" s="25" t="s">
        <v>2</v>
      </c>
      <c r="C190" s="26" t="s">
        <v>450</v>
      </c>
      <c r="D190" s="27">
        <v>46266.916666666701</v>
      </c>
      <c r="E190" s="27">
        <v>46267.25</v>
      </c>
      <c r="F190" s="26" t="s">
        <v>451</v>
      </c>
    </row>
    <row r="191" spans="1:6" ht="46.5" x14ac:dyDescent="0.35">
      <c r="A191" s="25" t="s">
        <v>238</v>
      </c>
      <c r="B191" s="25" t="s">
        <v>2</v>
      </c>
      <c r="C191" s="26" t="s">
        <v>239</v>
      </c>
      <c r="D191" s="27">
        <v>46266.833333333299</v>
      </c>
      <c r="E191" s="27">
        <v>46267.25</v>
      </c>
      <c r="F191" s="26" t="s">
        <v>237</v>
      </c>
    </row>
    <row r="192" spans="1:6" ht="46.5" x14ac:dyDescent="0.35">
      <c r="A192" s="25" t="s">
        <v>238</v>
      </c>
      <c r="B192" s="25" t="s">
        <v>2</v>
      </c>
      <c r="C192" s="26" t="s">
        <v>240</v>
      </c>
      <c r="D192" s="27">
        <v>46266.833333333299</v>
      </c>
      <c r="E192" s="27">
        <v>46267.25</v>
      </c>
      <c r="F192" s="26" t="s">
        <v>237</v>
      </c>
    </row>
    <row r="193" spans="1:6" ht="46.5" x14ac:dyDescent="0.35">
      <c r="A193" s="25" t="s">
        <v>238</v>
      </c>
      <c r="B193" s="25" t="s">
        <v>2</v>
      </c>
      <c r="C193" s="26" t="s">
        <v>241</v>
      </c>
      <c r="D193" s="27">
        <v>46266.833333333299</v>
      </c>
      <c r="E193" s="27">
        <v>46267.25</v>
      </c>
      <c r="F193" s="26" t="s">
        <v>237</v>
      </c>
    </row>
    <row r="194" spans="1:6" ht="46.5" x14ac:dyDescent="0.35">
      <c r="A194" s="25" t="s">
        <v>238</v>
      </c>
      <c r="B194" s="25" t="s">
        <v>2</v>
      </c>
      <c r="C194" s="26" t="s">
        <v>242</v>
      </c>
      <c r="D194" s="27">
        <v>46266.833333333299</v>
      </c>
      <c r="E194" s="27">
        <v>46267.25</v>
      </c>
      <c r="F194" s="26" t="s">
        <v>237</v>
      </c>
    </row>
    <row r="195" spans="1:6" ht="46.5" x14ac:dyDescent="0.35">
      <c r="A195" s="25" t="s">
        <v>238</v>
      </c>
      <c r="B195" s="25" t="s">
        <v>2</v>
      </c>
      <c r="C195" s="26" t="s">
        <v>243</v>
      </c>
      <c r="D195" s="27">
        <v>46266.833333333299</v>
      </c>
      <c r="E195" s="27">
        <v>46267.25</v>
      </c>
      <c r="F195" s="26" t="s">
        <v>237</v>
      </c>
    </row>
    <row r="196" spans="1:6" ht="46.5" x14ac:dyDescent="0.35">
      <c r="A196" s="25" t="s">
        <v>238</v>
      </c>
      <c r="B196" s="25" t="s">
        <v>2</v>
      </c>
      <c r="C196" s="26" t="s">
        <v>244</v>
      </c>
      <c r="D196" s="27">
        <v>46266.833333333299</v>
      </c>
      <c r="E196" s="27">
        <v>46267.25</v>
      </c>
      <c r="F196" s="26" t="s">
        <v>237</v>
      </c>
    </row>
    <row r="197" spans="1:6" ht="46.5" x14ac:dyDescent="0.35">
      <c r="A197" s="25" t="s">
        <v>238</v>
      </c>
      <c r="B197" s="25" t="s">
        <v>6</v>
      </c>
      <c r="C197" s="26" t="s">
        <v>248</v>
      </c>
      <c r="D197" s="27">
        <v>46266.833333333299</v>
      </c>
      <c r="E197" s="27">
        <v>46267.25</v>
      </c>
      <c r="F197" s="26" t="s">
        <v>249</v>
      </c>
    </row>
    <row r="198" spans="1:6" ht="46.5" x14ac:dyDescent="0.35">
      <c r="A198" s="25" t="s">
        <v>238</v>
      </c>
      <c r="B198" s="25" t="s">
        <v>6</v>
      </c>
      <c r="C198" s="26" t="s">
        <v>250</v>
      </c>
      <c r="D198" s="27">
        <v>46266.833333333299</v>
      </c>
      <c r="E198" s="27">
        <v>46267.25</v>
      </c>
      <c r="F198" s="26" t="s">
        <v>249</v>
      </c>
    </row>
    <row r="199" spans="1:6" ht="46.5" x14ac:dyDescent="0.35">
      <c r="A199" s="25" t="s">
        <v>238</v>
      </c>
      <c r="B199" s="25" t="s">
        <v>6</v>
      </c>
      <c r="C199" s="26" t="s">
        <v>251</v>
      </c>
      <c r="D199" s="27">
        <v>46266.833333333299</v>
      </c>
      <c r="E199" s="27">
        <v>46267.25</v>
      </c>
      <c r="F199" s="26" t="s">
        <v>249</v>
      </c>
    </row>
    <row r="200" spans="1:6" ht="46.5" x14ac:dyDescent="0.35">
      <c r="A200" s="25" t="s">
        <v>235</v>
      </c>
      <c r="B200" s="25" t="s">
        <v>5</v>
      </c>
      <c r="C200" s="26" t="s">
        <v>236</v>
      </c>
      <c r="D200" s="27">
        <v>46266.833333333299</v>
      </c>
      <c r="E200" s="27">
        <v>46267.25</v>
      </c>
      <c r="F200" s="26" t="s">
        <v>237</v>
      </c>
    </row>
    <row r="201" spans="1:6" ht="46.5" x14ac:dyDescent="0.35">
      <c r="A201" s="25" t="s">
        <v>235</v>
      </c>
      <c r="B201" s="25" t="s">
        <v>4</v>
      </c>
      <c r="C201" s="26" t="s">
        <v>252</v>
      </c>
      <c r="D201" s="27">
        <v>46266.875</v>
      </c>
      <c r="E201" s="27">
        <v>46267.25</v>
      </c>
      <c r="F201" s="26" t="s">
        <v>253</v>
      </c>
    </row>
    <row r="202" spans="1:6" ht="46.5" x14ac:dyDescent="0.35">
      <c r="A202" s="25" t="s">
        <v>235</v>
      </c>
      <c r="B202" s="25" t="s">
        <v>5</v>
      </c>
      <c r="C202" s="26" t="s">
        <v>254</v>
      </c>
      <c r="D202" s="27">
        <v>46266.875</v>
      </c>
      <c r="E202" s="27">
        <v>46267.25</v>
      </c>
      <c r="F202" s="26" t="s">
        <v>253</v>
      </c>
    </row>
    <row r="203" spans="1:6" ht="46.5" x14ac:dyDescent="0.35">
      <c r="A203" s="25" t="s">
        <v>235</v>
      </c>
      <c r="B203" s="25" t="s">
        <v>4</v>
      </c>
      <c r="C203" s="26" t="s">
        <v>255</v>
      </c>
      <c r="D203" s="27">
        <v>46266.875</v>
      </c>
      <c r="E203" s="27">
        <v>46267.25</v>
      </c>
      <c r="F203" s="26" t="s">
        <v>253</v>
      </c>
    </row>
    <row r="204" spans="1:6" ht="46.5" x14ac:dyDescent="0.35">
      <c r="A204" s="25" t="s">
        <v>235</v>
      </c>
      <c r="B204" s="25" t="s">
        <v>5</v>
      </c>
      <c r="C204" s="26" t="s">
        <v>278</v>
      </c>
      <c r="D204" s="27">
        <v>46266.916666666701</v>
      </c>
      <c r="E204" s="27">
        <v>46267.25</v>
      </c>
      <c r="F204" s="26" t="s">
        <v>279</v>
      </c>
    </row>
    <row r="205" spans="1:6" ht="46.5" x14ac:dyDescent="0.35">
      <c r="A205" s="25" t="s">
        <v>232</v>
      </c>
      <c r="B205" s="25" t="s">
        <v>6</v>
      </c>
      <c r="C205" s="26" t="s">
        <v>233</v>
      </c>
      <c r="D205" s="27">
        <v>45804.208333333299</v>
      </c>
      <c r="E205" s="27">
        <v>46418.208333333299</v>
      </c>
      <c r="F205" s="26" t="s">
        <v>234</v>
      </c>
    </row>
    <row r="206" spans="1:6" ht="46.5" x14ac:dyDescent="0.35">
      <c r="A206" s="25" t="s">
        <v>232</v>
      </c>
      <c r="B206" s="25" t="s">
        <v>6</v>
      </c>
      <c r="C206" s="26" t="s">
        <v>287</v>
      </c>
      <c r="D206" s="27">
        <v>46266.875</v>
      </c>
      <c r="E206" s="27">
        <v>46267.25</v>
      </c>
      <c r="F206" s="26" t="s">
        <v>285</v>
      </c>
    </row>
    <row r="207" spans="1:6" ht="46.5" x14ac:dyDescent="0.35">
      <c r="A207" s="25" t="s">
        <v>232</v>
      </c>
      <c r="B207" s="25" t="s">
        <v>6</v>
      </c>
      <c r="C207" s="26" t="s">
        <v>288</v>
      </c>
      <c r="D207" s="27">
        <v>46266.875</v>
      </c>
      <c r="E207" s="27">
        <v>46267.25</v>
      </c>
      <c r="F207" s="26" t="s">
        <v>285</v>
      </c>
    </row>
    <row r="208" spans="1:6" ht="46.5" x14ac:dyDescent="0.35">
      <c r="A208" s="25" t="s">
        <v>283</v>
      </c>
      <c r="B208" s="25" t="s">
        <v>5</v>
      </c>
      <c r="C208" s="26" t="s">
        <v>284</v>
      </c>
      <c r="D208" s="27">
        <v>46266.875</v>
      </c>
      <c r="E208" s="27">
        <v>46267.208333333299</v>
      </c>
      <c r="F208" s="26" t="s">
        <v>285</v>
      </c>
    </row>
    <row r="209" spans="1:6" ht="46.5" x14ac:dyDescent="0.35">
      <c r="A209" s="25" t="s">
        <v>283</v>
      </c>
      <c r="B209" s="25" t="s">
        <v>5</v>
      </c>
      <c r="C209" s="26" t="s">
        <v>286</v>
      </c>
      <c r="D209" s="27">
        <v>46266.875</v>
      </c>
      <c r="E209" s="27">
        <v>46267.208333333299</v>
      </c>
      <c r="F209" s="26" t="s">
        <v>285</v>
      </c>
    </row>
    <row r="210" spans="1:6" ht="77.5" x14ac:dyDescent="0.35">
      <c r="A210" s="25" t="s">
        <v>111</v>
      </c>
      <c r="B210" s="25" t="s">
        <v>6</v>
      </c>
      <c r="C210" s="26" t="s">
        <v>112</v>
      </c>
      <c r="D210" s="27">
        <v>46266.833333333299</v>
      </c>
      <c r="E210" s="27">
        <v>46267.25</v>
      </c>
      <c r="F210" s="26" t="s">
        <v>113</v>
      </c>
    </row>
    <row r="211" spans="1:6" ht="46.5" x14ac:dyDescent="0.35">
      <c r="A211" s="25" t="s">
        <v>111</v>
      </c>
      <c r="B211" s="25" t="s">
        <v>6</v>
      </c>
      <c r="C211" s="26" t="s">
        <v>266</v>
      </c>
      <c r="D211" s="27">
        <v>46266.875</v>
      </c>
      <c r="E211" s="27">
        <v>46267.208333333299</v>
      </c>
      <c r="F211" s="26" t="s">
        <v>267</v>
      </c>
    </row>
    <row r="212" spans="1:6" ht="46.5" x14ac:dyDescent="0.35">
      <c r="A212" s="25" t="s">
        <v>111</v>
      </c>
      <c r="B212" s="25" t="s">
        <v>6</v>
      </c>
      <c r="C212" s="26" t="s">
        <v>268</v>
      </c>
      <c r="D212" s="27">
        <v>46266.875</v>
      </c>
      <c r="E212" s="27">
        <v>46267.208333333299</v>
      </c>
      <c r="F212" s="26" t="s">
        <v>267</v>
      </c>
    </row>
    <row r="213" spans="1:6" ht="46.5" x14ac:dyDescent="0.35">
      <c r="A213" s="25" t="s">
        <v>111</v>
      </c>
      <c r="B213" s="25" t="s">
        <v>6</v>
      </c>
      <c r="C213" s="26" t="s">
        <v>289</v>
      </c>
      <c r="D213" s="27">
        <v>46266.916666666701</v>
      </c>
      <c r="E213" s="27">
        <v>46267.25</v>
      </c>
      <c r="F213" s="26" t="s">
        <v>290</v>
      </c>
    </row>
    <row r="214" spans="1:6" ht="46.5" x14ac:dyDescent="0.35">
      <c r="A214" s="25" t="s">
        <v>111</v>
      </c>
      <c r="B214" s="25" t="s">
        <v>6</v>
      </c>
      <c r="C214" s="26" t="s">
        <v>291</v>
      </c>
      <c r="D214" s="27">
        <v>46266.916666666701</v>
      </c>
      <c r="E214" s="27">
        <v>46267.25</v>
      </c>
      <c r="F214" s="26" t="s">
        <v>290</v>
      </c>
    </row>
    <row r="215" spans="1:6" ht="93" x14ac:dyDescent="0.35">
      <c r="A215" s="25" t="s">
        <v>111</v>
      </c>
      <c r="B215" s="25" t="s">
        <v>2</v>
      </c>
      <c r="C215" s="26" t="s">
        <v>452</v>
      </c>
      <c r="D215" s="27">
        <v>46266.875</v>
      </c>
      <c r="E215" s="27">
        <v>46267.25</v>
      </c>
      <c r="F215" s="26" t="s">
        <v>453</v>
      </c>
    </row>
    <row r="216" spans="1:6" ht="93" x14ac:dyDescent="0.35">
      <c r="A216" s="25" t="s">
        <v>111</v>
      </c>
      <c r="B216" s="25" t="s">
        <v>6</v>
      </c>
      <c r="C216" s="26" t="s">
        <v>454</v>
      </c>
      <c r="D216" s="27">
        <v>46266.875</v>
      </c>
      <c r="E216" s="27">
        <v>46267.25</v>
      </c>
      <c r="F216" s="26" t="s">
        <v>453</v>
      </c>
    </row>
    <row r="217" spans="1:6" ht="77.5" x14ac:dyDescent="0.35">
      <c r="A217" s="25" t="s">
        <v>111</v>
      </c>
      <c r="B217" s="25" t="s">
        <v>2</v>
      </c>
      <c r="C217" s="26" t="s">
        <v>455</v>
      </c>
      <c r="D217" s="27">
        <v>46266.875</v>
      </c>
      <c r="E217" s="27">
        <v>46267.25</v>
      </c>
      <c r="F217" s="26" t="s">
        <v>456</v>
      </c>
    </row>
    <row r="218" spans="1:6" ht="77.5" x14ac:dyDescent="0.35">
      <c r="A218" s="25" t="s">
        <v>111</v>
      </c>
      <c r="B218" s="25" t="s">
        <v>2</v>
      </c>
      <c r="C218" s="26" t="s">
        <v>457</v>
      </c>
      <c r="D218" s="27">
        <v>46266.875</v>
      </c>
      <c r="E218" s="27">
        <v>46267.25</v>
      </c>
      <c r="F218" s="26" t="s">
        <v>456</v>
      </c>
    </row>
    <row r="219" spans="1:6" ht="77.5" x14ac:dyDescent="0.35">
      <c r="A219" s="25" t="s">
        <v>111</v>
      </c>
      <c r="B219" s="25" t="s">
        <v>2</v>
      </c>
      <c r="C219" s="26" t="s">
        <v>458</v>
      </c>
      <c r="D219" s="27">
        <v>46266.875</v>
      </c>
      <c r="E219" s="27">
        <v>46267.25</v>
      </c>
      <c r="F219" s="26" t="s">
        <v>456</v>
      </c>
    </row>
    <row r="220" spans="1:6" ht="93" x14ac:dyDescent="0.35">
      <c r="A220" s="25" t="s">
        <v>111</v>
      </c>
      <c r="B220" s="25" t="s">
        <v>2</v>
      </c>
      <c r="C220" s="26" t="s">
        <v>464</v>
      </c>
      <c r="D220" s="27">
        <v>46266.875</v>
      </c>
      <c r="E220" s="27">
        <v>46267.25</v>
      </c>
      <c r="F220" s="26" t="s">
        <v>465</v>
      </c>
    </row>
    <row r="221" spans="1:6" ht="46.5" x14ac:dyDescent="0.35">
      <c r="A221" s="25" t="s">
        <v>269</v>
      </c>
      <c r="B221" s="25" t="s">
        <v>8</v>
      </c>
      <c r="C221" s="26" t="s">
        <v>270</v>
      </c>
      <c r="D221" s="27">
        <v>46266.999305555597</v>
      </c>
      <c r="E221" s="27">
        <v>46267.25</v>
      </c>
      <c r="F221" s="26" t="s">
        <v>271</v>
      </c>
    </row>
    <row r="222" spans="1:6" ht="46.5" x14ac:dyDescent="0.35">
      <c r="A222" s="25" t="s">
        <v>269</v>
      </c>
      <c r="B222" s="25" t="s">
        <v>7</v>
      </c>
      <c r="C222" s="26" t="s">
        <v>272</v>
      </c>
      <c r="D222" s="27">
        <v>46266.999305555597</v>
      </c>
      <c r="E222" s="27">
        <v>46267.25</v>
      </c>
      <c r="F222" s="26" t="s">
        <v>271</v>
      </c>
    </row>
    <row r="223" spans="1:6" ht="46.5" x14ac:dyDescent="0.35">
      <c r="A223" s="25" t="s">
        <v>269</v>
      </c>
      <c r="B223" s="25" t="s">
        <v>7</v>
      </c>
      <c r="C223" s="26" t="s">
        <v>301</v>
      </c>
      <c r="D223" s="27">
        <v>46266.875</v>
      </c>
      <c r="E223" s="27">
        <v>46267.25</v>
      </c>
      <c r="F223" s="26" t="s">
        <v>300</v>
      </c>
    </row>
    <row r="224" spans="1:6" ht="46.5" x14ac:dyDescent="0.35">
      <c r="A224" s="25" t="s">
        <v>269</v>
      </c>
      <c r="B224" s="25" t="s">
        <v>7</v>
      </c>
      <c r="C224" s="26" t="s">
        <v>302</v>
      </c>
      <c r="D224" s="27">
        <v>46266.875</v>
      </c>
      <c r="E224" s="27">
        <v>46267.25</v>
      </c>
      <c r="F224" s="26" t="s">
        <v>300</v>
      </c>
    </row>
    <row r="225" spans="1:6" ht="46.5" x14ac:dyDescent="0.35">
      <c r="A225" s="25" t="s">
        <v>269</v>
      </c>
      <c r="B225" s="25" t="s">
        <v>8</v>
      </c>
      <c r="C225" s="26" t="s">
        <v>303</v>
      </c>
      <c r="D225" s="27">
        <v>46266.875</v>
      </c>
      <c r="E225" s="27">
        <v>46267.25</v>
      </c>
      <c r="F225" s="26" t="s">
        <v>300</v>
      </c>
    </row>
    <row r="226" spans="1:6" ht="46.5" x14ac:dyDescent="0.35">
      <c r="A226" s="25" t="s">
        <v>269</v>
      </c>
      <c r="B226" s="25" t="s">
        <v>7</v>
      </c>
      <c r="C226" s="26" t="s">
        <v>304</v>
      </c>
      <c r="D226" s="27">
        <v>46266.875</v>
      </c>
      <c r="E226" s="27">
        <v>46267.25</v>
      </c>
      <c r="F226" s="26" t="s">
        <v>305</v>
      </c>
    </row>
    <row r="227" spans="1:6" ht="46.5" x14ac:dyDescent="0.35">
      <c r="A227" s="25" t="s">
        <v>269</v>
      </c>
      <c r="B227" s="25" t="s">
        <v>7</v>
      </c>
      <c r="C227" s="26" t="s">
        <v>306</v>
      </c>
      <c r="D227" s="27">
        <v>46266.875</v>
      </c>
      <c r="E227" s="27">
        <v>46267.25</v>
      </c>
      <c r="F227" s="26" t="s">
        <v>305</v>
      </c>
    </row>
    <row r="228" spans="1:6" ht="46.5" x14ac:dyDescent="0.35">
      <c r="A228" s="25" t="s">
        <v>269</v>
      </c>
      <c r="B228" s="25" t="s">
        <v>8</v>
      </c>
      <c r="C228" s="26" t="s">
        <v>307</v>
      </c>
      <c r="D228" s="27">
        <v>46266.875</v>
      </c>
      <c r="E228" s="27">
        <v>46267.208333333299</v>
      </c>
      <c r="F228" s="26" t="s">
        <v>308</v>
      </c>
    </row>
    <row r="229" spans="1:6" ht="46.5" x14ac:dyDescent="0.35">
      <c r="A229" s="25" t="s">
        <v>269</v>
      </c>
      <c r="B229" s="25" t="s">
        <v>8</v>
      </c>
      <c r="C229" s="26" t="s">
        <v>309</v>
      </c>
      <c r="D229" s="27">
        <v>46266.875</v>
      </c>
      <c r="E229" s="27">
        <v>46267.208333333299</v>
      </c>
      <c r="F229" s="26" t="s">
        <v>308</v>
      </c>
    </row>
    <row r="230" spans="1:6" ht="77.5" x14ac:dyDescent="0.35">
      <c r="A230" s="25" t="s">
        <v>167</v>
      </c>
      <c r="B230" s="25" t="s">
        <v>6</v>
      </c>
      <c r="C230" s="26" t="s">
        <v>168</v>
      </c>
      <c r="D230" s="27">
        <v>46266.833333333299</v>
      </c>
      <c r="E230" s="27">
        <v>46267.25</v>
      </c>
      <c r="F230" s="26" t="s">
        <v>169</v>
      </c>
    </row>
    <row r="231" spans="1:6" ht="77.5" x14ac:dyDescent="0.35">
      <c r="A231" s="25" t="s">
        <v>167</v>
      </c>
      <c r="B231" s="25" t="s">
        <v>6</v>
      </c>
      <c r="C231" s="26" t="s">
        <v>170</v>
      </c>
      <c r="D231" s="27">
        <v>46266.833333333299</v>
      </c>
      <c r="E231" s="27">
        <v>46267.25</v>
      </c>
      <c r="F231" s="26" t="s">
        <v>169</v>
      </c>
    </row>
    <row r="232" spans="1:6" ht="77.5" x14ac:dyDescent="0.35">
      <c r="A232" s="25" t="s">
        <v>167</v>
      </c>
      <c r="B232" s="25" t="s">
        <v>6</v>
      </c>
      <c r="C232" s="26" t="s">
        <v>171</v>
      </c>
      <c r="D232" s="27">
        <v>46266.833333333299</v>
      </c>
      <c r="E232" s="27">
        <v>46267.25</v>
      </c>
      <c r="F232" s="26" t="s">
        <v>169</v>
      </c>
    </row>
    <row r="233" spans="1:6" ht="77.5" x14ac:dyDescent="0.35">
      <c r="A233" s="25" t="s">
        <v>167</v>
      </c>
      <c r="B233" s="25" t="s">
        <v>6</v>
      </c>
      <c r="C233" s="26" t="s">
        <v>172</v>
      </c>
      <c r="D233" s="27">
        <v>46266.833333333299</v>
      </c>
      <c r="E233" s="27">
        <v>46267.25</v>
      </c>
      <c r="F233" s="26" t="s">
        <v>169</v>
      </c>
    </row>
    <row r="234" spans="1:6" ht="77.5" x14ac:dyDescent="0.35">
      <c r="A234" s="25" t="s">
        <v>167</v>
      </c>
      <c r="B234" s="25" t="s">
        <v>6</v>
      </c>
      <c r="C234" s="26" t="s">
        <v>173</v>
      </c>
      <c r="D234" s="27">
        <v>46266.833333333299</v>
      </c>
      <c r="E234" s="27">
        <v>46267.25</v>
      </c>
      <c r="F234" s="26" t="s">
        <v>169</v>
      </c>
    </row>
    <row r="235" spans="1:6" ht="77.5" x14ac:dyDescent="0.35">
      <c r="A235" s="25" t="s">
        <v>167</v>
      </c>
      <c r="B235" s="25" t="s">
        <v>6</v>
      </c>
      <c r="C235" s="26" t="s">
        <v>174</v>
      </c>
      <c r="D235" s="27">
        <v>46266.833333333299</v>
      </c>
      <c r="E235" s="27">
        <v>46267.25</v>
      </c>
      <c r="F235" s="26" t="s">
        <v>169</v>
      </c>
    </row>
    <row r="236" spans="1:6" ht="62" x14ac:dyDescent="0.35">
      <c r="A236" s="25" t="s">
        <v>245</v>
      </c>
      <c r="B236" s="25" t="s">
        <v>2</v>
      </c>
      <c r="C236" s="26" t="s">
        <v>246</v>
      </c>
      <c r="D236" s="27">
        <v>46266.875</v>
      </c>
      <c r="E236" s="27">
        <v>46267.25</v>
      </c>
      <c r="F236" s="26" t="s">
        <v>247</v>
      </c>
    </row>
    <row r="237" spans="1:6" ht="62" x14ac:dyDescent="0.35">
      <c r="A237" s="25" t="s">
        <v>133</v>
      </c>
      <c r="B237" s="25" t="s">
        <v>4</v>
      </c>
      <c r="C237" s="26" t="s">
        <v>134</v>
      </c>
      <c r="D237" s="27">
        <v>46266.833333333299</v>
      </c>
      <c r="E237" s="27">
        <v>46267.25</v>
      </c>
      <c r="F237" s="26" t="s">
        <v>135</v>
      </c>
    </row>
    <row r="238" spans="1:6" ht="62" x14ac:dyDescent="0.35">
      <c r="A238" s="25" t="s">
        <v>133</v>
      </c>
      <c r="B238" s="25" t="s">
        <v>4</v>
      </c>
      <c r="C238" s="26" t="s">
        <v>136</v>
      </c>
      <c r="D238" s="27">
        <v>46266.833333333299</v>
      </c>
      <c r="E238" s="27">
        <v>46267.25</v>
      </c>
      <c r="F238" s="26" t="s">
        <v>135</v>
      </c>
    </row>
    <row r="239" spans="1:6" ht="62" x14ac:dyDescent="0.35">
      <c r="A239" s="25" t="s">
        <v>133</v>
      </c>
      <c r="B239" s="25" t="s">
        <v>4</v>
      </c>
      <c r="C239" s="26" t="s">
        <v>137</v>
      </c>
      <c r="D239" s="27">
        <v>46266.833333333299</v>
      </c>
      <c r="E239" s="27">
        <v>46267.25</v>
      </c>
      <c r="F239" s="26" t="s">
        <v>135</v>
      </c>
    </row>
    <row r="240" spans="1:6" ht="62" x14ac:dyDescent="0.35">
      <c r="A240" s="25" t="s">
        <v>133</v>
      </c>
      <c r="B240" s="25" t="s">
        <v>4</v>
      </c>
      <c r="C240" s="26" t="s">
        <v>138</v>
      </c>
      <c r="D240" s="27">
        <v>46266.833333333299</v>
      </c>
      <c r="E240" s="27">
        <v>46267.25</v>
      </c>
      <c r="F240" s="26" t="s">
        <v>135</v>
      </c>
    </row>
    <row r="241" spans="1:6" ht="62" x14ac:dyDescent="0.35">
      <c r="A241" s="25" t="s">
        <v>133</v>
      </c>
      <c r="B241" s="25" t="s">
        <v>5</v>
      </c>
      <c r="C241" s="26" t="s">
        <v>139</v>
      </c>
      <c r="D241" s="27">
        <v>46266.916666666701</v>
      </c>
      <c r="E241" s="27">
        <v>46267.25</v>
      </c>
      <c r="F241" s="26" t="s">
        <v>135</v>
      </c>
    </row>
    <row r="242" spans="1:6" ht="62" x14ac:dyDescent="0.35">
      <c r="A242" s="25" t="s">
        <v>133</v>
      </c>
      <c r="B242" s="25" t="s">
        <v>5</v>
      </c>
      <c r="C242" s="26" t="s">
        <v>140</v>
      </c>
      <c r="D242" s="27">
        <v>46266.916666666701</v>
      </c>
      <c r="E242" s="27">
        <v>46267.25</v>
      </c>
      <c r="F242" s="26" t="s">
        <v>135</v>
      </c>
    </row>
    <row r="243" spans="1:6" ht="62" x14ac:dyDescent="0.35">
      <c r="A243" s="25" t="s">
        <v>133</v>
      </c>
      <c r="B243" s="25" t="s">
        <v>5</v>
      </c>
      <c r="C243" s="26" t="s">
        <v>141</v>
      </c>
      <c r="D243" s="27">
        <v>46266.916666666701</v>
      </c>
      <c r="E243" s="27">
        <v>46267.25</v>
      </c>
      <c r="F243" s="26" t="s">
        <v>135</v>
      </c>
    </row>
    <row r="244" spans="1:6" ht="62" x14ac:dyDescent="0.35">
      <c r="A244" s="25" t="s">
        <v>133</v>
      </c>
      <c r="B244" s="25" t="s">
        <v>5</v>
      </c>
      <c r="C244" s="26" t="s">
        <v>142</v>
      </c>
      <c r="D244" s="27">
        <v>46266.916666666701</v>
      </c>
      <c r="E244" s="27">
        <v>46267.25</v>
      </c>
      <c r="F244" s="26" t="s">
        <v>135</v>
      </c>
    </row>
    <row r="245" spans="1:6" ht="93" x14ac:dyDescent="0.35">
      <c r="A245" s="25" t="s">
        <v>133</v>
      </c>
      <c r="B245" s="25" t="s">
        <v>5</v>
      </c>
      <c r="C245" s="26" t="s">
        <v>153</v>
      </c>
      <c r="D245" s="27">
        <v>46266.833333333299</v>
      </c>
      <c r="E245" s="27">
        <v>46267.25</v>
      </c>
      <c r="F245" s="26" t="s">
        <v>154</v>
      </c>
    </row>
    <row r="246" spans="1:6" ht="93" x14ac:dyDescent="0.35">
      <c r="A246" s="25" t="s">
        <v>133</v>
      </c>
      <c r="B246" s="25" t="s">
        <v>4</v>
      </c>
      <c r="C246" s="26" t="s">
        <v>155</v>
      </c>
      <c r="D246" s="27">
        <v>46266.833333333299</v>
      </c>
      <c r="E246" s="27">
        <v>46267.25</v>
      </c>
      <c r="F246" s="26" t="s">
        <v>154</v>
      </c>
    </row>
    <row r="247" spans="1:6" ht="77.5" x14ac:dyDescent="0.35">
      <c r="A247" s="25" t="s">
        <v>133</v>
      </c>
      <c r="B247" s="25" t="s">
        <v>5</v>
      </c>
      <c r="C247" s="26" t="s">
        <v>181</v>
      </c>
      <c r="D247" s="27">
        <v>46266.833333333299</v>
      </c>
      <c r="E247" s="27">
        <v>46267.25</v>
      </c>
      <c r="F247" s="26" t="s">
        <v>182</v>
      </c>
    </row>
    <row r="248" spans="1:6" ht="77.5" x14ac:dyDescent="0.35">
      <c r="A248" s="25" t="s">
        <v>133</v>
      </c>
      <c r="B248" s="25" t="s">
        <v>5</v>
      </c>
      <c r="C248" s="26" t="s">
        <v>183</v>
      </c>
      <c r="D248" s="27">
        <v>46266.833333333299</v>
      </c>
      <c r="E248" s="27">
        <v>46267.25</v>
      </c>
      <c r="F248" s="26" t="s">
        <v>182</v>
      </c>
    </row>
    <row r="249" spans="1:6" ht="77.5" x14ac:dyDescent="0.35">
      <c r="A249" s="25" t="s">
        <v>133</v>
      </c>
      <c r="B249" s="25" t="s">
        <v>5</v>
      </c>
      <c r="C249" s="26" t="s">
        <v>184</v>
      </c>
      <c r="D249" s="27">
        <v>46266.833333333299</v>
      </c>
      <c r="E249" s="27">
        <v>46267.25</v>
      </c>
      <c r="F249" s="26" t="s">
        <v>182</v>
      </c>
    </row>
    <row r="250" spans="1:6" ht="46.5" x14ac:dyDescent="0.35">
      <c r="A250" s="25" t="s">
        <v>256</v>
      </c>
      <c r="B250" s="25" t="s">
        <v>5</v>
      </c>
      <c r="C250" s="26" t="s">
        <v>257</v>
      </c>
      <c r="D250" s="27">
        <v>46266.875</v>
      </c>
      <c r="E250" s="27">
        <v>46267.25</v>
      </c>
      <c r="F250" s="26" t="s">
        <v>258</v>
      </c>
    </row>
    <row r="251" spans="1:6" ht="46.5" x14ac:dyDescent="0.35">
      <c r="A251" s="25" t="s">
        <v>256</v>
      </c>
      <c r="B251" s="25" t="s">
        <v>5</v>
      </c>
      <c r="C251" s="26" t="s">
        <v>259</v>
      </c>
      <c r="D251" s="27">
        <v>46266.875</v>
      </c>
      <c r="E251" s="27">
        <v>46267.25</v>
      </c>
      <c r="F251" s="26" t="s">
        <v>258</v>
      </c>
    </row>
    <row r="252" spans="1:6" ht="62" x14ac:dyDescent="0.35">
      <c r="A252" s="25" t="s">
        <v>256</v>
      </c>
      <c r="B252" s="25" t="s">
        <v>4</v>
      </c>
      <c r="C252" s="26" t="s">
        <v>273</v>
      </c>
      <c r="D252" s="27">
        <v>46266.875</v>
      </c>
      <c r="E252" s="27">
        <v>46267.208333333299</v>
      </c>
      <c r="F252" s="26" t="s">
        <v>274</v>
      </c>
    </row>
    <row r="253" spans="1:6" ht="62" x14ac:dyDescent="0.35">
      <c r="A253" s="25" t="s">
        <v>256</v>
      </c>
      <c r="B253" s="25" t="s">
        <v>4</v>
      </c>
      <c r="C253" s="26" t="s">
        <v>275</v>
      </c>
      <c r="D253" s="27">
        <v>46266.875</v>
      </c>
      <c r="E253" s="27">
        <v>46267.208333333299</v>
      </c>
      <c r="F253" s="26" t="s">
        <v>274</v>
      </c>
    </row>
    <row r="254" spans="1:6" ht="62" x14ac:dyDescent="0.35">
      <c r="A254" s="25" t="s">
        <v>256</v>
      </c>
      <c r="B254" s="25" t="s">
        <v>4</v>
      </c>
      <c r="C254" s="26" t="s">
        <v>276</v>
      </c>
      <c r="D254" s="27">
        <v>46266.875</v>
      </c>
      <c r="E254" s="27">
        <v>46267.208333333299</v>
      </c>
      <c r="F254" s="26" t="s">
        <v>274</v>
      </c>
    </row>
    <row r="255" spans="1:6" ht="62" x14ac:dyDescent="0.35">
      <c r="A255" s="25" t="s">
        <v>256</v>
      </c>
      <c r="B255" s="25" t="s">
        <v>4</v>
      </c>
      <c r="C255" s="26" t="s">
        <v>277</v>
      </c>
      <c r="D255" s="27">
        <v>46266.875</v>
      </c>
      <c r="E255" s="27">
        <v>46267.208333333299</v>
      </c>
      <c r="F255" s="26" t="s">
        <v>274</v>
      </c>
    </row>
    <row r="256" spans="1:6" ht="46.5" x14ac:dyDescent="0.35">
      <c r="A256" s="25" t="s">
        <v>256</v>
      </c>
      <c r="B256" s="25" t="s">
        <v>5</v>
      </c>
      <c r="C256" s="26" t="s">
        <v>292</v>
      </c>
      <c r="D256" s="27">
        <v>46266.875</v>
      </c>
      <c r="E256" s="27">
        <v>46267.25</v>
      </c>
      <c r="F256" s="26" t="s">
        <v>293</v>
      </c>
    </row>
    <row r="257" spans="1:6" ht="46.5" x14ac:dyDescent="0.35">
      <c r="A257" s="25" t="s">
        <v>256</v>
      </c>
      <c r="B257" s="25" t="s">
        <v>5</v>
      </c>
      <c r="C257" s="26" t="s">
        <v>294</v>
      </c>
      <c r="D257" s="27">
        <v>46266.875</v>
      </c>
      <c r="E257" s="27">
        <v>46267.25</v>
      </c>
      <c r="F257" s="26" t="s">
        <v>293</v>
      </c>
    </row>
    <row r="258" spans="1:6" ht="46.5" x14ac:dyDescent="0.35">
      <c r="A258" s="25" t="s">
        <v>298</v>
      </c>
      <c r="B258" s="25" t="s">
        <v>6</v>
      </c>
      <c r="C258" s="26" t="s">
        <v>299</v>
      </c>
      <c r="D258" s="27">
        <v>46266.875</v>
      </c>
      <c r="E258" s="27">
        <v>46267.25</v>
      </c>
      <c r="F258" s="26" t="s">
        <v>300</v>
      </c>
    </row>
    <row r="259" spans="1:6" ht="46.5" x14ac:dyDescent="0.35">
      <c r="A259" s="25" t="s">
        <v>260</v>
      </c>
      <c r="B259" s="25" t="s">
        <v>4</v>
      </c>
      <c r="C259" s="26" t="s">
        <v>261</v>
      </c>
      <c r="D259" s="27">
        <v>46266.833333333299</v>
      </c>
      <c r="E259" s="27">
        <v>46267.25</v>
      </c>
      <c r="F259" s="26" t="s">
        <v>262</v>
      </c>
    </row>
    <row r="260" spans="1:6" ht="46.5" x14ac:dyDescent="0.35">
      <c r="A260" s="25" t="s">
        <v>260</v>
      </c>
      <c r="B260" s="25" t="s">
        <v>4</v>
      </c>
      <c r="C260" s="26" t="s">
        <v>263</v>
      </c>
      <c r="D260" s="27">
        <v>46266.833333333299</v>
      </c>
      <c r="E260" s="27">
        <v>46267.25</v>
      </c>
      <c r="F260" s="26" t="s">
        <v>262</v>
      </c>
    </row>
    <row r="261" spans="1:6" ht="46.5" x14ac:dyDescent="0.35">
      <c r="A261" s="25" t="s">
        <v>260</v>
      </c>
      <c r="B261" s="25" t="s">
        <v>5</v>
      </c>
      <c r="C261" s="26" t="s">
        <v>264</v>
      </c>
      <c r="D261" s="27">
        <v>46266.833333333299</v>
      </c>
      <c r="E261" s="27">
        <v>46267.25</v>
      </c>
      <c r="F261" s="26" t="s">
        <v>262</v>
      </c>
    </row>
    <row r="262" spans="1:6" ht="46.5" x14ac:dyDescent="0.35">
      <c r="A262" s="25" t="s">
        <v>260</v>
      </c>
      <c r="B262" s="25" t="s">
        <v>5</v>
      </c>
      <c r="C262" s="26" t="s">
        <v>265</v>
      </c>
      <c r="D262" s="27">
        <v>46266.833333333299</v>
      </c>
      <c r="E262" s="27">
        <v>46267.25</v>
      </c>
      <c r="F262" s="26" t="s">
        <v>262</v>
      </c>
    </row>
  </sheetData>
  <autoFilter ref="A2:F82" xr:uid="{93B7315F-D2FC-4C0E-9F55-271D0AA7A834}">
    <sortState xmlns:xlrd2="http://schemas.microsoft.com/office/spreadsheetml/2017/richdata2" ref="A3:F262">
      <sortCondition ref="A2:A82"/>
    </sortState>
  </autoFilter>
  <mergeCells count="1">
    <mergeCell ref="A1:F1"/>
  </mergeCells>
  <conditionalFormatting sqref="A3:F262">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5FF2590-D718-4E2D-833D-CDB8C115C69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Wednesday</vt:lpstr>
      <vt:lpstr>Thursday</vt:lpstr>
      <vt:lpstr>Friday</vt:lpstr>
      <vt:lpstr>Saturday</vt:lpstr>
      <vt:lpstr>Sunday</vt:lpstr>
      <vt:lpstr>Monday</vt:lpstr>
      <vt:lpstr>Tuesday</vt:lpstr>
      <vt:lpstr>Direction</vt:lpstr>
      <vt:lpstr>Wednesday!Print_Area</vt:lpstr>
      <vt:lpstr>Wednesday!Print_Titles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2026-08-26T14:23:59Z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