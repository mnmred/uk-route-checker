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124226"/>
  <mc:AlternateContent xmlns:mc="http://schemas.openxmlformats.org/markup-compatibility/2006">
    <mc:Choice Requires="x15">
      <x15ac:absPath xmlns:x15ac="http://schemas.microsoft.com/office/spreadsheetml/2010/11/ac" url="https://highways-my.sharepoint.com/personal/max_lingley-churchill_nationalhighways_co_uk/Documents/Desktop/"/>
    </mc:Choice>
  </mc:AlternateContent>
  <xr:revisionPtr revIDLastSave="47" documentId="8_{3FB33C11-83AC-4DE1-B5CF-C3AA9ADEBE77}" xr6:coauthVersionLast="47" xr6:coauthVersionMax="47" xr10:uidLastSave="{93701EBF-42E7-4D1F-9F51-EED4A39E7D43}"/>
  <bookViews>
    <workbookView xWindow="28680" yWindow="-120" windowWidth="29040" windowHeight="15720" activeTab="2" xr2:uid="{7542C0CA-4226-42B8-BE97-758C7839391A}"/>
  </bookViews>
  <sheets>
    <sheet name="Front page" sheetId="11" r:id="rId1"/>
    <sheet name="Data Listing" sheetId="4" state="hidden" r:id="rId2"/>
    <sheet name="Wednesday" sheetId="1" r:id="rId3"/>
    <sheet name="Thursday" sheetId="5" r:id="rId4"/>
    <sheet name="Friday" sheetId="6" r:id="rId5"/>
    <sheet name="Saturday" sheetId="7" r:id="rId6"/>
    <sheet name="Sunday" sheetId="12" r:id="rId7"/>
    <sheet name="Monday" sheetId="9" r:id="rId8"/>
    <sheet name="Tuesday" sheetId="10" r:id="rId9"/>
  </sheets>
  <definedNames>
    <definedName name="_xlnm._FilterDatabase" localSheetId="4" hidden="1">Friday!$A$2:$F$178</definedName>
    <definedName name="_xlnm._FilterDatabase" localSheetId="7" hidden="1">Monday!$A$2:$F$87</definedName>
    <definedName name="_xlnm._FilterDatabase" localSheetId="5" hidden="1">Saturday!$A$2:$F$179</definedName>
    <definedName name="_xlnm._FilterDatabase" localSheetId="6" hidden="1">Sunday!$A$2:$F$190</definedName>
    <definedName name="_xlnm._FilterDatabase" localSheetId="3" hidden="1">Thursday!$A$2:$F$191</definedName>
    <definedName name="_xlnm._FilterDatabase" localSheetId="8" hidden="1">Tuesday!$A$2:$F$82</definedName>
    <definedName name="_xlnm._FilterDatabase" localSheetId="2" hidden="1">Wednesday!$A$2:$F$168</definedName>
    <definedName name="Direction">'Data Listing'!$A$1:$A$7</definedName>
    <definedName name="_xlnm.Print_Area" localSheetId="2">Wednesday!$A:$F</definedName>
    <definedName name="_xlnm.Print_Titles" localSheetId="2">Wednesday!$1:$1</definedName>
    <definedName name="Status" localSheetId="6">#REF!</definedName>
    <definedName name="Status">#REF!</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11" l="1"/>
  <c r="A1" i="12" s="1"/>
  <c r="A6" i="11"/>
  <c r="A1" i="6" s="1"/>
  <c r="C2" i="11"/>
  <c r="A10" i="11"/>
  <c r="A1" i="10" s="1"/>
  <c r="A9" i="11"/>
  <c r="A1" i="9" s="1"/>
  <c r="A7" i="11"/>
  <c r="A1" i="7" s="1"/>
  <c r="A5" i="11"/>
  <c r="A1" i="5" s="1"/>
  <c r="A4" i="11"/>
  <c r="A1" i="1" s="1"/>
</calcChain>
</file>

<file path=xl/sharedStrings.xml><?xml version="1.0" encoding="utf-8"?>
<sst xmlns="http://schemas.openxmlformats.org/spreadsheetml/2006/main" count="6397" uniqueCount="1297">
  <si>
    <t>Location</t>
  </si>
  <si>
    <t>Direction</t>
  </si>
  <si>
    <t>Northbound</t>
  </si>
  <si>
    <t>Both ways</t>
  </si>
  <si>
    <t>Eastbound</t>
  </si>
  <si>
    <t>Westbound</t>
  </si>
  <si>
    <t>Southbound</t>
  </si>
  <si>
    <t>Clockwise</t>
  </si>
  <si>
    <t>Anti-clockwise</t>
  </si>
  <si>
    <t>Road number</t>
  </si>
  <si>
    <t>Closure details, including diversions</t>
  </si>
  <si>
    <t>Scheduled
start time</t>
  </si>
  <si>
    <t>Scheduled
end time</t>
  </si>
  <si>
    <t>.</t>
  </si>
  <si>
    <r>
      <t xml:space="preserve"> We would welcome your feedback on the usefulness and accuracy of this information so that we can use this to refine our processes. Feedback can be provided to </t>
    </r>
    <r>
      <rPr>
        <u/>
        <sz val="11"/>
        <color indexed="30"/>
        <rFont val="Arial"/>
        <family val="2"/>
      </rPr>
      <t>Info@nationalhighways.co.uk</t>
    </r>
  </si>
  <si>
    <t>7 day closure report</t>
  </si>
  <si>
    <t>Each day we will upload an updated list of road closures covering that evening and the next 6 days. Understandably plans can sometimes change, and it is for this reason we recommend you regularly visit the webpage to view the most up-to-date closure list.</t>
  </si>
  <si>
    <t>A11</t>
  </si>
  <si>
    <t>A11 southbound Elveden Bypass to Fiveways Roundabout carriageway closure</t>
  </si>
  <si>
    <t>Overall Scheme Details: A11 southbound 
London Road Roundabout to Fiveways Roundabout - carriageway closure for white lining/road markings on behalf of National Highways</t>
  </si>
  <si>
    <t>A12</t>
  </si>
  <si>
    <t>A12 northbound  Jct 19 to 25 carriageway closure</t>
  </si>
  <si>
    <t>Overall Scheme Details: A12 both directions
 Jct 19 Boreham to 25 Marks Tey - carriageway closure for carriageway - reconstruction renewal on behalf of National Highways</t>
  </si>
  <si>
    <t>A47</t>
  </si>
  <si>
    <t>Both directions</t>
  </si>
  <si>
    <t>A47 both directions Welland road to Eye green carriageway closure</t>
  </si>
  <si>
    <t>Overall Scheme Details: A47 eastbound 
Jct 17 to Eye Green Roundabout - Lane closure, carriageway closure and diversion route for carriageway - reconstruction/renewal on behalf of National Highways</t>
  </si>
  <si>
    <t>A47 both directions Hardwick Roundabout to A1122 Roundabout carriageway closure</t>
  </si>
  <si>
    <t>Overall Scheme Details: A47 both directions 
Hardwick Roundabout to A1122 Roundabout - carriageway closure and diversion route for carriageway - reconstruction/renewal on behalf of National Highways</t>
  </si>
  <si>
    <t>A14</t>
  </si>
  <si>
    <t>A14 westbound Jct 34 entry slip road closure</t>
  </si>
  <si>
    <t>Overall Scheme Details: A14 both directions
Jct 33 to Jct 35 - carriageway closure for electrical works on behalf of National Highways</t>
  </si>
  <si>
    <t>A14 eastbound Jct 43 to Jct 51 carriageway closure</t>
  </si>
  <si>
    <t>Overall Scheme Details: A14 eastbound 
Jct 43 to Jct 51 - carriageway closure for carriageway - reconstruction/renewal on behalf of National Highways</t>
  </si>
  <si>
    <t>A11 southbound Fourwentways entry slip road closure</t>
  </si>
  <si>
    <t>Overall Scheme Details: A11 both directions 
Six Mile Bottom to Stumps Cross - carriageway closure for horticulture (cutting and planting) on behalf of National Highways</t>
  </si>
  <si>
    <t>A14 westbound Jct 35 to Jct 33 carriageway closure</t>
  </si>
  <si>
    <t>Overall Scheme Details: A14 both directions 
Jct 35 to Jct 33 - carriageway closure for structure - maintenance on behalf of National Highways</t>
  </si>
  <si>
    <t>A1</t>
  </si>
  <si>
    <t>A1 southbound Wansford entry slip road closure</t>
  </si>
  <si>
    <t>Overall Scheme Details: A1 both directions 
A47 Junction to Stibbington - carriageway closure for drainage on behalf of National Highways</t>
  </si>
  <si>
    <t>A12 southbound Jct 30 exit and entry slip road - carriageway closure</t>
  </si>
  <si>
    <t>Overall Scheme Details: A12 southbound
Jct 31 to Jct 30 - lane closure, slip road closures, and diversion route on behalf of Suffolk County Council</t>
  </si>
  <si>
    <t>A120</t>
  </si>
  <si>
    <t>A120 eastbound Dunmow West exit slip road closure</t>
  </si>
  <si>
    <t>Overall Scheme Details: A120 eastbound
Stansted to Dunmow - exit slip road closure, lane closure and diversion route due to drainage works on behalf of Ringway</t>
  </si>
  <si>
    <t>M11</t>
  </si>
  <si>
    <t>M11 northbound Jct 7A entry slip road closure</t>
  </si>
  <si>
    <t>Overall Scheme Details: M11 northbound 
Jct 7A - carriageway closure for carriageway - reconstruction/renewal on behalf of National Highways</t>
  </si>
  <si>
    <t>A1 both directions Black Cat roundabout - North quadrant closure</t>
  </si>
  <si>
    <t>Overall Scheme Details: A1 both directions
Black Cat roundabout - North quadrant closure for bypass construction on behalf of National Highways</t>
  </si>
  <si>
    <t>A141</t>
  </si>
  <si>
    <t>A141 eastbound A14 Jct 21 to Brampton Hut roundabout carriageway closure</t>
  </si>
  <si>
    <t>Overall Scheme Details: A1 both directions 
Brampton to Alconbury - carriageway closure and diversion route for drainage on behalf of National Highways</t>
  </si>
  <si>
    <t>A1 northbound Brampton Hut exit slip road closure</t>
  </si>
  <si>
    <t>M1</t>
  </si>
  <si>
    <t>M1 northbound Jct 12 Toddington exit slip road closure</t>
  </si>
  <si>
    <t>Overall Scheme Details: M1 both directions
Jct 12 Toddington - entry slip road closures, exit slip road closures, lane closures and diversion routes due to communications works on behalf of National Highways</t>
  </si>
  <si>
    <t>M1 northbound Jct 9 exit slip road closure</t>
  </si>
  <si>
    <t>Overall Scheme Details: M1 northbound
Jct 8 to Jct 9 - exit slip road closure, lane closures and diversion route due to inspection/survey works on behalf of National Highways</t>
  </si>
  <si>
    <t>A14 westbound Jct 37 entry slip road closure</t>
  </si>
  <si>
    <t>Overall Scheme Details: A14 westbound  
Jct 37 - carriageway closure for drainage on behalf of National Highways</t>
  </si>
  <si>
    <t>A1(M)</t>
  </si>
  <si>
    <t>A1(M) southbound Jct 15 between slips carriageway closure</t>
  </si>
  <si>
    <t>Overall Scheme Details: A1(M) southbound 
Jct 15 to Jct 14 - carriageway closure for communications on behalf of National Highways</t>
  </si>
  <si>
    <t>M1 northbound Jct 10 entry slip road closure</t>
  </si>
  <si>
    <t>Overall Scheme Details: M1 northbound
Jct 10 - entry slip road closure, lane closures and diversion route due to drainage works on behalf of Ringway</t>
  </si>
  <si>
    <t>M40</t>
  </si>
  <si>
    <t>M40 Southbound Jct 4 to Jct 3 carriageway closure</t>
  </si>
  <si>
    <t>Overall Scheme Details: M40 Southbound Jct 5 to Jct 3, lane closures, carriageway closure, slip road closure and diversion route for maintenance works.
Diversion via National Highways network and local authority roads.</t>
  </si>
  <si>
    <t>M40 Southbound Jct 4 entry slip road closure</t>
  </si>
  <si>
    <t>M1 northbound Jct 29 exit slip road closure</t>
  </si>
  <si>
    <t>Overall Scheme Details: M1 northbound and southbound Jct 28 to Jct 29a 
Slip road, lay-by and lane closure due to maintenance work.
Diversion route via National Highways and local authority network.</t>
  </si>
  <si>
    <t>A46</t>
  </si>
  <si>
    <t>A46 Layby closure southbound</t>
  </si>
  <si>
    <t>Overall Scheme Details: A46 northbound and southbound Swinderby to Carholme roundabout
Carriageway, lane and layby closures  due to drainage works
Diversion via National Highways network and local authority network</t>
  </si>
  <si>
    <t>A14 eastbound layby closure</t>
  </si>
  <si>
    <t>Overall Scheme Details: A14 eastbound and westbound Jct 2 to Jct 8.
Carriageway, slip road, layby and lane closures due to maintenance works.
Diversion via National Highways and local authority network.</t>
  </si>
  <si>
    <t>A14 eastbound Jct 2 to Jct 8 carriageway closure</t>
  </si>
  <si>
    <t>A14 eastbound Jct 2 entry slip road closure</t>
  </si>
  <si>
    <t>A14 eastbound Jct 3 exit slip road closure</t>
  </si>
  <si>
    <t>A14 eastbound Jct 3 entry slip road closure</t>
  </si>
  <si>
    <t>A14 eastbound Jct 4 entry slip road closure</t>
  </si>
  <si>
    <t>A14 eastbound Jct 5 exit and entry slip road closure</t>
  </si>
  <si>
    <t>A14 eastbound Jct 6 exit slip road closure</t>
  </si>
  <si>
    <t>A14 eastbound Jct 6 entry slip road closure</t>
  </si>
  <si>
    <t>A14 eastbound Jct 7 exit slip road closure</t>
  </si>
  <si>
    <t>A14 eastbound Jct 7 entry slip road closure</t>
  </si>
  <si>
    <t>A14 eastbound Jct 8 exit slip road closure</t>
  </si>
  <si>
    <t>A5</t>
  </si>
  <si>
    <t>A5 southbound Layby closure</t>
  </si>
  <si>
    <t xml:space="preserve">Overall Scheme Details: A5 northbound and southbound Weedon Bec to Danes way roundabout.
Carriageway, layby, traffic signals and lane closures due to horticultural works
Diversion via National Highways network and local authority network
</t>
  </si>
  <si>
    <t>A5 both directions Kilsby to Weedon Bec carriageway closure</t>
  </si>
  <si>
    <t>M6</t>
  </si>
  <si>
    <t>M6 to M1 southbound link road closure</t>
  </si>
  <si>
    <t>Overall Scheme Details: M6 southbound Jct 1 to M1 Jct 19.
Slip road and lane closures due to maintenance works.
Diversion route via National Highways and local authority network.</t>
  </si>
  <si>
    <t>A1 northbound Woolfox Layby closure</t>
  </si>
  <si>
    <t>Overall Scheme Details: A1 northbound Stamford to Barrowby
Carriageway, slip road and lane closure, plus 24/7 layby closures. due to maintenance works
Diversion via National Highways network and local authority network</t>
  </si>
  <si>
    <t>A1 northbound Stamford to Harlaxton carriageway closure</t>
  </si>
  <si>
    <t>A1 northbound Empingham entry slip road closure</t>
  </si>
  <si>
    <t>A1 northbound Casterton entry slip road closure</t>
  </si>
  <si>
    <t>A1 northbound Bloody Oaks exit slip road closure</t>
  </si>
  <si>
    <t>A1 northbound Bloody Oaks entry slip road closure</t>
  </si>
  <si>
    <t>A1 northbound Stretton exit slip road closure</t>
  </si>
  <si>
    <t>A1 northbound Stretton entry slip road closure</t>
  </si>
  <si>
    <t>A1 northbound South Witham exit slip road closure</t>
  </si>
  <si>
    <t>A1 northbound South Witham 2 way slip road closure</t>
  </si>
  <si>
    <t>A1 northbound South Witham entry slip road closure</t>
  </si>
  <si>
    <t>A1 northbound Colsterworth exit slip road closure</t>
  </si>
  <si>
    <t>A1 northbound Colsterworth entry slip road closure</t>
  </si>
  <si>
    <t>A1 northbound Woolthorpe exit slip road closure</t>
  </si>
  <si>
    <t>A1 northbound Woolthorpe entry slip road closure</t>
  </si>
  <si>
    <t>A1 northbound Little Ponton exit slip road closure</t>
  </si>
  <si>
    <t>A1 northbound Spittlegate exit slip road closure</t>
  </si>
  <si>
    <t>A1 northbound Spittlegate entry slip road closure</t>
  </si>
  <si>
    <t>A1 northbound Harlaxton exit slip road closure</t>
  </si>
  <si>
    <t>A46 southbound Widmerpool exit slip road closure</t>
  </si>
  <si>
    <t>Overall Scheme Details: A46 northbound and southbound Willoughby on the Wolds to Rohoe.
Slip road and lane closures due to developer works.
Diversion via National Highways and local authority network.</t>
  </si>
  <si>
    <t>M1 southbound Jct 23 entry slip road closure</t>
  </si>
  <si>
    <t>Overall Scheme Details: M1 northbound and southbound Jct 23 to Jct 23a
Slip road and lane closure due to electrical works
Diversion via National Highways network and local authority network</t>
  </si>
  <si>
    <t>A52</t>
  </si>
  <si>
    <t>A52 westbound Spondon exit slip road to Raynesway exit slip road carriageway closure</t>
  </si>
  <si>
    <t>Overall Scheme Details: A52 eastbound and westbound Spondon.
Carriageway, slip road and lane closures for works on behalf of Derby City Council.
Diversion route via National Highways and local network.</t>
  </si>
  <si>
    <t>A52 westbound A5111 to Raynesway exit slip road closure</t>
  </si>
  <si>
    <t>A52 westbound Raynesway exit slip road closure</t>
  </si>
  <si>
    <t>M62</t>
  </si>
  <si>
    <t>M62 eastbound Jct 34 entry slip road closure 24/7</t>
  </si>
  <si>
    <t>Overall Scheme Details: M62 eastbound Jct 34 to Jct 35, M18 southbound Jct 7
Carriageway and lane closures with 50mph speed restriction for structures maintenance works.
Diversion A19 M62</t>
  </si>
  <si>
    <t>M180</t>
  </si>
  <si>
    <t>M180 westbound Jct 3 to Jct 2 carriageway closure</t>
  </si>
  <si>
    <t xml:space="preserve">Overall Scheme Details: M180 eastbound and westbound Jct 1 to Jct 3 M18 southbound Jct 5, M181 southbound Frodingham 
Carriageway and lane closures for carriageway improvement works.
Diversion via M180, A15 and A18.
</t>
  </si>
  <si>
    <t>M181</t>
  </si>
  <si>
    <t>M181 southbound to M180 westbound Jct 3 entry slip road closure</t>
  </si>
  <si>
    <t>M180 westbound Jct 2 exit slip road closure</t>
  </si>
  <si>
    <t>A63</t>
  </si>
  <si>
    <t>A63 westbound Priory way to Western Interchange, carriageway closure</t>
  </si>
  <si>
    <t xml:space="preserve">Overall Scheme Details: A63 eastbound and westbound Western interchange to Priory Way.
Carriageway closure and lane closures for carriageway improvement works.
Diversion local authority network </t>
  </si>
  <si>
    <t>A63 westbound Priory way entry slip road closure</t>
  </si>
  <si>
    <t>A63 westbound Western Interchange exit slip road closure</t>
  </si>
  <si>
    <t>A63 eastbound North Cave entry slip road closure</t>
  </si>
  <si>
    <t>Overall Scheme Details: A63 eastbound Jct 38 to Welton
slip road and lane closures for general cleaning and maintenance
diversion via M62 A63 and Local Authority</t>
  </si>
  <si>
    <t>A63 eastbound South Cave exit slip road closure</t>
  </si>
  <si>
    <t>A63 eastbound South Cave entry slip road closure</t>
  </si>
  <si>
    <t>A63 westbound Western Interchange exit slip closure</t>
  </si>
  <si>
    <t>Overall Scheme Details: A63 eastbound and westbound Melton to Daltry street
Carriageway closure and lane closures for survey works.
Diversion A63 A15 A1105 A1166</t>
  </si>
  <si>
    <t>A63 westbound Brighton street to Western Interchange, carriageway closure</t>
  </si>
  <si>
    <t>A63 westbound Brighton street entry slip road closure</t>
  </si>
  <si>
    <t>A63 westbound Priory way exit slip road closure</t>
  </si>
  <si>
    <t>M62 westbound Jct 36 to Jct 35, Carriageway closure</t>
  </si>
  <si>
    <t>Overall Scheme Details: M62 eastbound and westbound Jct 34 to Jct 36, M18 northbound and southbound Jct 7
Carriageway closure and lane closures for carriageway repairs
Diversion M62 A614 A19 M18</t>
  </si>
  <si>
    <t>M62 westbound Jct 36 entry slip road closure</t>
  </si>
  <si>
    <t>M62 westbound Jct 35 to M18 southbound Jct 7, carriageway closure</t>
  </si>
  <si>
    <t>A628</t>
  </si>
  <si>
    <t>A628 eastbound and westbound Flouch to Tintwistle carriageway closure</t>
  </si>
  <si>
    <t>Overall Scheme Details: A628 eastbound and westbound Tintwistle to Flouch
Carriageway closures and traffic lights for general cleaning and maintenance 
Diversion routes A616 A61 M1 M62 M60 M67</t>
  </si>
  <si>
    <t>M606</t>
  </si>
  <si>
    <t>M606 northbound Jct 26 to Jct 3, carriageway closure</t>
  </si>
  <si>
    <t xml:space="preserve">Overall Scheme Details: M62 eastbound Jct 25 to Jct 26, M606 northbound and southbound Jct 26 to Jct 3
Carriageway closures for general cleaning and maintenance works.
Diversion local authority 
</t>
  </si>
  <si>
    <t>M606 northbound Jct 26 entry slip road closure</t>
  </si>
  <si>
    <t>M606 northbound Jct 2 exit slip road closure</t>
  </si>
  <si>
    <t>M606 northbound Jct 3 exit slip road closure</t>
  </si>
  <si>
    <t>M62 Jct 33 Ferrybridge roundabout northern quadrant closure</t>
  </si>
  <si>
    <t>Overall Scheme Details: A162 northbound and southbound Ferrybridge M62 eastbound and westbound Jct 33
Carriageway and slip road closures with 24/7 lane closures for structure maintenance works
Diversion A1 A162</t>
  </si>
  <si>
    <t>M62 Jct 33 Ferrybridge roundabout southern quadrant closure with ring management  (C)</t>
  </si>
  <si>
    <t>A1M southbound Jct 35 entry slip road closure</t>
  </si>
  <si>
    <t>Overall Scheme Details: M18 southbound Jct 2. 
Slip road and lane closure for electrical works
Diversion via A1M</t>
  </si>
  <si>
    <t>A62</t>
  </si>
  <si>
    <t>A62 southbound Gildersome through Northern roundabout, carriageway closure 24/7</t>
  </si>
  <si>
    <t>Overall Scheme Details: A62 northbound and southbound Gildersome.M621 clockwise and anticlockwise  Jct 27 M62 westbound Jct 28 to Jct 27
Carriageway closure and lane closure for electrical works.
Diversion A62 M621 A6110 A58</t>
  </si>
  <si>
    <t>A62 northbound Gildersome through Northern roundabout, carriageway closure 24/7</t>
  </si>
  <si>
    <t>M621</t>
  </si>
  <si>
    <t>M621 anticlockwise Jct 27 exit slip road closure</t>
  </si>
  <si>
    <t>M62 westbound Jct 27 exit slip road closure</t>
  </si>
  <si>
    <t>A160</t>
  </si>
  <si>
    <t>A160 westbound Manby to Harbrough, carriageway closure</t>
  </si>
  <si>
    <t xml:space="preserve">Overall Scheme Details: A160 eastbound and westbound Brocklesby to Manby
Carriageway closure and lane closures for electrical works
Diversion  A160 A180 A1173
</t>
  </si>
  <si>
    <t>A160 westbound Town street exit slip road closure</t>
  </si>
  <si>
    <t>A160 westbound Town street entry slip road closure</t>
  </si>
  <si>
    <t>M62 eastbound Jct 22 to Jct 24 carriageway closure</t>
  </si>
  <si>
    <t xml:space="preserve">Overall Scheme Details: M62 eastbound Jct 22 to Jct 24 
Carriageway closure and lane closures for carriageway - reconstruction/renewal
Diversion A672 A58 A646 M62 </t>
  </si>
  <si>
    <t>M62 eastbound Jct 22 entry slip road closure</t>
  </si>
  <si>
    <t>M62 eastbound Jct 23 exit slip road closure</t>
  </si>
  <si>
    <t>M62 eastbound Jct 24 exit slip road closure</t>
  </si>
  <si>
    <t>M1 northbound Jct 45 exit slip road closure</t>
  </si>
  <si>
    <t>Overall Scheme Details: M1 northbound Jct 44 to Jct 45
Slip road and lane closure for technology works
Diversion via M1</t>
  </si>
  <si>
    <t>A616</t>
  </si>
  <si>
    <t>A616 eastbound and westbound Stocksbridge to Deepcar carriageway closure</t>
  </si>
  <si>
    <t xml:space="preserve">Overall Scheme Details: A616 eastbound and westbound Stocksbridge to Deepcar
Carriageway closure for general cleaning and maintenance
Diversion via Local authority network </t>
  </si>
  <si>
    <t>A616 westbound Deepcar entry slip road closure</t>
  </si>
  <si>
    <t>A616 eastbound Deepcar exit slip road closure</t>
  </si>
  <si>
    <t>M1 southbound Jct 30 exit slip road closure</t>
  </si>
  <si>
    <t>Overall Scheme Details: M1 southbound Jct 31 to Jct 30
Slip road closure and lane closures for carriageway repairs
Diversion via M1, A6912</t>
  </si>
  <si>
    <t>M1 northbound Jct 39 entry slip road closure</t>
  </si>
  <si>
    <t>Overall Scheme Details: M1 northbound Jct 39
slip road closure for technology works 
Diversion via M1 A637</t>
  </si>
  <si>
    <t>A1M Jct 62 northbound entry slip road closure (C)</t>
  </si>
  <si>
    <t>Overall Scheme Details: A1M northbound and southbound Jct 62 Int.
Carriageway closure for carriageway renewal</t>
  </si>
  <si>
    <t>A1M Jct 62 partial circulatory closure (1) (C)</t>
  </si>
  <si>
    <t>A1M Jct 62 southbound exit slip road closure (C)</t>
  </si>
  <si>
    <t>A1M Jct 62 partial circulatory closure (2) (C)</t>
  </si>
  <si>
    <t>A1M Jct 62 northbound exit slip road closure (C)</t>
  </si>
  <si>
    <t>A1M Jct 62 southbound entry slip road closure (C)</t>
  </si>
  <si>
    <t>A66</t>
  </si>
  <si>
    <t>A66 Yarm Road westbound entry slip road closure</t>
  </si>
  <si>
    <t>Overall Scheme Details: A66 eastbound and westbound Long Newton to Boathouse
Carriageway closures, 40mph speed restriction, lane closures and 24/7 layby closures with diversion route for Renewal of Barrier</t>
  </si>
  <si>
    <t>A66 Boathouse westbound entry slip road closure</t>
  </si>
  <si>
    <t>A66 Yarm Road westbound exit slip road closure</t>
  </si>
  <si>
    <t>A66 Elton westbound exit slip road closure</t>
  </si>
  <si>
    <t>A66 Boathouse to Elton westbound carriageway closure</t>
  </si>
  <si>
    <t>A1 Seaton Burn northbound entry slip road closure (1+2)</t>
  </si>
  <si>
    <t>Overall Scheme Details: A1 northbound and southbound Seaton Burn to Morpeth
Carriageway closure with 24hr layby closures for carriageway resurfacing</t>
  </si>
  <si>
    <t>A1 Seaton Burn to Shotton northbound carriageway closure (1)</t>
  </si>
  <si>
    <t>A696</t>
  </si>
  <si>
    <t>A696 Black Callerton Interchange Eastbound Entry Slip Road Closure</t>
  </si>
  <si>
    <t>Overall Scheme Details: A696 Eastbound and Westbound Black Callerton to Bank Foot 
Slip Road Closures for Horticulture Works</t>
  </si>
  <si>
    <t>A696 Bank Foot Interchange Westbound Exit Slip Road Closure</t>
  </si>
  <si>
    <t>A696 Bank Foot Interchange Westbound Entry Slip Road Closure</t>
  </si>
  <si>
    <t>A696 Black Callerton Interchange Eastbound Exit Slip Road Closure</t>
  </si>
  <si>
    <t>A174</t>
  </si>
  <si>
    <t>A174/A172 Stokesley Road Interchange westbound carriageway closure</t>
  </si>
  <si>
    <t>Overall Scheme Details: A174/A172 Stokesley Road Interchange east and westbound carriageway and slip road closures for maintenance works</t>
  </si>
  <si>
    <t>A19</t>
  </si>
  <si>
    <t>A19 southbound A174 Parkway to A67 Crathorne Interchange carriageway closure including slip roads</t>
  </si>
  <si>
    <t>Overall Scheme Details: A19 southbound A174 Parkway to A67 Crathorne Interchange carriageway closure including slip roads for maintenance work</t>
  </si>
  <si>
    <t>A19/A1231 Hylton Grange Interchange northbound exit slip road closure</t>
  </si>
  <si>
    <t>Overall Scheme Details: A19/A1231 Hylton Grange Interchange north and southbound slip road closures for electrical works</t>
  </si>
  <si>
    <t>A19/A1231 Hylton Grange Interchange southbound entry slip road closure</t>
  </si>
  <si>
    <t>A19 northbound Easington to A182 Cold Hesledon Interchange carriageway closure including slip roads</t>
  </si>
  <si>
    <t>Overall Scheme Details: A19 northbound Easington to A182 Cold Hesledon Interchange carriageway closure for maintenance work</t>
  </si>
  <si>
    <t>A66 westbound to A19 northbound slip road closure</t>
  </si>
  <si>
    <t>Overall Scheme Details: A19 north and southbound A66 Stockton Road to A1046 Portrack Interchange carriageway and lane closures for bridge maintenance</t>
  </si>
  <si>
    <t>A66 eastbound to A19 northbound slip road closure</t>
  </si>
  <si>
    <t>M57</t>
  </si>
  <si>
    <t>M57 Southbound Jct 1 exit slip road closure</t>
  </si>
  <si>
    <t xml:space="preserve">Overall Scheme Details: M57 southbound J1 exit slip to Tarbuck Island carriageway closure due to works by Knowsley Council </t>
  </si>
  <si>
    <t>M56</t>
  </si>
  <si>
    <t>M56 Westbound to M53 Northbound link road closure</t>
  </si>
  <si>
    <t xml:space="preserve">Overall Scheme Details: M53 both directions J7 to J9 - carriageway closure for carriageway - reconstruction/renewal </t>
  </si>
  <si>
    <t>M53</t>
  </si>
  <si>
    <t>M53 Northbound Jct 10 to 7 Carriageway Closure</t>
  </si>
  <si>
    <t>M53 Northbound Jct 10 entry slip road closure</t>
  </si>
  <si>
    <t>M53 Northbound Jct 9 exit slip road closure</t>
  </si>
  <si>
    <t>M53 Northbound Jct 9 entry slip road closure</t>
  </si>
  <si>
    <t>M53 Northbound Jct 8 exit slip road closure</t>
  </si>
  <si>
    <t>M53 Northbound Jct 8 entry slip road closure</t>
  </si>
  <si>
    <t>M67</t>
  </si>
  <si>
    <t>M67 eastbound jct 3 to 4 carriageway closure</t>
  </si>
  <si>
    <t>Overall Scheme Details: M67 both directions Hyde to Glossop - carriageway for construction improvement/upgrade on behalf of National Highways</t>
  </si>
  <si>
    <t>M67 eastbound jct 3 entry slip road closure</t>
  </si>
  <si>
    <t>M67 westbound jct 4 to 3 carriageway closure</t>
  </si>
  <si>
    <t>M67 westbound jct 3 exit slip road closure</t>
  </si>
  <si>
    <t>M60</t>
  </si>
  <si>
    <t>M60 Anticlockwise Jct 25 carriageway closure between exit and entry slip roads</t>
  </si>
  <si>
    <t>Overall Scheme Details: M60 both directions Jct 8 to Jct 24 - carriageway closure for electrical works on behalf of National Highways</t>
  </si>
  <si>
    <t>M62 eastbound jct 9 entry slip road closure</t>
  </si>
  <si>
    <t>Overall Scheme Details: M62 eastbound J9 to J10 - carriageway closure for horticulture (cutting and planting) on behalf of National Highways</t>
  </si>
  <si>
    <t>M62 eastbound jct 9 to 10 carriageway closure</t>
  </si>
  <si>
    <t>M62 eastbound to M6 northbound link road closure</t>
  </si>
  <si>
    <t>M62 eastbound to M6 southbound link road closure</t>
  </si>
  <si>
    <t>M62 Westbound to M6 Northbound link road closure</t>
  </si>
  <si>
    <t>M60 Anticlockwise Jct 3 exit slip road closure</t>
  </si>
  <si>
    <t>Overall Scheme Details: M60 both directions J2 to J4 - carriageway closure for drainage on behalf of National Highways</t>
  </si>
  <si>
    <t>M60 Clockwise Jct 3 exit slip road closure</t>
  </si>
  <si>
    <t>M65</t>
  </si>
  <si>
    <t>M65 Eastbound Jct 2 to 3 carriageway closure</t>
  </si>
  <si>
    <t>Overall Scheme Details: M65 Eastbound and Westbound junction 3 to junction 2 - Carriageway Closure for Horticultural Works</t>
  </si>
  <si>
    <t>M65 Eastbound Jct2 entry slip road closure</t>
  </si>
  <si>
    <t>M65 Eastbound Jct 3 exit slip road closure</t>
  </si>
  <si>
    <t>M61</t>
  </si>
  <si>
    <t>M61 Southbound to M65 Eastbound carriageway closure</t>
  </si>
  <si>
    <t>M57 northbound jct 1 entry slip road closure</t>
  </si>
  <si>
    <t xml:space="preserve">Overall Scheme Details: M57 northbound jct 1 entry slip road closure due to off network works </t>
  </si>
  <si>
    <t>M60 Clockwise Jct 8 exit slip road closure</t>
  </si>
  <si>
    <t>Overall Scheme Details: M60 both directions Jct 7 to Jct 8 - carriageway closure for electrical works on behalf of National Highways</t>
  </si>
  <si>
    <t>A55</t>
  </si>
  <si>
    <t>A55 westbound jct 39 entry slip road closure</t>
  </si>
  <si>
    <t>Overall Scheme Details: A55 both directions Jct 40 to Jct 38 - carriageway closure for lha works on behalf of Cheshire West And Chester Council</t>
  </si>
  <si>
    <t>M56 Eastbound Jct 7 Carriageway Closure between exit and entry slips</t>
  </si>
  <si>
    <t>Overall Scheme Details: M56 both directions J9 to J6 - M6 southbound jct 20 carriageway closure for carriageway - reconstruction/renewal on behalf of National Highways</t>
  </si>
  <si>
    <t>M53 westbound carriageway closure between  jct 2a exit slip road closure to Moreton Road</t>
  </si>
  <si>
    <t>Overall Scheme Details: M53 both directions Upton Junction 2 Slip Road  to Moreton Spur Rab - carriageway closure for lha works on behalf of Wirral Borough Council</t>
  </si>
  <si>
    <t>M6 Northbound Jct 20 to 21 carriageway closure</t>
  </si>
  <si>
    <t>Overall Scheme Details: M6 both directions M6 J20, M56 J9 to M6 J21  - carriageway closure for construction improvement/upgrade on behalf of National Highways</t>
  </si>
  <si>
    <t>M6 Northbound Jct 20 entry slip road closure</t>
  </si>
  <si>
    <t>M56 Eastbound to M6 Northbound link road closure</t>
  </si>
  <si>
    <t>M56 Westbound to M6 Northbound link road closure</t>
  </si>
  <si>
    <t>M6 Northbound Jct 21 exit slip road closure</t>
  </si>
  <si>
    <t>M58</t>
  </si>
  <si>
    <t>M58 Switch Island both directions Carriageway Closure</t>
  </si>
  <si>
    <t>Overall Scheme Details: M58 both directions M58, M57, A5036, A59 to Switch Island  - carriageway closure for carriageway - reconstruction/renewal on behalf of National Highways</t>
  </si>
  <si>
    <t>A59</t>
  </si>
  <si>
    <t>A59 Northbound closure from M58 to Switch Island</t>
  </si>
  <si>
    <t>M57 Northbound to A5036 link road closure</t>
  </si>
  <si>
    <t>A56</t>
  </si>
  <si>
    <t>A56 Northbound Edenfield entry slip  closure</t>
  </si>
  <si>
    <t>Overall Scheme Details: M66 both directions J1  to Rising Bridge  - carriageway closure for barriers - permanent on behalf of National Highways</t>
  </si>
  <si>
    <t>A56 Northbound Carriageway Closure (A682 Jct to Bent Gate Jct)</t>
  </si>
  <si>
    <t>A666</t>
  </si>
  <si>
    <t>A666 Northbound Carriageway Closure of Kearsley exit slip road</t>
  </si>
  <si>
    <t>Overall Scheme Details: M61 both directions J2 to J4 - carriageway closure for carriageway - reconstruction/renewal on behalf of National Highways</t>
  </si>
  <si>
    <t>M61 Southbound Jct 3 exit slip road closure</t>
  </si>
  <si>
    <t>M6 Northbound Jct 22 exit slip road closure</t>
  </si>
  <si>
    <t>Overall Scheme Details: M6 both directions J21A to J26 - carriageway closure for construction improvement/upgrade on behalf of National Highways</t>
  </si>
  <si>
    <t>M6 Northbound Jct 22 entry slip road closure</t>
  </si>
  <si>
    <t>M61 northbound Jct 5 exit slip road closure</t>
  </si>
  <si>
    <t>Overall Scheme Details: M61 Northbound junction 5  to junction 6 - Carriageway Closure for Horticulture</t>
  </si>
  <si>
    <t>M61 northbound Jct 5 entry slip road closure</t>
  </si>
  <si>
    <t>M6 Southbound Jct 17 entry slip road closure</t>
  </si>
  <si>
    <t>Overall Scheme Details: M6 southbound Jct 18 to Jct 17 - carriageway closure for carriageway - reconstruction/renewal on behalf of National Highways</t>
  </si>
  <si>
    <t>M6 Southbound Sandbach Services entry slip road closure</t>
  </si>
  <si>
    <t>M66</t>
  </si>
  <si>
    <t>M66 Southbound Jct 4 to M60 Clockwise Jct 18  Carriageway closure between exit and entry slips</t>
  </si>
  <si>
    <t>Overall Scheme Details: M60 both directions Jct 16  to Jct 19 - carriageway closure for construction improvement/upgrade on behalf of National Highways</t>
  </si>
  <si>
    <t>M62 Westbound jct 18 to M60 clockwise link road closure</t>
  </si>
  <si>
    <t>M61 Southbound Jct 8 exit slip road closure</t>
  </si>
  <si>
    <t>Overall Scheme Details: M61 southbound Jct 9 to Jct 8 - lane closure for carriageway - reconstruction/renewal on behalf of National Highways</t>
  </si>
  <si>
    <t>M57 Northbound Jct 4 exit slip road closure</t>
  </si>
  <si>
    <t>Overall Scheme Details: M57 both directions Jct 3  to Jct 4  - carriageway closure for electrical works on behalf of National Highways</t>
  </si>
  <si>
    <t>M57 Northbound Jct 4 entry slip road closure</t>
  </si>
  <si>
    <t>M57 Southbound Jct 4 exit slip road closure</t>
  </si>
  <si>
    <t>M57 Southbound Jct 4 entry slip road closure</t>
  </si>
  <si>
    <t>M6 Northbound Jct 36 Carriageway Closure (Traffic to go up and over)</t>
  </si>
  <si>
    <t>Overall Scheme Details: M6 Northbound and Southbound Jct 36
Lane 3 closures for Replacing the VRS</t>
  </si>
  <si>
    <t>M6 Northbound Jct 42 Entry slip road closure</t>
  </si>
  <si>
    <t>Overall Scheme Details: M6 Northbound and Southbound Jct 31 to 42
Carriageway closures for carriageway - reconstruction/renewal</t>
  </si>
  <si>
    <t>M3</t>
  </si>
  <si>
    <t>M3 northbound Jct 9 entry slip road closure</t>
  </si>
  <si>
    <t>Overall Scheme Details: M3 and A34 both directions Jct 9.
Narrow lanes and 24/7 lane closure for major improvement work.</t>
  </si>
  <si>
    <t>A34</t>
  </si>
  <si>
    <t>A34 northbound Marcham to Abingdon carriageway closure</t>
  </si>
  <si>
    <t>Overall Scheme Details: A34 northbound Marcham to Abingdon.
Carriageway closure for barrier work.</t>
  </si>
  <si>
    <t>A3</t>
  </si>
  <si>
    <t>A3 northbound Dennis to Stoke carriageway closure</t>
  </si>
  <si>
    <t>Overall Scheme Details: A3 both directions Stoke to Dennis.
Carriageway, slip road and lane closures for structures work.</t>
  </si>
  <si>
    <t>A31</t>
  </si>
  <si>
    <t>A31 westbound Picket Post exit slip road closure</t>
  </si>
  <si>
    <t>Overall Scheme Details: A31 westbound Picket Post to Poulner Hill,
Slip road and lane closures for maintenance works.</t>
  </si>
  <si>
    <t>A31 westbound Picket Post entry slip road closure</t>
  </si>
  <si>
    <t>A31 westbound Poulner Hill exit slip road closure</t>
  </si>
  <si>
    <t>A34 southbound Hinksey Hill to Marcham carriageway closure</t>
  </si>
  <si>
    <t>Overall Scheme Details: A34 southbound Hinksey Hill to Marcham.
Carriageway closure for surveys.</t>
  </si>
  <si>
    <t>A303</t>
  </si>
  <si>
    <t>A303 westbound Hundred Acre to Parkhouse Cross carriageway closure</t>
  </si>
  <si>
    <t>Overall Scheme Details: A303 both directions Hundred Acre to Parkhouse Cross.
Carriageway closure for structures work.</t>
  </si>
  <si>
    <t>A303 eastbound Parkhouse Cross to Thruxton Village carriageway closure</t>
  </si>
  <si>
    <t>A3 northbound Griggs Green exit slip road closure</t>
  </si>
  <si>
    <t xml:space="preserve">Overall Scheme Details: A3 northbound Ham Barn to Liphook - slip road and lane closure for drainage work.
</t>
  </si>
  <si>
    <t>A3 northbound Griggs Green entry slip closure</t>
  </si>
  <si>
    <t>A3 northbound Longmoor exit slip road closure</t>
  </si>
  <si>
    <t>A3 northbound Longmoor entry slip road closure</t>
  </si>
  <si>
    <t>M27</t>
  </si>
  <si>
    <t>M27 westbound Jct 2 entry slip road closure</t>
  </si>
  <si>
    <t>Overall Scheme Details: M27 both directions Jct 1 to Jct 2 - carriageway, slip road and lane closures for structure maintenance.</t>
  </si>
  <si>
    <t>M3 southbound Jct 4 to Jct 5 carriageway closure</t>
  </si>
  <si>
    <t xml:space="preserve">Overall Scheme Details: M3 southbound Jct 4 to Jct 6 - carriageway and lane closures for resurfacing work
 </t>
  </si>
  <si>
    <t>M27 westbound Jct 4 between the exit and entry link roads carriageway closure</t>
  </si>
  <si>
    <t>Overall Scheme Details: M27 westbound Jct 5 to 4
Carriageway and lane closures for resurfacing</t>
  </si>
  <si>
    <t>A303 eastbound crematorium to M3 carriageway closure</t>
  </si>
  <si>
    <t>Overall Scheme Details: M3 both directions Jct 7 to Jct 13 
carriageway closure for carriageway - reconstruction/renewal</t>
  </si>
  <si>
    <t>M3 northbound Jct 10 to Jct 7 carriageway closure</t>
  </si>
  <si>
    <t>A27</t>
  </si>
  <si>
    <t>A27 westbound Harts Farm Way to Eastern Road carriageway closure</t>
  </si>
  <si>
    <t>Overall Scheme Details: A27 both directions Harts Farrm and A3M southbound Jct 4 to Jct 5
Carriageway and lane closures for inspection/survey</t>
  </si>
  <si>
    <t>A3M</t>
  </si>
  <si>
    <t>A3M southbound Jct 5 to A27 carriageway closure</t>
  </si>
  <si>
    <t>A34 southbound Bullington to M3 Jct 9 carriageway closure</t>
  </si>
  <si>
    <t>Overall Scheme Details: A34 southbound Bullington to M3 Jct 9,
Carriageway closure for horticulture works.</t>
  </si>
  <si>
    <t>A303 westbound Barton Stacey exit slip road closure</t>
  </si>
  <si>
    <t>Overall Scheme Details: A303 westbound Barton Stacey.
Slip road and lane closures for drainage work.</t>
  </si>
  <si>
    <t>A303 westbound Barton Stacey entry slip road closure</t>
  </si>
  <si>
    <t>A404M</t>
  </si>
  <si>
    <t>A404M northbound Jct 9a exit slip road closure</t>
  </si>
  <si>
    <t>Overall Scheme Details: A404M northbound Jct 9a.
Slip road and hardshoulder closure for maintenance work.</t>
  </si>
  <si>
    <t>A404M northbound Jct 9a entry slip road closure</t>
  </si>
  <si>
    <t>M4</t>
  </si>
  <si>
    <t>M4 eastbound to A329M northbound slip road closure</t>
  </si>
  <si>
    <t>Overall Scheme Details: M4 both directions Jct 10.
Slip road and lane closure for barrier repairs.</t>
  </si>
  <si>
    <t>M4 westbound Jct 10 exit slip road closure</t>
  </si>
  <si>
    <t>A2</t>
  </si>
  <si>
    <t>A2 both directions Duke of York roundabout to Eastern Docks carriageway closure</t>
  </si>
  <si>
    <t>Overall Scheme Details: A2 both directions Duke Of Yorks roundabout to Eastern Docks roundabout
carriageway closure for maintenance works</t>
  </si>
  <si>
    <t>A27 both directions Pevensey roundabout to Golden Jubilee roundabout carriageway closure</t>
  </si>
  <si>
    <t>Overall Scheme Details: A27 both directions Cophall roundabout to Pevensey roundabout,
Carriageway and lane closures for carriageway reconsruction.</t>
  </si>
  <si>
    <t>A20</t>
  </si>
  <si>
    <t>A20 eastbound Court Wood exit slip road closure</t>
  </si>
  <si>
    <t>Overall Scheme Details: A20 eastbound Court Wood
Slip road and lane closures for Kent County Council works</t>
  </si>
  <si>
    <t>A20 eastbound Court Wood entry slip road closure</t>
  </si>
  <si>
    <t>M20</t>
  </si>
  <si>
    <t>M20 westbound Jct 8 entry slip road closure</t>
  </si>
  <si>
    <t>Overall Scheme Details: M20 westbound Jct 8 to Jct 9
carriageway, slip road and lane closure for communications work</t>
  </si>
  <si>
    <t>M20 westbound Jct 12 entry slip road closure</t>
  </si>
  <si>
    <t>Overall Scheme Details: M20 both directions Jct 12 to Jct 13
slip road closures and width restriction for barrier works</t>
  </si>
  <si>
    <t>M20 westbound Jct 12 exit slip road closure</t>
  </si>
  <si>
    <t>Overall Scheme Details: M20 westbound Jct 13 to Jct 12,
Slip road and lane closures for maintenance works.</t>
  </si>
  <si>
    <t>M20 westbound Jct 13 entry slip road closure</t>
  </si>
  <si>
    <t>M20 eastbound Jct 8 exit slip road closure</t>
  </si>
  <si>
    <t>Overall Scheme Details: M20 eastbound Jct 8 to jct 10
slip road and lane closures for maintenance works</t>
  </si>
  <si>
    <t>A23</t>
  </si>
  <si>
    <t>A23 northbound Dale Hill exit slip road closure</t>
  </si>
  <si>
    <t>Overall Scheme Details: A23 northbound Patcham to Pyecombe
A27 both directions Adur to Patcham
carriageway, slip road and lane closure for carriageway renewal works</t>
  </si>
  <si>
    <t>M2</t>
  </si>
  <si>
    <t>M2 eastbound Jct 3 entry slip road closure</t>
  </si>
  <si>
    <t xml:space="preserve">Overall Scheme Details: M2 both directions Jct 2 to Jct 5
slip road and lane closure for maintenance works </t>
  </si>
  <si>
    <t>M2 eastbound Jct 3 exit slip road closure</t>
  </si>
  <si>
    <t>A2070</t>
  </si>
  <si>
    <t>A2070 westbound Cloverleaf entry slip road closure</t>
  </si>
  <si>
    <t>Overall Scheme Details: A2070 both directions Clover Leaf
Slip road and lane closures for Ashford Council works</t>
  </si>
  <si>
    <t>A2070 westbound Cloverleaf exit slip road closure</t>
  </si>
  <si>
    <t>A23 northbound Bolney services exit slip road closure</t>
  </si>
  <si>
    <t xml:space="preserve">Overall Scheme Details: A23 northbound Bolney to Peasepottage 
slip road and lane closure for maintenance works </t>
  </si>
  <si>
    <t>A23 northbound Bolney services entry slip road closure</t>
  </si>
  <si>
    <t>A23 eastbound London road exit slip road closure</t>
  </si>
  <si>
    <t>Overall Scheme Details: A23 both directions London Road to Airport Way
slip road and lane closures for street lighting works</t>
  </si>
  <si>
    <t>A26</t>
  </si>
  <si>
    <t>A26 both directions South Downs Way to Avis Road. carriageway closure</t>
  </si>
  <si>
    <t>Overall Scheme Details: A26 both directions South Downs Way to Avis Road
Carriageway closure for drainage works</t>
  </si>
  <si>
    <t>A23 Pease Pottage roundabout partial closure south west section (no access to A264)</t>
  </si>
  <si>
    <t>Overall Scheme Details: M23 both directions Jct 11
Carriageway and lane closure for survey works</t>
  </si>
  <si>
    <t>A2 eastbound Ebbsfleet entry slip road to Hall road closure</t>
  </si>
  <si>
    <t>Overall Scheme Details: A2 eastbound Bean to Pepperhill
slip road and lane closures for survey works</t>
  </si>
  <si>
    <t>A2 westbound Boughton entry slip road closure</t>
  </si>
  <si>
    <t xml:space="preserve">Overall Scheme Details: A2 westbound Gate Services to Brenley Corner
slip road, layby and lane closure for electrical works </t>
  </si>
  <si>
    <t>M25</t>
  </si>
  <si>
    <t>M25 Clockwise Jct 9 to Jct 10 carriageway closure</t>
  </si>
  <si>
    <t>Overall Scheme Details: M25 Clockwise Jct 8 to Jct 10
Carriageway and lane closure for concrete repair work
Diversion via National Highways and Local Authorities Network</t>
  </si>
  <si>
    <t>M25 Clockwise Jct 9 entry slip road closure</t>
  </si>
  <si>
    <t>M11 Northbound Jct 4 to Jct 6 carriageway, exit slip, entry slip and link road closure</t>
  </si>
  <si>
    <t>Overall Scheme Details: M11 Northbound Jct 4 to Jct 6
Carriageway, slip road and link road closure for surfacing works 
Diversion via Local Authority and National Highway network</t>
  </si>
  <si>
    <t>M4 Eastbound Jct 2 Exit Slip road closure</t>
  </si>
  <si>
    <t>Overall Scheme Details: M4 Eastbound Jct 3 to Jct 2
Slip Road and lane closure concrete repairs
Diversion via local authority network</t>
  </si>
  <si>
    <t>A282</t>
  </si>
  <si>
    <t>A282 Northbound Dartford Crossing West Tunnel closure</t>
  </si>
  <si>
    <t>Overall Scheme Details: A282 Northbound Dartford Crossing West Tunnel
Tunnel closure for maintenance works
Diversion via National Highways Network</t>
  </si>
  <si>
    <t>A282 Northbound Jct 1A entry slip road closure</t>
  </si>
  <si>
    <t>M25 Anti-Clockwise Jct 29 to Jct 28 carriageway, entry and exit slip road closure</t>
  </si>
  <si>
    <t>Overall Scheme Details: M25 Anti-Clockwise Jct 29 to Jct 28
Carriageway and slip road closure for resurfacing works 
Diversion via Local Authority network</t>
  </si>
  <si>
    <t>M1 Northbound Jct 1 to Jct 5 carriageway closure</t>
  </si>
  <si>
    <t>Overall Scheme Details: M1 Northbound Jct 1 to Jct 5
Carriageway closure surfacing works
Diversion via Local Authorities Network</t>
  </si>
  <si>
    <t>A2 Eastbound Dartford Heath to Darenth Interchange carriageway closure</t>
  </si>
  <si>
    <t>Overall Scheme Details: A2 Eastbound Dartford Heath to Darenth Interchange
Carriageway and lane closure for resurfacing work
Diversion via Local Authorities and National Highways Network</t>
  </si>
  <si>
    <t>M23</t>
  </si>
  <si>
    <t>M23 Southbound Jct 8 carriageway closure between the exit and entry slip roads</t>
  </si>
  <si>
    <t>Overall Scheme Details: M23 Southbound Jct 7 to Jct 8 
Carriageway and lane closure for gantry repairs 
Diversion via National Highways network</t>
  </si>
  <si>
    <t>M23 Southbound Jct 7 to Jct 8 lane closure</t>
  </si>
  <si>
    <t>M25 Clockwise Jct 22 to Jct 23 carriageway closure</t>
  </si>
  <si>
    <t xml:space="preserve">Overall Scheme Details: M25 Clockwise Jct 22 to Jct 23
Carriageway, slip road and lane closure for carriageway repairs
Diversion via Local Authority and National Highways network </t>
  </si>
  <si>
    <t>A20 Westbound Swanley Interchange entry slip road closure</t>
  </si>
  <si>
    <t>Overall Scheme Details: A20 Westbound Swanley Interchange to Ruxley
Lane closure for routine maintenance works
Diversion via Local Authorities Network</t>
  </si>
  <si>
    <t>M25 Anti-clockwise Jct 26 exit slip road closure</t>
  </si>
  <si>
    <t>Overall Scheme Details: M25 Anti-clockwise Jct 26 exit slip
Slip road closure for sign works 
Diversion via Local Authority Network</t>
  </si>
  <si>
    <t>M26</t>
  </si>
  <si>
    <t>M26 Eastbound Jct 2A to Jct 3 carriageway closure</t>
  </si>
  <si>
    <t>Overall Scheme Details: M26 Eastbound Jct 2a to Jct 3 
Carriageway, slip road and lane closure for resurfacing works 
Diversion via Local Authorities and National Highways Network</t>
  </si>
  <si>
    <t>M26 Eastbound Jct 2A entry slip road closure</t>
  </si>
  <si>
    <t>M4 Eastbound Jct 4B to M25 Clockwise and Anti-clockwise Jct 15 link road closure</t>
  </si>
  <si>
    <t>Overall Scheme Details: M4 Eastbound Jct 4B to M25 Clockwise and Anti-clockwise Jct 15
Slip road and lane closure for technology survey works
Diversion via National Highways Network</t>
  </si>
  <si>
    <t>M25 Anti-clockwise Jct 2 exit slip road closure</t>
  </si>
  <si>
    <t>Overall Scheme Details: M25 Anti-clockwise Jct 3 to Jct 2
Lane and slip road closure for technology works
Diversion via National Highways Network</t>
  </si>
  <si>
    <t>M25 Anti-Clockwise Jct 17 to Jct 16 Carriageway and Slip Road Closure</t>
  </si>
  <si>
    <t>Overall Scheme Details: M25 Anti-Clockwise Jct 17 to Jct 16
Carriageway, Slip Road and Lane Closure for Technology Works
Diversion via Local Authorities Network</t>
  </si>
  <si>
    <t>M25 Clockwise Jct 18 Entry Slip Road Closure</t>
  </si>
  <si>
    <t>Overall Scheme Details: M25 Clockwise Jct 18 
Slip road closure Urgent Safety Fence Repair Works
Diversion via Local Authorities Network</t>
  </si>
  <si>
    <t>A13</t>
  </si>
  <si>
    <t>A13 Eastbound Mardyke Junction entry slip road closure</t>
  </si>
  <si>
    <t>Overall Scheme Details: M25 Jct 30 to A13 Eastbound Mardyke entry slip road 
Lane and slip road closure for urgent safety fence repairs 
Diversion via Local Authorities and National Highways Network</t>
  </si>
  <si>
    <t>M25 Anti-clockwise Jct 30 to A13 Eastbound entry fast link closure</t>
  </si>
  <si>
    <t>A3 Southbound Wisley carriageway closure between the exit and entry slip road</t>
  </si>
  <si>
    <t>Overall Scheme Details: A3 Southbound Wisley between the slip roads
Carriageway and lane closure for maintenance works
Diversion via National Highway network</t>
  </si>
  <si>
    <t>A30</t>
  </si>
  <si>
    <t>A30 eastbound Alphington - carriageway closed between the exit and entry slip roads.</t>
  </si>
  <si>
    <t xml:space="preserve">Overall Scheme Details: A30 eastbound Alphington - carriageway closed between the exit and entry slip roads leading to carriageway closure of A38 westbound.
Diversion for M5 northbound traffic via exit at Alphington and immediately re-join A30.
Diversion for A38 westbound traffic via A377, A3015, A379 to join A38 westbound </t>
  </si>
  <si>
    <t>A38</t>
  </si>
  <si>
    <t>A38 westbound J31, M5 to Kennford - carriageway closed</t>
  </si>
  <si>
    <t xml:space="preserve">Overall Scheme Details: A38 westbound J31, M5 to Kennford - carriageway closure for gantry maintenance.
Diversion from M5 via A30 westbound, A377, A3015, A379 to join A38 westbound
Diversion from A30 via A377, A3015, A379 to join A38 westbound </t>
  </si>
  <si>
    <t>A30 eastbound Holyway Cross exit slip closure 24/7</t>
  </si>
  <si>
    <t>Overall Scheme Details: A30 eastbound Holyway Cross exit slip closed 24/7 for carriageway upgrade.
Diversion via Kennards House and back.</t>
  </si>
  <si>
    <t>A38 eastbound Carkeel roundabout to Saltash Tunnel carriageway closed</t>
  </si>
  <si>
    <t>Overall Scheme Details: A38 eastbound Carkeel roundabout to Saltash Tunnel carriageway closed for sign erection works. Diversion via the B3271</t>
  </si>
  <si>
    <t>A38 westbound Saltash Tunnel to Carkeel Roundabout carriageway closed</t>
  </si>
  <si>
    <t>Overall Scheme Details: A38 westbound Saltash Tunnel to Carkeel Roundabout -carriageway closed for sign erection works. 
Diversion via B3271</t>
  </si>
  <si>
    <t>A38 eastbound Lower Dean to Buckfastleigh carriageway closed</t>
  </si>
  <si>
    <t xml:space="preserve">Overall Scheme Details: A38 eastbound Marley Head to Buckfastleigh carriageway closures for structural maintenance works. Diversion via A385 and A384 </t>
  </si>
  <si>
    <t>A38 westbound Dartbridge to Marley Head carriageway closed</t>
  </si>
  <si>
    <t>Overall Scheme Details: A38 westbound Dartbridge to Marley Head carriageway closure for structural maintenance works. Diversion via A384 &amp; A385</t>
  </si>
  <si>
    <t>A38 westbound Kennford - carriageway closed between the exit &amp; entry slip roads</t>
  </si>
  <si>
    <t>Overall Scheme Details: A38 westbound Kennford - carriageway closed between the exit &amp; entry slip roads for gantry maintenance.
Diversion via exiting A38 and immediately re-joining A38 westbound</t>
  </si>
  <si>
    <t>A38 westbound Harcombe exit slip carriageway closure</t>
  </si>
  <si>
    <t>Overall Scheme Details: A38 westbound Harcombe exit slip carriageway closure for weather station works.
Diversion via Chudleigh junction and A3344.</t>
  </si>
  <si>
    <t>A38 eastbound Marsh Mills to Deep Lane carriageway closure (50/4 to 57/2)</t>
  </si>
  <si>
    <t xml:space="preserve">Overall Scheme Details: A38 eastbound Marsh Mill to Deep lane - carriageway closure for Horticultural works (Ash Dieback)
Diversion  via - B3416 and rejoin A38 at Deep Lane Jct </t>
  </si>
  <si>
    <t>A36</t>
  </si>
  <si>
    <t>A36 both directions Wilton roundabout to St Paul's roundabout carriageway closure</t>
  </si>
  <si>
    <t>Overall Scheme Details: A36 both directions Wilton roundabout to St Paul's roundabout - carriageway closure for resurfacing scheme.
Local access maintained between Skew Rd and Wilton Roundabout.
Southbound diversion via - The Avenue, A360 and rejoin the A36. 
Northbound diversion - as above in reverse.</t>
  </si>
  <si>
    <t>A417</t>
  </si>
  <si>
    <t>A417 Southbound Burford Road to A419 Spine Road carriageway closure</t>
  </si>
  <si>
    <t xml:space="preserve">Overall Scheme Details: A417 Southbound Burford Road to A419 Spine Road carriageway closure for horticulture works. 
Diversion via A429, A419 and Cirencester Road. </t>
  </si>
  <si>
    <t>M5</t>
  </si>
  <si>
    <t>M5 northbound Jct 18A exit slip road to M49 closure</t>
  </si>
  <si>
    <t xml:space="preserve">Overall Scheme Details: M5 northbound Jct 18A exit slip road to M49 closure for electrical works
Diversion via M5 northbound to Jct 15, M4 west. Access to M49 maintained from Avonmouth
</t>
  </si>
  <si>
    <t>M4 eastbound Jct 19 entry slip road closure</t>
  </si>
  <si>
    <t>Overall Scheme Details: M4 eastbound Jct 19 to  Jct 18 - carriageway closure for resurfacing
Diversion via M32 Jct 1, A4174, A420, A46</t>
  </si>
  <si>
    <t>M4 eastbound Jct 19 to Jct 18 carriageway closure</t>
  </si>
  <si>
    <t>A303 both directions A350 Jct to Deptford carriageway closure</t>
  </si>
  <si>
    <t>Overall Scheme Details:  A303 both directions A350 Jct to Deptford - carriageway closure for road surface renewal scheme.
Westbound diversion via, A350 northbound, A36 southbound and rejoin A303 at Deptford.
Eastbound diversion via - As above in reverse.</t>
  </si>
  <si>
    <t>M5 northbound Jct 25 entry slip road closure</t>
  </si>
  <si>
    <t>Overall Scheme Details: M5 northbound Jct 25 entry slip closure for surveys.
Diversion south to Jct 26 and return</t>
  </si>
  <si>
    <t>M5 southbound Jct 21 carriageway closure between the exit and entry slip (163/8 to 164/1)</t>
  </si>
  <si>
    <t>Overall Scheme Details: M5 southbound Jct 21 - carriageway closure between the exit and entry slips for St Georges Structural Upgrade scheme.
Diversion via - M5 Jct 21 exit and rejoin M5 via Jct 21 entry</t>
  </si>
  <si>
    <t>M5 southbound Jct 11 to Jct 12 carriageway closure</t>
  </si>
  <si>
    <t>Overall Scheme Details: M5 southbound Jct 11 to Jct 12 carriageway closure for construction works
Diversion via A40, A417, A38, A430</t>
  </si>
  <si>
    <t>M5 southbound Jct 11A entry slip road closure</t>
  </si>
  <si>
    <t>M5 southbound Jct 11 entry slip road closure</t>
  </si>
  <si>
    <t>A35</t>
  </si>
  <si>
    <t>A35 Both Directions Long Bredy to Monkey Jump</t>
  </si>
  <si>
    <t>Overall Scheme Details: A35 Long Bredy to Monkey Jump - Full closure -  scheme works</t>
  </si>
  <si>
    <t>A35 Cuckoo Lane Full WB Closure</t>
  </si>
  <si>
    <t xml:space="preserve">Overall Scheme Details: A35 Cuckoo Lane bridge maintenance full westbound closure </t>
  </si>
  <si>
    <t>M4 westbound Jct 21 to 23 Prince of Wales Bridge carriageway closure</t>
  </si>
  <si>
    <t>Overall Scheme Details: M4 westbound Jct 21 to 23 Prince of Wales bridge carriageway closure for structure maintenance.
Diversion via M48 westbound. 
For M49 northbound traffic diversion via M4 eastbound to Jct 20, M5 southbound Jct 16 exit slip, M5 northbound, M4 westbound and M48.</t>
  </si>
  <si>
    <t>M48</t>
  </si>
  <si>
    <t>M48 eastbound Jct 2 to 1 Severn Bridge carriageway closure</t>
  </si>
  <si>
    <t>Overall Scheme Details: M48 eastbound Jct 2 to Jct 1 Severn Bridge carriageway closure for structure maintenance. 
Diversion via M4 Prince of Wales Bridge.</t>
  </si>
  <si>
    <t>A38 southbound Hilliard's Cross entry slip road closure</t>
  </si>
  <si>
    <t>Overall Scheme Details: A38 both directions Streethay (Cappers Lane Jct) to Fradley.
Carriageway, lane closures, plus 24/7 narrow lanes, exit and entry slip road and layby closures, and speed restrictions for HS2 works.
Diversion route is via National Highways and local authority network.</t>
  </si>
  <si>
    <t>A38 northbound Streethay entry slip road closure</t>
  </si>
  <si>
    <t>M6 northbound A38 entry link to Jct 6 carriageway closure</t>
  </si>
  <si>
    <t xml:space="preserve">Overall Scheme Details: M6 southbound Jct 6 to Jct 4 including M42 Links.
Carriageway closure for maintenance works. 
Diversion via National Highways and local authority network. 
</t>
  </si>
  <si>
    <t>M6 Southbound Jct 6 to Jct 5 carriageway closure</t>
  </si>
  <si>
    <t>A38 northbound Branston to Eggington carriageway closure</t>
  </si>
  <si>
    <t xml:space="preserve">Overall Scheme Details: A38 both directions Branston to Toyota roundabout.
Carriageway closure for maintenance works. 
Diversion via National Highways and local authority network. 
</t>
  </si>
  <si>
    <t>A50</t>
  </si>
  <si>
    <t>A50 westbound Toyota roundabout entry slip road closure</t>
  </si>
  <si>
    <t>M6 southbound Jct 15 to Jct 14 carriageway closure</t>
  </si>
  <si>
    <t>Overall Scheme Details: M6 southbound Jct 15 to Jct 14.
Carriageway closure for maintenance works.
Diversion via National Highways and local authority works.</t>
  </si>
  <si>
    <t>M6 northbound Jct 2 to Jct 4 carriageway closure</t>
  </si>
  <si>
    <t xml:space="preserve">Overall Scheme Details: M6 both directions Jct 2 to Jct 4. 
Carriageway closure for maintenance works. 
Diversion via National Highways and Local authority network. </t>
  </si>
  <si>
    <t>M69</t>
  </si>
  <si>
    <t>M69 southbound Jct 1 to M6 Jct 2 link road closure</t>
  </si>
  <si>
    <t>A500</t>
  </si>
  <si>
    <t>A500 both directions Campbell Road over bridge carriageway closure</t>
  </si>
  <si>
    <t>Overall Scheme Details: A500 both directions Campbell Road.
Carriageway closure for maintenance works.
Diversion via National Highways and Local Authority network.</t>
  </si>
  <si>
    <t>M42</t>
  </si>
  <si>
    <t>M42 northbound Jct 7a to M6 south link road closure</t>
  </si>
  <si>
    <t>Overall Scheme Details: M42/A45 both directions Bickenhill to Coleshill
Carriageway and lane closures for HS2 works.
Diversions are via National Highways and local authority networks.</t>
  </si>
  <si>
    <t>A46 southbound M69 Jct 2 to Walsgrave carriageway closure</t>
  </si>
  <si>
    <t xml:space="preserve">Overall Scheme Details: A46 both directions A46/M69 Jct to Binley Jct. 
Carriageway closure for maintenance works. 
Diversion via National Highways and local authority network. </t>
  </si>
  <si>
    <t>A45</t>
  </si>
  <si>
    <t>A45 clockwise M42 Jct 6 (Bickenhill Interchange) partial roundabout closure (from the M42 northbound entry slip to the M42 southbound exit slip)</t>
  </si>
  <si>
    <t xml:space="preserve">Overall Scheme Details: A45 clockwise M42 Jct 6 roundabout (Bickenhill Interchange).
Partial carriageway closure for maintenance works.
Diversion via National Highways and local authority network.
</t>
  </si>
  <si>
    <t>M40 northbound Jct 16 to M42 Jct 3a link road closure</t>
  </si>
  <si>
    <t>Overall Scheme Details: M40 northbound Jct 16 to M42 Jct 3a. 
Link road closure for maintenance works. 
Diversion via National Highways.</t>
  </si>
  <si>
    <t>M42 southbound Jct 1 to M5 Jct 4a links carriageway closure</t>
  </si>
  <si>
    <t>Overall Scheme Details: M5 southbound Jct 4a to Jct 5.
Carriageway closure for maintenance works. 
Diversion via National Highways and local authority network.</t>
  </si>
  <si>
    <t>M5 southbound Jct 4a to Jct 5 carriageway closure</t>
  </si>
  <si>
    <t>M6 northbound M6 Jct 11 to Jct 12 carriageway closure</t>
  </si>
  <si>
    <t xml:space="preserve">Overall Scheme Details: M6 northbound M6 Jct 11 to Jct 12.
Carriageway closure for maintenance works. 
Diversion via National Highways and local authority network. 
</t>
  </si>
  <si>
    <t>M54</t>
  </si>
  <si>
    <t>M54 eastbound Jct 4 between the exit and entry slip roads carriageway closure</t>
  </si>
  <si>
    <t>Overall Scheme Details: M54 eastbound Jct 4 between the exit and entry slip roads.
Carriageway closure for maintenance works.
Diversion via National Highways and local authority network.</t>
  </si>
  <si>
    <t>M5 northbound Jct 3 exit slip road closure</t>
  </si>
  <si>
    <t>Overall Scheme Details: M5 both directions Jct 3.
Exit slip road closure for maintenance works.
Diversion via National Highways.</t>
  </si>
  <si>
    <t>A456</t>
  </si>
  <si>
    <t>A456 eastbound to M5 dedicated slip road closure</t>
  </si>
  <si>
    <t>A50 from A522 to Tean Westbound Full Closure</t>
  </si>
  <si>
    <t>Overall Scheme Details: A50 DBFO - Uttoxeter Blythe Bridge - A522 to Tean - Westbound - Full Closure - Concrete Bay Repairs</t>
  </si>
  <si>
    <t>A50 Both Directions Full Closure A515 to A518 Rbt</t>
  </si>
  <si>
    <t>Overall Scheme Details: A50 DBFO - Doveridge Bypass - A515 Int to A518 Rbt - Eastbound And Westbound - Full Closure - Carriageway Repairs</t>
  </si>
  <si>
    <t>A47 westbound Harfrey's roundabout to Gapton Hall roundabout carriageway closure</t>
  </si>
  <si>
    <t>Overall Scheme Details: A47 both directions
Gapton Hall Roundabout  to Harfreys Roundabout - carriageway closure for carriageway - reconstruction/renewal on behalf of National Highways</t>
  </si>
  <si>
    <t>A11 southbound Granta Park/Newmarket Road entry slip road closure</t>
  </si>
  <si>
    <t>A12 southbound Jct 28 exit slip road closure</t>
  </si>
  <si>
    <t>Overall Scheme Details: A12 both directions
Jct 32 to Jct 11 - carriageway closure for drainage on behalf of National Highways</t>
  </si>
  <si>
    <t>A12 southbound Jct 28 entry slip road closure</t>
  </si>
  <si>
    <t>A14 westbound Jct 45 to Jct 44 carriageway closure</t>
  </si>
  <si>
    <t>Overall Scheme Details: A14 westbound
Jct 45 to Jct  44 - carriageway closure for communications on behalf of National Highways</t>
  </si>
  <si>
    <t>A47 westbound Trowse Interchange exit slip road closure</t>
  </si>
  <si>
    <t>Overall Scheme Details: A47 westbound 
Trowse Interchange - exit slip road closure, lane closure and diversion route for communications on behalf of National Highways</t>
  </si>
  <si>
    <t>A1(M) southbound Jct 7 carriageway closure between slips</t>
  </si>
  <si>
    <t>Overall Scheme Details: A1(M) southbound 
Jct 7 - carriageway closure for carriageway - reconstruction/renewal on behalf of National Highways</t>
  </si>
  <si>
    <t>A1307</t>
  </si>
  <si>
    <t>A1307 westbound to A14 entry slip road closure</t>
  </si>
  <si>
    <t>Overall Scheme Details: A14 both directions 
Jct 31 to Jct 21 - lane closures and carriageway closures for horticulture (cutting and planting) on behalf of National Highways</t>
  </si>
  <si>
    <t>M40 Southbound Jct 3 entry slip road closure</t>
  </si>
  <si>
    <t xml:space="preserve">Overall Scheme Details: M40 Southbound.
Jct 4 to Jct 3 Lane closures, slip road closures and diversion route for maintenance works.
Diversion via national highways network
</t>
  </si>
  <si>
    <t>M40 Northbound, Jct 9 entry slip road closure</t>
  </si>
  <si>
    <t>Overall Scheme Details: M40 Northbound,
Jct 9 entry slip road closure and diversion route for maintenance work
Diversion via National Highways network</t>
  </si>
  <si>
    <t>M40 northbound, Jct 11 to Jct 12, carriageway closure</t>
  </si>
  <si>
    <t>Overall Scheme Details: M40 northbound, 
Jct 10 to Jct 12, lane closures, carriageway closure, entry and exit slip road closures and diversion route for maintenance works.
Diversion via local authority roads.</t>
  </si>
  <si>
    <t>M40 northbound, Jct 11 entry slip road closure</t>
  </si>
  <si>
    <t>M40 northbound, Jct 12 exit slip road closure</t>
  </si>
  <si>
    <t>M1 southbound Tibshelf services entry slip road closure</t>
  </si>
  <si>
    <t>M1 southbound Tibshelf services exit slip road closure</t>
  </si>
  <si>
    <t>A45 southbound Barnes Meadow to Brackmills mini entry slip road closure</t>
  </si>
  <si>
    <t>Overall Scheme Details: A45 northbound and southbound Queen Eleanor to Brackmils.
Lane closures for maintenance works.</t>
  </si>
  <si>
    <t>A52 westbound Bingham to Saxondale roundabout carriageway closure</t>
  </si>
  <si>
    <t>Overall Scheme Details: A52 westbound Bingham to Saxondale roundabout.
Carriageway closure due to electrical works.
Diversion route via National Highways network.</t>
  </si>
  <si>
    <t>A46 northbound Widmerpool exit slip road closure</t>
  </si>
  <si>
    <t>M1 southbound Jct 26 dedicated entry slip closure southbound</t>
  </si>
  <si>
    <t xml:space="preserve">Overall Scheme Details: M1 southbound Jct 21.
Slip road and lane closure for maintenance works. </t>
  </si>
  <si>
    <t>M18</t>
  </si>
  <si>
    <t>M18 northbound Jct 3 exit slip road closure</t>
  </si>
  <si>
    <t>Overall Scheme Details: M18 northbound Jct 2 to Jct 3 
carriageway and lane closure for carriageway improvements
Diversion via M18 A630</t>
  </si>
  <si>
    <t>A616 eastbound and westbound Manchester Rd to Flouch carriageway closure</t>
  </si>
  <si>
    <t xml:space="preserve">Overall Scheme Details: A616 eastbound and westbound Manchester Rd to Flouch.
Carriageway and lane closures for general cleaning and maintenance works.
Diversion A629 B6462 A628 </t>
  </si>
  <si>
    <t>A1M southbound Jct 43 to Jct 42 carriageway closure</t>
  </si>
  <si>
    <t>Overall Scheme Details: A1M southbound Jct 43 to Jct 42 
Carriageway and lane closure for technology works
Diversion via M1, A656 and A63</t>
  </si>
  <si>
    <t>A1M southbound Jct 42 exit slip road closure</t>
  </si>
  <si>
    <t>A63 eastbound Daltry street, carriageway closure between exit and entry slip roads</t>
  </si>
  <si>
    <t xml:space="preserve">Overall Scheme Details: A63 eastbound Brighton street to Daltry street
Carriageway closure and lane closures for barrier repair 
Diversion local authority </t>
  </si>
  <si>
    <t>A696 Black Callerton Interchange Westbound Exit Slip Road Closure</t>
  </si>
  <si>
    <t>A696 Bank Foot Interchange Eastbound Exit Slip Road Closure</t>
  </si>
  <si>
    <t>A696 Black Callerton Interchange Westbound Entry Slip Road Closure</t>
  </si>
  <si>
    <t xml:space="preserve"> A696 Bank Foot Interchange Eastbound Entry Slip Road Closure</t>
  </si>
  <si>
    <t>A174/A172 Stokesley Road Interchange eastbound entry slip road closure</t>
  </si>
  <si>
    <t>A174/A172 Stokesley Road Interchange westbound entry slip road closure</t>
  </si>
  <si>
    <t>M60 Anticlockwise Jct 1 entry slip road closure</t>
  </si>
  <si>
    <t>M61 Northbound Jct 8 exit slip road closure</t>
  </si>
  <si>
    <t>Overall Scheme Details: M61 northbound Rivington Servies to Jnc 8 - lane closure for carriageway - reconstruction/renewal on behalf of National Highways</t>
  </si>
  <si>
    <t>M56 Westbound Jct 12 entry slip road closure</t>
  </si>
  <si>
    <t>Overall Scheme Details: M56 westbound J12 to J14 - carriageway closure for carriageway - reconstruction/renewal on behalf of National Highways</t>
  </si>
  <si>
    <t>M65 Eastbound Jct 5 exit  slip Lane closure</t>
  </si>
  <si>
    <t>Overall Scheme Details: M65 Eastbound Jct 5 exit  slip  closure  due to improvement works  for Blackburn with Darwen Borough Council</t>
  </si>
  <si>
    <t>M65 Eastbound Jct 5 entry slip road closure</t>
  </si>
  <si>
    <t>Overall Scheme Details: M65 Eastbound Jct 5 entry slip   lane closure  due to improvement works on verge for Blackburn with Darwen Borough Council</t>
  </si>
  <si>
    <t>M6 Northbound to M62 Eastbound link road closure</t>
  </si>
  <si>
    <t>M6 Southbound Sandbach Services exit and entry slip road closure</t>
  </si>
  <si>
    <t>M65 Westbound Jct 1 link to M6 Southbound link road closure</t>
  </si>
  <si>
    <t>Overall Scheme Details: M6 both directions J28 to J29 - lane closure for drainage on behalf of National Highways</t>
  </si>
  <si>
    <t>M66 Southbound Jct 4 exit slip road closure</t>
  </si>
  <si>
    <t>M66 Southbound to M62 Eastbound link road closure</t>
  </si>
  <si>
    <t>M6 Northbound Burton services exit and entry slip road closures</t>
  </si>
  <si>
    <t>M6 Southbound Jct 39 Exit slip road closure</t>
  </si>
  <si>
    <t>Overall Scheme Details: M6 Southbound Junction 40 to 39 - carriageway closure for carriageway - reconstruction/renewal</t>
  </si>
  <si>
    <t>M4 eastbound Jct 6 entry slip road closure</t>
  </si>
  <si>
    <t>Overall Scheme Details: M4 eastbound Jct 6.
Slip road closure for technology work.</t>
  </si>
  <si>
    <t>A303 eastbound Hundred Acre exit slip road closure</t>
  </si>
  <si>
    <t>Overall Scheme Details: A303 eastbound Hundred Acre.
Slip road and lane closure for maintenance work.</t>
  </si>
  <si>
    <t>A303 eastbound Hundred Acre entry slip road closure</t>
  </si>
  <si>
    <t>A27 eastbound Langstone carriageway closure between the exit and entry slip roads</t>
  </si>
  <si>
    <t>Overall Scheme Details: A27 both directions Langstone
Carriageway closure for structures work</t>
  </si>
  <si>
    <t>A31 westbound Verwood entry slip road closure</t>
  </si>
  <si>
    <t>Overall Scheme Details: A31 westbound Verwood to Ashley Heath - slip road and lane closure for drainage works.</t>
  </si>
  <si>
    <t>A31 westbound Verwood exit slip road closure</t>
  </si>
  <si>
    <t>A31 westbound Ashley Heath exit slip road closure</t>
  </si>
  <si>
    <t>M27 eastbound Jct 8 entry slip road closure</t>
  </si>
  <si>
    <t>Overall Scheme Details: M27 both directions Jct 4 to 8
Carriageway, slip road and lane closures for vegetation works</t>
  </si>
  <si>
    <t>A3 southbound Longmoor exit slip road closure</t>
  </si>
  <si>
    <t xml:space="preserve">Overall Scheme Details: A3 southbound Longmoor
Slip road and lane closure for maintenance works
</t>
  </si>
  <si>
    <t>A3 northbound Hazel Grove exit slip road closure</t>
  </si>
  <si>
    <t>Overall Scheme Details: A3 northbound Hazel Grove - slip road and lane closure for drainage works</t>
  </si>
  <si>
    <t>M4 westbound Jct 14 to Jct 15 carriageway closure</t>
  </si>
  <si>
    <t>Overall Scheme Details: M4 westbound Jct 14 to Jct 15 - carriageway closure for resurfacing work</t>
  </si>
  <si>
    <t>A2070 eastbound Cloverleaf exit slip road closure</t>
  </si>
  <si>
    <t>A2070 Cloverleaf eastbound entry slip road closure</t>
  </si>
  <si>
    <t>A2 eastbound Cobham exit slip road closure</t>
  </si>
  <si>
    <t>Overall Scheme Details: A2 both directions Wrotham to M2 Jct 2
slip road and lane closure for survey works</t>
  </si>
  <si>
    <t>A23 northbound Bolney exit slip road closure</t>
  </si>
  <si>
    <t>Overall Scheme Details: A23 northbound Bolney
Slip and lane closure for vegetation works</t>
  </si>
  <si>
    <t>A23 northbound Bolney entry slip road closure</t>
  </si>
  <si>
    <t>A21</t>
  </si>
  <si>
    <t>A21 northbound Vauxhall Entry Slip road closure</t>
  </si>
  <si>
    <t>Overall Scheme Details: A21 northbound Vauxhall,
Slip road closure for survey works.</t>
  </si>
  <si>
    <t>M3 Eastbound Jct 2 to M25 Clockwise and Anti-clockwise Jct 12 link road closure</t>
  </si>
  <si>
    <t>Overall Scheme Details: M3 Eastbound Jct 2 to M25 Clockwise and Anti-clockwise Jct 12 and M25 Clockwise Jct 12 to Jct 13
Link road and lane closure for hazardous tree removal 
Diversion via Local Authority and National Highway network</t>
  </si>
  <si>
    <t>A13 Westbound A126 to M25 Jct 30 Exit Slip Closure</t>
  </si>
  <si>
    <t xml:space="preserve">Overall Scheme Details: A13 Westbound A1012 to M25 Jct 30
Lane and slip road closure for maintenance works 
Diversion via National Highways and Local Authorities Network 
</t>
  </si>
  <si>
    <t>M25 Clockwise Jct 15 to M4 Eastbound and Westbound Jct 4B exit slip road and link road closure</t>
  </si>
  <si>
    <t>Overall Scheme Details: M25 Clockwise Jct 15 to M4 Eastbound and Westbound Jct 4B
Link road and lane closure for electrical works
Diversion via National Highway network</t>
  </si>
  <si>
    <t>M25 CW to M20 eastbound link road</t>
  </si>
  <si>
    <t>Overall Scheme Details: M25 Clockwise Jct 2 to Jct 3
Lane and link road closure for technology works
Diversion via National Highways Network</t>
  </si>
  <si>
    <t>M20 Westbound Jct 1 exit slip road closure</t>
  </si>
  <si>
    <t>Overall Scheme Details: M20 Westbound Jct 2 to Jct 1
Lane and slip road closure for resurfacing works
Diversion via National Highways and Local Authorities Network</t>
  </si>
  <si>
    <t>M25 Clockwise Jct 30 to A13 Eastbound fast link road closure</t>
  </si>
  <si>
    <t xml:space="preserve">Overall Scheme Details: M25 Clockwise Jct 30 to A13 Eastbound fast link road 
Lane and link road closure for speed camera repairs 
Diversion via National Highways Network </t>
  </si>
  <si>
    <t>M25 Anti-clockwise Jct 10 Entry Slip road closure</t>
  </si>
  <si>
    <t>Overall Scheme Details: M25 Anti-clockwise Jct 11 to Jct 10 
Slip road and lane closure for carriageway repairs
Diversion via Local Authority and National Highway Network</t>
  </si>
  <si>
    <t>M25 Anti-clockwise Jct 9 Exit Slip road closure</t>
  </si>
  <si>
    <t>Overall Scheme Details: M25 Anti-clockwise Jct 10 to Jct 9 
Slip road and Lane closure for urgent carriageway repairs 
Diversion via Local Authority and National Highway network</t>
  </si>
  <si>
    <t>M25 Anticlockwise Jct 22 Carriageway Closure</t>
  </si>
  <si>
    <t>Overall Scheme Details:  M25 Anticlockwise Jct 23 to Jct 21A
 Carriageway closure for Maintenance Works.
Diversion National Highways Network</t>
  </si>
  <si>
    <t>A38 eastbound Moorswater exit slip carriageway closure</t>
  </si>
  <si>
    <t>Overall Scheme Details: A38 eastbound Moorswater exit slip - carriageway closure for resurfacing works.
Diversion via - A38 eastbound to Island Shop Jct, A390 and B3254</t>
  </si>
  <si>
    <t>A40</t>
  </si>
  <si>
    <t>A40 both directions Huntley to Lea carriageway closed</t>
  </si>
  <si>
    <t>Overall Scheme Details: A40 both directions Huntley to Lea junction - Carriageway Closure for drainage works. 
Light vehicles diverted via Bradley Ct Rd and A4136. 
HGVs diverted via A40, A417, M50 and A449 to re-join A40.</t>
  </si>
  <si>
    <t>M5 southbound Jct 18 entry slip road from Avonmouth closure</t>
  </si>
  <si>
    <t xml:space="preserve">Overall Scheme Details: M5 southbound Jct 18 entry slip road closure for electrical works
Diversion for St Brendan's Roundabout entry slip road via Bristow Broadway and Portway Roundabout
Diversion for entry slip road via M5 Jct 17 and return
</t>
  </si>
  <si>
    <t>M5 southbound Jct 18 entry slip road from St Brendan's Roundabout closed</t>
  </si>
  <si>
    <t>A4</t>
  </si>
  <si>
    <t>A4 westbound lay-by carriageway closure</t>
  </si>
  <si>
    <t xml:space="preserve">Overall Scheme Details: A4 Westbound Box Roundabout to London road - Lane Closure for white lining works </t>
  </si>
  <si>
    <t>A30 westbound Rawridge to Honiton carriageway closure</t>
  </si>
  <si>
    <t>Overall Scheme Details: A30 westbound Rawridge to Honiton carriageway closure for white lining
Diversion via Stockland Hill, A35, Monkton Road</t>
  </si>
  <si>
    <t>M5 northbound Jct 12 to Jct 11 carriageway closure</t>
  </si>
  <si>
    <t>Overall Scheme Details: M5 northbound Jct 12 to Jct 11 carriageway closure for construction works
Diversion via A430,A38,A417,A40</t>
  </si>
  <si>
    <t>M5 northbound Jct 11A entry slip road closure</t>
  </si>
  <si>
    <t>M5 northbound Jct 12 entry slip road closure</t>
  </si>
  <si>
    <t>M6 southbound Jct 11 exit and entry slip road closures</t>
  </si>
  <si>
    <t xml:space="preserve">Overall Scheme Details: M6 southbound Jct 11.
Exit and entry slip road closures for maintenance works. 
Diversion via National Highways and local authority network.
</t>
  </si>
  <si>
    <t>A500 southbound Queensway exit slip road closure</t>
  </si>
  <si>
    <t xml:space="preserve">Overall Scheme Details: A500 southbound Queensway.
Exit slip road closure for maintenance works.
Diversion via National Highways and local authority network.
</t>
  </si>
  <si>
    <t>M11 northbound Jct 9 to A11 Fourwentways Roundabout carriageway closure</t>
  </si>
  <si>
    <t>Overall Scheme Details: M11 both directions 
Jct 9 to A11 A505 Jct - carriageway closure for carriageway - reconstruction/renewal on behalf of National Highways</t>
  </si>
  <si>
    <t>A414</t>
  </si>
  <si>
    <t>A414 westbound Park Street roundabout to Breakspear Jct - carriageway closure</t>
  </si>
  <si>
    <t>Overall Scheme Details: A414 both directions
Approaches to Park Street Roundabout - carriageway closure, lane closure, diversion route for S278/bypass works on behalf of Galldris Group</t>
  </si>
  <si>
    <t>M1 northbound Jct 8 entry slip road closure</t>
  </si>
  <si>
    <t>Overall Scheme Details: M1/A414 both directions
Jct 6 to Jct 8 - carriageway closures, lane closures and diversion routes due to carriageway - reconstruction/renewal works on behalf of National Highways</t>
  </si>
  <si>
    <t>M1 southbound Jct 8 entry slip road closure</t>
  </si>
  <si>
    <t>A421</t>
  </si>
  <si>
    <t>A421 westbound A6 Marsh Leys to M1 Jct 13 carriageway closure</t>
  </si>
  <si>
    <t>Overall Scheme Details: A421 both directions
Marsh Leys to Brogborough  - carriageway closure for white lining/road markings on behalf of National Highways</t>
  </si>
  <si>
    <t>A52 both directions Wheatcroft Roundabout to Ambleside carriageway closure</t>
  </si>
  <si>
    <t>Overall Scheme Details: A52 eastbound and westbound Silverdale to Gamston Roundabout.
Carriageway and lane closures for junction improvements.
Diversion via National Highways and local authority network.</t>
  </si>
  <si>
    <t>A1 southbound Skellow entry slip road closure (C)</t>
  </si>
  <si>
    <t>Overall Scheme Details: A1 southbound Skellow
Slip road and lane closure for works on behalf of Local Authority
Diversion via A1 and A638</t>
  </si>
  <si>
    <t>A1 southbound Skellow exit slip road closure (C)</t>
  </si>
  <si>
    <t>M62 eastbound Jct 28 exit slip road closure</t>
  </si>
  <si>
    <t>Overall Scheme Details: M62 eastbound Jct 27 to Jct 28
Slip road and lane closures for technology works 
Diversion M62</t>
  </si>
  <si>
    <t>M18 northbound Jct 4 to Jct 5 carriageway closure</t>
  </si>
  <si>
    <t>Overall Scheme Details: M18 northbound Jct 3 to Jct 5
Carriageway closure and lane closures for carriageway repairs
Diversion A630 A18 M180 M18</t>
  </si>
  <si>
    <t>M18 northbound Jct 4 entry slip road closure</t>
  </si>
  <si>
    <t>M18 northbound Jct 5 exit slip road closure</t>
  </si>
  <si>
    <t>M62 eastbound Jct 27 carriageway closure between exit and entry slip roads</t>
  </si>
  <si>
    <t>Overall Scheme Details: M62 eastbound Jct 26 to Jct 28 
Carriageway and lane closures for carriageway repairs
Diversion via A62.</t>
  </si>
  <si>
    <t>M606 northbound Jct 3 carriageway closure</t>
  </si>
  <si>
    <t>Overall Scheme Details: M606 both directions  Jct 1 to Jct 3.
Carriageway and lane closure for barrier repair works.</t>
  </si>
  <si>
    <t>M62 westbound Jct 23 entry slip road closure</t>
  </si>
  <si>
    <t xml:space="preserve">Overall Scheme Details: M62 westbound Jct 23 to Jct 22
Slip road and lane closure for Carriageway - Reconstruction/Renewal
Diversion via local authority </t>
  </si>
  <si>
    <t>A1033</t>
  </si>
  <si>
    <t>A1033 eastbound Marfleet to Somerden carriageway closure</t>
  </si>
  <si>
    <t>Overall Scheme Details: A1033 eastbound Marfleet to Somerden.
Carriageway closure for carriageway repair works.
Diversion route via local authority network.</t>
  </si>
  <si>
    <t>Overall Scheme Details: M6 both directions J20 to J21 - carriageway closure for carriageway - reconstruction/renewal on behalf of National Highways</t>
  </si>
  <si>
    <t>M6 Northbound Jct 21 entry slip road closure</t>
  </si>
  <si>
    <t>M60 Anticlockwise Jct 19  link road closure</t>
  </si>
  <si>
    <t>M60 Anticlockwise to M60 Anticlockwise link road closure</t>
  </si>
  <si>
    <t>M60 Anticlockwise Jct 18 entry slip road closure</t>
  </si>
  <si>
    <t>M60 Anticlockwise Jct 17 exit slip road closure</t>
  </si>
  <si>
    <t>M62 Westbound Jct 18 to M60  17 Carriageway Closure</t>
  </si>
  <si>
    <t>M60 Clockwise Jct 18 to M66 Northbound link road closure</t>
  </si>
  <si>
    <t>M60 Clockwise Jct 17 to 18 Carriageway Closure</t>
  </si>
  <si>
    <t>M60 Clockwise Jct 17 entry slip road closure</t>
  </si>
  <si>
    <t>M60 Clockwise Jct 18 exit slip road closure</t>
  </si>
  <si>
    <t>M56 Westbound jct 7 exit slip road closure</t>
  </si>
  <si>
    <t>Overall Scheme Details: A556 Southbound Jct 7 Exit Slip to Jct 19 M6 - Carriageway Closure for Drainage on behalf of Amey</t>
  </si>
  <si>
    <t>A556</t>
  </si>
  <si>
    <t>A556 Southbound Bowdon Island to M6 carriageway closure</t>
  </si>
  <si>
    <t>M56 Eastbound Jct 7 exit slip road closure</t>
  </si>
  <si>
    <t>M60 anticlockwise jct 8 - 5 carriageway closure</t>
  </si>
  <si>
    <t>Overall Scheme Details: M60 both directions Junction 7 to Junction 5 - carriageway closure for horticulture (cutting and planting) on behalf of National Highways</t>
  </si>
  <si>
    <t>M60 anticlockwise jct 6 entry slip road closure</t>
  </si>
  <si>
    <t>M60 anticlockwise jct 6 entry slip from CD link</t>
  </si>
  <si>
    <t>M60 anticlockwise jct 5 exit slip road closure</t>
  </si>
  <si>
    <t>M6 Southbound Jct 17 exit slip road closure</t>
  </si>
  <si>
    <t>Overall Scheme Details: M6 southbound 18 to 17 - carriageway closure for barriers - permanent on behalf of National Highways</t>
  </si>
  <si>
    <t>A550</t>
  </si>
  <si>
    <t>A550 Northbound and Southbound Hooton Green to Badgers Rake Lane carriageway closure</t>
  </si>
  <si>
    <t xml:space="preserve">Overall Scheme Details: A550 Northbound and Southbound Hooton Green to Badgers Rake Lane carriageway closure due to drainage works </t>
  </si>
  <si>
    <t>A66 Eastbound and Westbound Ramsay Brow  to Stainburn Roundabout Carriageway closure</t>
  </si>
  <si>
    <t xml:space="preserve">Overall Scheme Details: A66 Eastbound and Westbound Ramsay Brow  to Stainburn Roundabout
Carriageway closure for Resurfacing Works </t>
  </si>
  <si>
    <t>A27 westbound Warblington to Bedhampton carriageway closure</t>
  </si>
  <si>
    <t>A27 westbound Langstone carriageway closure between the exit and entry slip roads</t>
  </si>
  <si>
    <t>A34 northbound Chilton to Milton carriageway closure</t>
  </si>
  <si>
    <t>Overall Scheme Details: A34 northbound Chilton to Milton.
Carriageway closure for white lining/road markings renewal.</t>
  </si>
  <si>
    <t>A34 northbound Hinksey Hill entry slip road closure</t>
  </si>
  <si>
    <t>Overall Scheme Details: A34 northbound Hinksey Hill.
Slip road and lane closure for maintenance work.</t>
  </si>
  <si>
    <t>A2 westbound Henhurst road entry slip road closure</t>
  </si>
  <si>
    <t>Overall Scheme Details: A2 westbound Cobham to Tollgate
slip road and lane closure for  maintenance works</t>
  </si>
  <si>
    <t>A282 Northbound Dartford Crossing East Tunnel closure No access over Dartford Crossing for vehicles over 4.8m</t>
  </si>
  <si>
    <t>Overall Scheme Details: A282 Northbound Dartford Crossing East Tunnel
Tunnel closure for maintenance works
Diversion via National Highways Network</t>
  </si>
  <si>
    <t>A1(M) Southbound Jct 4 Exit Slip Road Closure</t>
  </si>
  <si>
    <t>Overall Scheme Details: A1(M) Southbound Jct 4
Slip Road and Lane Closure for Technology Works
Diversion via National Highways Network</t>
  </si>
  <si>
    <t>M25 Clockwise Jct 25 to Jct 26 carriageway closure</t>
  </si>
  <si>
    <t>Overall Scheme Details: M25 Clockwise Jct 25 to Jct 26 
Carriageway, slip road and lane closure for tunnel works 
Diversion via Local Authorities and National Highways Network</t>
  </si>
  <si>
    <t>A2 Westbound Darenth Interchange entry slip road closure</t>
  </si>
  <si>
    <t>Overall Scheme Details: M25 Anti-clockwise Jct 2 Roundabout and Approaches
Lane, link and slip road closure for inspections
Diversion via National Highways and Local Authorities Network</t>
  </si>
  <si>
    <t>A2 Westbound Darenth Interchange to M25 Clockwise Jct 2 link road closure</t>
  </si>
  <si>
    <t>M25 Anti-clockwise Jct 25 carriageway closure between entry and exit slips</t>
  </si>
  <si>
    <t>Overall Scheme Details: M25 Anti-clockwise Jct 26 to Jct 24 
Carriageway and lane closure for retexturing works
Diversion via National Highways Network</t>
  </si>
  <si>
    <t>M5 southbound Jct 19 to Jct 22 carriageway closure</t>
  </si>
  <si>
    <t xml:space="preserve">Overall Scheme Details: M5 southbound Jct 19 to Jct 22 -  carriageway closure for St Georges Structural upgrade scheme. 
M5 Jct 19 Heavy diversion via - M5 Jct 18, A4 Portway, A3029, A370 A4174, A38 to rejoin at Jct 22.
M5 Jct 19 Light diversion via - M5 Jct 19, A369 and join Heavy diversion at the A3029 Jct.
M5 Jct 20 diversion via -M5 north to either Jct 19 for Light vehicles or Jct 18 for Heavy.
M5 Jct 21 diversion via - A370, Locking Moor Rd, The Runway, Winterstoke Rd, A370, A38 to rejoin M5 at Jct 22 
</t>
  </si>
  <si>
    <t>A417 northbound from Burford Road to Air Balloon Roundabout Carriageway Closure</t>
  </si>
  <si>
    <t>Overall Scheme Details: A417 northbound from Burford Road to Air Balloon Roundabout
Carriageway Closure for earthworks for Missing Link works
Diversion route via A429, A40 and A436.</t>
  </si>
  <si>
    <t>A417 southbound from Air Balloon Roundabout to Elkstone Carriageway Closure</t>
  </si>
  <si>
    <t>Overall Scheme Details: A417 southbound from Air Balloon Roundabout to Elkstone
Carriageway Closure for earthworks for Missing Link works
Diversion route via A436, A40 and A429.</t>
  </si>
  <si>
    <t>M6 southbound Jct 10 to Jct 8 carriageway closure</t>
  </si>
  <si>
    <t>Overall Scheme Details: M6 southbound Jct 10 to Jct 8.
Carriageway closure for maintenance works.
Diversion via National Highways and local authority network.</t>
  </si>
  <si>
    <t>A50 eastbound Trentham entry slip road closure</t>
  </si>
  <si>
    <t xml:space="preserve">Overall Scheme Details: A50 eastbound Trentham.
Entry slip road closure for maintenance works.
Diversion via National Highways  network. 
</t>
  </si>
  <si>
    <t>A47 both directions Acle Roundabout to Vauxhall Roundabout carriageway closure</t>
  </si>
  <si>
    <t>Overall Scheme Details: A47 both directions 
Acle Roundabout to Vauxhall Roundabout - carriageway closure, lane closure and diversion route for construction improvement/upgrade on behalf of National Highways</t>
  </si>
  <si>
    <t>M1 southbound Jct 11A to Jct 9 carriageway closure</t>
  </si>
  <si>
    <t>Overall Scheme Details: M1 both directions
Junction 6A to Junction 14 - carriageway closure for communications on behalf of National Highways</t>
  </si>
  <si>
    <t>A52 westbound Bardills roundabout to M1 Jct 25 carriageway closure</t>
  </si>
  <si>
    <t>Overall Scheme Details: A52 westbound Bardills roundabout to M1 Jct 25.
Carriageway, lane and lay-by closures for maintenance works.
Diversion route via local authority network.</t>
  </si>
  <si>
    <t>A52 westbound Jct 25 exit slip road closure</t>
  </si>
  <si>
    <t>M621 anticlockwise Jct 1 to Jct 27 carriageway closure</t>
  </si>
  <si>
    <t>Overall Scheme Details: M621 anticlockwise Jct 1 to Jct 27
Carriageway closure and lane closures for structures maintenance works.
Diversion M621,  A62 &amp;  M62.</t>
  </si>
  <si>
    <t>M621 anticlockwise Jct 1 entry slip road closure</t>
  </si>
  <si>
    <t>M53 Southbound Jct 7 to 10 Carriageway Closure</t>
  </si>
  <si>
    <t>M53 Southbound Jct 7 entry slip road closure</t>
  </si>
  <si>
    <t>M53 Southbound Jct 8 exit slip road closure</t>
  </si>
  <si>
    <t>M53 Southbound Jct 8 entry slip road closure</t>
  </si>
  <si>
    <t>M53 Southbound Jct 9 exit slip road closure</t>
  </si>
  <si>
    <t>M53 Southbound Jct 9 entry slip road closure</t>
  </si>
  <si>
    <t>M53 Southbound Jct 10 exit slip road closure</t>
  </si>
  <si>
    <t>M60 Clockwise Jct 11 entry slip road closure</t>
  </si>
  <si>
    <t>Overall Scheme Details: M60 clockwise J10 to J12 - lane closure for barrier/fence safety repairs on behalf of National Highways</t>
  </si>
  <si>
    <t>A55 Eastbound Jct 40 to M53 Jct 12 carriageway closure</t>
  </si>
  <si>
    <t>Overall Scheme Details: A55 eastbound and westbound Jct 40 to 41 - carriageway closure for drainage</t>
  </si>
  <si>
    <t>A55 eastbound jct 40 entry slip road closure</t>
  </si>
  <si>
    <t>A55 eastbound jct 41 exit slip road closure</t>
  </si>
  <si>
    <t>A556 Northbound M6 jct 19 - Bowdon Island Carriageway Closure  inc all slips</t>
  </si>
  <si>
    <t>Overall Scheme Details: M6 northbound and southbound jct 19 - A556 Northbound Jct 19 to Bowden RAB - Carriageway Closure for Drainage on behalf of Amey</t>
  </si>
  <si>
    <t>M62 Eastbound to M6 Northbound link road closure</t>
  </si>
  <si>
    <t>Overall Scheme Details: M62 westbound Jct 10 to Jct 10 - carriageway closure for carriageway - reconstruction/renewal on behalf of National Highways</t>
  </si>
  <si>
    <t>M6 Northbound Jct 32 entry slip road closure</t>
  </si>
  <si>
    <t>Overall Scheme Details: M6 Northbound and Southbound Junction 31A to Junction 33 and M55 jct 1 carriageway closures and Lane closures for Waterproofing and concrete repairs</t>
  </si>
  <si>
    <t>M55</t>
  </si>
  <si>
    <t>M55 Eastbound Jct 1 carriageway closure (SB traffic to go up and over the slips and NB traffic sent North on A6)</t>
  </si>
  <si>
    <t>M6 Northbound Jct 32 to 33 Carriageway closure</t>
  </si>
  <si>
    <t>M2 westbound Jct 1 exit slip road closure (will divert to Cobham)</t>
  </si>
  <si>
    <t>A2 westbound Cobham entry slip closure</t>
  </si>
  <si>
    <t>A2 westbound Cobham exit slip road closure</t>
  </si>
  <si>
    <t>A2 westbound Marling Cross entry slip road closure</t>
  </si>
  <si>
    <t>A21 southbound Morleys road roundabout to Vauxhall lane carriageway closure</t>
  </si>
  <si>
    <t>Overall Scheme Details: A21 southbound Morleys to Tonbridge
carriageway closure for barrier repairs</t>
  </si>
  <si>
    <t>M20 eastbound Jct 6 exit slip road closure</t>
  </si>
  <si>
    <t>Overall Scheme Details: M20 eastbound Jct 5 to Jct 6
slip road and lane closure for maintenance works</t>
  </si>
  <si>
    <t>Overall Scheme Details: A282 Northbound Dartford Crossing East Tunnel
Tunnel closure for contraflow
Diversion via National Highways Network</t>
  </si>
  <si>
    <t>M25 Clockwise Jct 31 entry slip road closure</t>
  </si>
  <si>
    <t>Overall Scheme Details: M25 Clockwise Jct 31 Entry Slip Road
Slip road closure for bearing works</t>
  </si>
  <si>
    <t>M25 Clockwise Dartford Crossing QEII Bridge Jct 31 to Jct 1A bridge closure</t>
  </si>
  <si>
    <t>Overall Scheme Details: M25 Clockwise Dartford Crossing QEII Bridge Jct 31 to Jct 1A
Bridge closure for bridge maintenance works
Diversion via National Highways Network</t>
  </si>
  <si>
    <t>M11 Southbound Jct 7 to Jct 6 carriageway closure</t>
  </si>
  <si>
    <t xml:space="preserve">Overall Scheme Details: M11 Southbound Jct 7 to Jct 6
Carriageway, link road and lane closure for road markings
Diversion via Local Authorities and National Highways Network
</t>
  </si>
  <si>
    <t>M11 Southbound Jct 6 to M25 Clockwise and Anti-clockwise Jct 27 Link road closure</t>
  </si>
  <si>
    <t>M25 Jct 2 Roundabout closure</t>
  </si>
  <si>
    <t xml:space="preserve">Overall Scheme Details: M25 Jct 2 Roundabout and Approaches 
Carriageway and lane closure for carriageway repairs 
Diversion via Local Authorities and National Highways Network </t>
  </si>
  <si>
    <t>A50 Westbound Derby Southern Bypass Full Closure</t>
  </si>
  <si>
    <t>Overall Scheme Details: A50 DBFO - Derby Southern Bypass - Westbound - Full Carriageway Closure - Lining and stud replacement Works</t>
  </si>
  <si>
    <t>A6</t>
  </si>
  <si>
    <t>A6 South to A50 West Link</t>
  </si>
  <si>
    <t>A11 southbound London Road Roundabout to B1106 Jct carriageway closure</t>
  </si>
  <si>
    <t>A47 eastbound Gapton Hall to Harfreys roundabout carriageway closure</t>
  </si>
  <si>
    <t>A1 northbound New Lane to London Road carriageway closure</t>
  </si>
  <si>
    <t>A12 southbound Jct 29 to 28 carriageway closure</t>
  </si>
  <si>
    <t>Overall Scheme Details: A12 both directions 
Jct 28 to Jct 29 - carriageway closure for white lining/road markings on behalf of National Highways</t>
  </si>
  <si>
    <t>A1 northbound Black Cat Roundabout to Wyboston carriageway closure</t>
  </si>
  <si>
    <t>Overall Scheme Details: A1 / A421 both directions 
Biggleswade to St Neots - carriageway closures, lane closures, narrow lanes, permanent layby closures and diversion routes for construction - bypass/new on behalf of National Highways</t>
  </si>
  <si>
    <t>A1 northbound Tempsford to Black Cat Roundabout carriageway closure</t>
  </si>
  <si>
    <t>A14 westbound Jct 34 entry slip carriageway closure</t>
  </si>
  <si>
    <t>Overall Scheme Details: A14 both directions 
Jct 33 to Jct 37 - exit and entry slip closures, lane closures and diversion route for horticulture cutting and planting on behalf of National Highways</t>
  </si>
  <si>
    <t>A14 westbound Jct 33 exit slip carriageway closure</t>
  </si>
  <si>
    <t>M1 southbound Jct 14 to Jct 11A carriageway closure</t>
  </si>
  <si>
    <t>A1 northbound Alconbury exit slip road closure</t>
  </si>
  <si>
    <t>A1 southbound Alconbury entry slip road closure</t>
  </si>
  <si>
    <t>A1 northbound Little Paxton exit slip road closure</t>
  </si>
  <si>
    <t>Overall Scheme Details: A1 northbound
Little Paxton to Southoe - carriageway closure for drainage on behalf of National Highways</t>
  </si>
  <si>
    <t>A1 northbound Little Paxton entry slip road closure</t>
  </si>
  <si>
    <t>M40 southbound, Jct 15 entry slip road closure</t>
  </si>
  <si>
    <t>Overall Scheme Details: M40 southbound, 
Jct 15 to Jct 14, lane closure, entry slip road closure and diversion route for maintenance works.
Diversion via National Highways network.</t>
  </si>
  <si>
    <t>M40 Southbound, Jct 4 to Jct 2 carriageway closure</t>
  </si>
  <si>
    <t>Overall Scheme Details: M40 Southbound, Jct 5 to Jct 2
Lane closure, carriageway closure and diversion route for maintenance work
Diversion via National Highways network and local authority road</t>
  </si>
  <si>
    <t>M40 Southbound, Jct 4 entry slip road closure</t>
  </si>
  <si>
    <t>M40 Southbound, Jct 3 entry slip road closure</t>
  </si>
  <si>
    <t>M40 Southbound, Jct 2 exit slip road closure</t>
  </si>
  <si>
    <t>A46 northbound Thorpe on the Hill exit slip road closure</t>
  </si>
  <si>
    <t>A46 northbound Thorpe on the Hill entry slip road closure</t>
  </si>
  <si>
    <t>A14 westbound layby closure</t>
  </si>
  <si>
    <t>A14 westbound Jct 8 to Jct 3 carriageway closure</t>
  </si>
  <si>
    <t>A14 westbound Jct 8 entry slip road closure</t>
  </si>
  <si>
    <t>A14 westbound Jct 7 exit slip road closure</t>
  </si>
  <si>
    <t>A14 westbound Jct 7 entry slip road closure</t>
  </si>
  <si>
    <t>A14 westbound Jct 6 exit slip road closure</t>
  </si>
  <si>
    <t>A14 westbound Jct 6 entry slip road closure</t>
  </si>
  <si>
    <t>A14 westbound Jct 5 exit and entry slip road closure</t>
  </si>
  <si>
    <t>M69 southbound Jct 2 exit slip road closure</t>
  </si>
  <si>
    <t>Overall Scheme Details: M69 northbound and southbound Burbage to Jct 21 (M1).
Carriageway, exit and entry slip road and lane closures  due to maintenance works.
Diversion is via National Highways and local authority network.</t>
  </si>
  <si>
    <t>M69 southbound Jct 1 exit slip road closure</t>
  </si>
  <si>
    <t>M69 southbound M1 Jct 21 to Jct 1 carriageway closure</t>
  </si>
  <si>
    <t>M606 southbound Jct 3 entry slip road closure (C)</t>
  </si>
  <si>
    <t>Overall Scheme Details: M62 eastbound Jct 25 to Jct 26 M606 northbound and southbound Jct 26 to Jct 3
Carriageway closure and Lane closures for general cleaning and maintenance 
Diversion M62 A650</t>
  </si>
  <si>
    <t>M606 southbound Jct 2 exit slip road closure (C)</t>
  </si>
  <si>
    <t>M606 southbound Jct 2 entry slip road closure (C)</t>
  </si>
  <si>
    <t>M606 southbound Jct 26 exit slip road closure (C)</t>
  </si>
  <si>
    <t>M606 southbound Jct 26 to M62 eastbound Jct 26, link road closure (C)</t>
  </si>
  <si>
    <t>M606 southbound Jct 3 to Jct 26, carriageway closure (C)</t>
  </si>
  <si>
    <t>M62 Jct 33 Ferrybridge roundabout southern quadrant closure</t>
  </si>
  <si>
    <t>M62 Jct 33 Ferrybridge roundabout Northern quadrant closure with ring management (C)</t>
  </si>
  <si>
    <t>M62 eastbound Jct 30 entry slip road closure</t>
  </si>
  <si>
    <t>Overall Scheme Details: M62 eastbound Jct 30
Slip road closure for survey works 
Diversion A642 M62</t>
  </si>
  <si>
    <t>M1 northbound Jct 46 to Jct 48 carriageway closure</t>
  </si>
  <si>
    <t>Overall Scheme Details: A1M northbound and southbound Jct 42 to Jct 45 and M1 Jct 46 to Jct 48.
Carriageway and lane closures for carriageway improvement works.
Diversion A1M, M1, A6210, A63, A162 and A64.</t>
  </si>
  <si>
    <t>M1 northbound Jct 46 entry slip road closure</t>
  </si>
  <si>
    <t>M1 northbound Jct 47 entry slip road closure</t>
  </si>
  <si>
    <t>A1M northbound Jct 42 to Jct 44 carriageway closure</t>
  </si>
  <si>
    <t>A1M northbound Jct 42 entry slip road closure</t>
  </si>
  <si>
    <t>A61</t>
  </si>
  <si>
    <t>A61 northbound Westwood to Tankersley, carriageway closure</t>
  </si>
  <si>
    <t>Overall Scheme Details: A61 northbound and southbound Tankersley roundabout to Westwood roundabout.
Carriageway closure and lane closures for general cleaning and maintenance works.
Diversion M1 A616
Diversion</t>
  </si>
  <si>
    <t>A61 Southbound Tankersley to Westwood, carriageway closure</t>
  </si>
  <si>
    <t>A1m northbound Jct 36 entry slip road closure</t>
  </si>
  <si>
    <t>Overall Scheme Details: A1m northbound Jct 36
Slip road closure for electrical works
Diversion A630 A1m M18</t>
  </si>
  <si>
    <t>A64</t>
  </si>
  <si>
    <t>A64 eastbound Pickering Interchange exit slip road closure</t>
  </si>
  <si>
    <t>Overall Scheme Details: A64 eastbound Pickering  
Slip road and lane closure for general cleaning and maintenance
Diversion via A64</t>
  </si>
  <si>
    <t>A1M Jct 64 Northbound Entry Slip Road Closure</t>
  </si>
  <si>
    <t>Overall Scheme Details: A1M Northbound and Southbound Newton Aycliffe to Washington and A66 Eastbound and Westbound Snow Gates
Carriageway Closure for Electrical Works</t>
  </si>
  <si>
    <t>A19 Howden Interchange Northbound entry Slip Road Closure</t>
  </si>
  <si>
    <t>Overall Scheme Details: A19 Northbound Howden to Silverlink 
Slip Road Closure for Drainage Works</t>
  </si>
  <si>
    <t>A19 northbound A66 Stockton Road to A1046 Portrack Interchange carriageway closure</t>
  </si>
  <si>
    <t>M53 Southbound Jct 4 to 5 Carriageway Closure</t>
  </si>
  <si>
    <t>Overall Scheme Details: M53 both directions Jct 4 to Jct 5 - carriageway closure for structure - maintenance on behalf of National Highways</t>
  </si>
  <si>
    <t>M53 Southbound Jct 4 entry slip road closure</t>
  </si>
  <si>
    <t>M53 Southbound Jct 5 exit slip road closure</t>
  </si>
  <si>
    <t>M61 Northbound Jct 5 exit slip road closure</t>
  </si>
  <si>
    <t>Overall Scheme Details: M61 northbound and southbound Jct 4 to Jct 5 - carriageway closure for carriageway - reconstruction/renewal on behalf of National Highways</t>
  </si>
  <si>
    <t>M61 Northbound Jct 5 entry slip road closure</t>
  </si>
  <si>
    <t>M62 Eastbound Burtonwood Services exit and entry slip road closures</t>
  </si>
  <si>
    <t>Overall Scheme Details: M62 eastbound J8 to J9 - carriageway closure for horticulture (cutting and planting) on behalf of National Highways</t>
  </si>
  <si>
    <t>M62 Eastbound Jct 8 to 9 carriageway closure</t>
  </si>
  <si>
    <t>M62 Eastbound Jct 8 entry slip road closure</t>
  </si>
  <si>
    <t>M62 Eastbound Jct 9 exit slip road closure</t>
  </si>
  <si>
    <t>M65 Eastbound Jct 1 to 2 carriageway closure</t>
  </si>
  <si>
    <t xml:space="preserve">Overall Scheme Details: M65 Eastbound and Westbound Terminal Island to junction 2 - Carriageway Closure for Horticultural Works </t>
  </si>
  <si>
    <t>M6 Southbound to M65 Eastbound dedicated lane closure</t>
  </si>
  <si>
    <t>M65 Eastbound Jct 1 entry slip road closure</t>
  </si>
  <si>
    <t>M65 Eastbound Jct 2 exit slip road closure</t>
  </si>
  <si>
    <t>A556 Northbound to M56 Eastbound link road closure</t>
  </si>
  <si>
    <t>M56 Eastbound Jct 7 entry slip road closure</t>
  </si>
  <si>
    <t>M61 Southbound Jct 4 exit slip road closure</t>
  </si>
  <si>
    <t>Overall Scheme Details: M61 southbound J5 to J3 - carriageway closure for carriageway - reconstruction/renewal on behalf of National Highways</t>
  </si>
  <si>
    <t>M6 Southbound Jct 21 exit slip road closure</t>
  </si>
  <si>
    <t>Overall Scheme Details: M6 southbound Warrington to Lymm - carriageway closure for construction improvement/upgrade on behalf of National Highways</t>
  </si>
  <si>
    <t>M6 Southbound Jct 21 entry slip road closure</t>
  </si>
  <si>
    <t>M62 Westbound Jct 11 exit slip road closure</t>
  </si>
  <si>
    <t>Overall Scheme Details: M62 both directions J10 to J12 - carriageway closure for construction improvement/upgrade on behalf of National Highways</t>
  </si>
  <si>
    <t>M62 Eastbound Jct 11 exit slip road closure</t>
  </si>
  <si>
    <t>M53 Northbound Jct 12 entry slip road closure</t>
  </si>
  <si>
    <t xml:space="preserve">Overall Scheme Details: M53 both directions Jct 12 to Jct 11 - carriageway closure for electrical works </t>
  </si>
  <si>
    <t>M53 Southbound Jct 12 exit slip road closure</t>
  </si>
  <si>
    <t>M62 Westbound Jct 20 exit slip road closure</t>
  </si>
  <si>
    <t>Overall Scheme Details: M62 westbound Jct 21 to Jct 20 - carriageway closure for drainage on behalf of National Highways</t>
  </si>
  <si>
    <t>A5036</t>
  </si>
  <si>
    <t>A5036 eastbound Switch Island carriageway closure</t>
  </si>
  <si>
    <t>Overall Scheme Details: M57 northbound Switch Island  to M57 - carriageway closure for construction improvement/upgrade on behalf of National Highways</t>
  </si>
  <si>
    <t>A5036 Westbound Switch Island carriageway closure</t>
  </si>
  <si>
    <t>M6 Southbound Sandbach Services exit slip road closure</t>
  </si>
  <si>
    <t>M6 Southbound Jct 36 to 35 Carriageway closure (Mp 406/6 - 394/0)</t>
  </si>
  <si>
    <t>M6 Northbound Jct 32 Exit slip road closure</t>
  </si>
  <si>
    <t>Overall Scheme Details: M6 northbound Jct 31 to 32 - carriageway closure for barrier/fence safety repairs</t>
  </si>
  <si>
    <t>A3 northbound Longmoor carriageway closure between the exit and entry slip roads</t>
  </si>
  <si>
    <t>Overall Scheme Details: A3 both directions Hogs Back to Longmoor.
Carriageway closures for resurfacing work.</t>
  </si>
  <si>
    <t>A3 northbound Hazel Grove to Milford carriageway closure</t>
  </si>
  <si>
    <t>A303 eastbound Thruxton Village exit slip road closure</t>
  </si>
  <si>
    <t xml:space="preserve">Overall Scheme Details: A303 eastbound Thruxton Village.
Slip road and lane closure for maintenance work.
</t>
  </si>
  <si>
    <t>A303 eastbound Thruxton Village entry slip road closure</t>
  </si>
  <si>
    <t>A303 westbound Micheldever exit slip road closure</t>
  </si>
  <si>
    <t>Overall Scheme Details: A303 westbound Micheldever.
Slip road and lane closures for maintenance work.</t>
  </si>
  <si>
    <t>M4 westbound Membury Services closure</t>
  </si>
  <si>
    <t>Overall Scheme Details: M4 westbound Membury Services - slip road and lane closure for drainage works.</t>
  </si>
  <si>
    <t>A3 southbound Weston exit slip road closure</t>
  </si>
  <si>
    <t xml:space="preserve">Overall Scheme Details: A3 southbound Weston.
Slip road and lane closure for maintenance work.
</t>
  </si>
  <si>
    <t>A3 southbound Weston entry slip road closure</t>
  </si>
  <si>
    <t>A27 westbound Eastern Road to M27 Jct 12 carriageway closure</t>
  </si>
  <si>
    <t>Overall Scheme Details: A27 westbound Eastern Road to M27 Jct 12.
Carriageway closure for barrier works.</t>
  </si>
  <si>
    <t>M3 northbound Jct 13 exit slip road closure</t>
  </si>
  <si>
    <t>Overall Scheme Details: M3 northbound Jct 13,
Slip road and lane closures for maintenance works.</t>
  </si>
  <si>
    <t>A2 southbound Duke of York roundabout to Eastern Docks roundabout carriageway closure</t>
  </si>
  <si>
    <t>Overall Scheme Details: A2 both directions Duke Of York Roundabout to Eastern Docks Roundabout
carriageway closures for drainage works</t>
  </si>
  <si>
    <t>A2 northbound Eastern Docks to Duke of York roundabout carriageway closure</t>
  </si>
  <si>
    <t>M2 westbound Jct 4 Entry Slip road closure</t>
  </si>
  <si>
    <t>Overall Scheme Details: M2 westbound Jct 5 to Jct 4,
Slip road and lane closures for maintenance works.</t>
  </si>
  <si>
    <t>M2 westbound Farthing Services Exit and Entry Slip road closure</t>
  </si>
  <si>
    <t>M2 westbound Jct 4 Exit Slip road closure</t>
  </si>
  <si>
    <t>M2 westbound Jct 7 entry slip road closure</t>
  </si>
  <si>
    <t>Overall Scheme Details: A2 westbound Upper Harbledown to M2 Jct 6
slip road and lane closures for survey works</t>
  </si>
  <si>
    <t>A23 southbound Hickstead exit slip closure</t>
  </si>
  <si>
    <t>Overall Scheme Details: A23 both directions Haywards Heath to Hickstead
Slip road, lane closure and traffic signal closure for electrical works</t>
  </si>
  <si>
    <t>A23 southbound Hickstead entry slip closure</t>
  </si>
  <si>
    <t>A21 both directions Johns Cross roundabout to Northbridge Street roundabout carriageway closure</t>
  </si>
  <si>
    <t xml:space="preserve">Overall Scheme Details: A21 both directions Northbridge Street roundabout to Johns Cross roundabout,
Carriageway closure for surface works </t>
  </si>
  <si>
    <t>A27 eastbound Adur between exit and entry slip road carriageway closure</t>
  </si>
  <si>
    <t>Overall Scheme Details: A27 eastbound Coombes Road to Mill Hill
carriageway and lane closure for maintenance works</t>
  </si>
  <si>
    <t>Overall Scheme Details: A2070 westbound Church Lane  to Cloverleaf
Slip and lane closure for maintenance works</t>
  </si>
  <si>
    <t>M25 Clockwise Jct 9 to Jct 10 Cobham entry slip road closure</t>
  </si>
  <si>
    <t>Overall Scheme Details: M25 Clockwise Jct 9 to Jct 10 
Slip road and lane closure for maintenance works
Diversion via Local Authority and National Highway network</t>
  </si>
  <si>
    <t>M25 Clockwise Jct 25 to Jct 26 Carriageway and slip road closure</t>
  </si>
  <si>
    <t>Overall Scheme Details: M25 Clockwise Jct 25 to Jct 26 
Carriageway and lane closure for maintenance works 
Diversion via National Highways and Local Authorities Network</t>
  </si>
  <si>
    <t>M40 Westbound Jct 1A to M25 Clockwise and Anti-Clockwise Jct 16 Link and Slip Road Closure</t>
  </si>
  <si>
    <t>Overall Scheme Details: M40 Westbound Jct 1A to M25 Clockwise and Anti-Clockwise Jct 16
Link Road and Lane Closure for Safety Fence Repair Works
Diversion via National Highways Network</t>
  </si>
  <si>
    <t>M25 Anti-clockwise Jct 15 to M4 Eastbound and Westbound Jct 4B exit slip road and link road closure</t>
  </si>
  <si>
    <t>Overall Scheme Details: M25 Anti-clockwise Jct 15 to M4 Eastbound and Westbound Jct 4B 
Carriageway and lane closure for resurfacing works 
Diversion via National Highway network</t>
  </si>
  <si>
    <t>M23 Southbound Jct 8 to M25 Clockwise and Anti-clockwise Jct 7 link road closure</t>
  </si>
  <si>
    <t>Overall Scheme Details: M23 Southbound Jct 7 to Jct 8
Lane and link road closure for gantry repair
Diversion via National Highways Network</t>
  </si>
  <si>
    <t>A1(M) Southbound Jct 1 Entry Slip Road Closure</t>
  </si>
  <si>
    <t xml:space="preserve">Overall Scheme Details: A1(M) Southbound Jct 1
Slip Road Closure for Urgent Safety Fence Repair Works
Diversion via Local Authorities Network </t>
  </si>
  <si>
    <t>A1(M) Southbound Jct 4 Exit Slip road closure</t>
  </si>
  <si>
    <t xml:space="preserve">Overall Scheme Details: A1(M) Southbound Jct 6 to Jct 4
Lane and slip road closure for urgent carriageway repairs 
Diversion via National Highways Network 
</t>
  </si>
  <si>
    <t>M25 Clockwise Jct 21a to Jct 21a full closure M1 Southbound link road closure to M25 clockwise</t>
  </si>
  <si>
    <t>Overall Scheme Details: M25 Clockwise Jct 21A to Jct 22 
Lane and carriageway closure for maintenance works
Diversion via up and over and M1 Southbound Jct 6A to 6 and A405 Northbound to M25 Jct 21A</t>
  </si>
  <si>
    <t>A30 westbound Carland to Chiverton carriageway closed</t>
  </si>
  <si>
    <t>Overall Scheme Details: A30 westbound Carland to Chiverton- carriageway closure for Chiverton to Carland improvement scheme.
Diversion via A3058, A3075</t>
  </si>
  <si>
    <t>A303 westbound  Wincanton to Sparkford - carriageway closure</t>
  </si>
  <si>
    <t>Overall Scheme Details: A303 westbound Wincanton to Sparkford - carriageway closure for carriageway repairs.
Diversion via A371, A359. All other entry slips closed, diversion east to Wincanton then above</t>
  </si>
  <si>
    <t>M48 westbound M4 Jct 21 to Jct 2 Severn Bridge carriageway closure</t>
  </si>
  <si>
    <t>Overall Scheme Details: M48 westbound M4 Jct 21 to Jct 2 Severn Bridge carriageway closure for structure maintenance. 
Diversion via M4 Prince of Wales Bridge.
Diversion for M48 Jct 1 via M4 Jct 22, M49 and A403</t>
  </si>
  <si>
    <t>A38 southbound Toyota to Eggington carriageway closure</t>
  </si>
  <si>
    <t>A38 southbound Clay Mills exit slip road closure</t>
  </si>
  <si>
    <t>M6 southbound Jct 4 to Jct 2 carriageway closure</t>
  </si>
  <si>
    <t xml:space="preserve">Overall Scheme Details: M6 both directions Jct 4 to Jct 2. 
Carriageway closure for maintenance works. 
Diversion via National Highways and local authority network. </t>
  </si>
  <si>
    <t>M42 northbound Jct 7a to M6 Jct 4 southbound entry slip road closure</t>
  </si>
  <si>
    <t>M42 southbound Jct 7a to M6 Jct 4 link road closure</t>
  </si>
  <si>
    <t>M6 northbound Jct 12 exit slip road closure</t>
  </si>
  <si>
    <t xml:space="preserve">Overall Scheme Details: M6 northbound Jct 12.
Exit slip road closure for maintenance works.
Diversion via National Highways network.
</t>
  </si>
  <si>
    <t>M5 northbound Jct 9 entry slip road closure</t>
  </si>
  <si>
    <t xml:space="preserve">Overall Scheme Details: M5 both directions Jct 9 to A46 Alexandra Way.
Carriageway closure for maintenance works. 
Diversion via National Highways and local authority network. </t>
  </si>
  <si>
    <t>M5 northbound Jct 9 exit slip road closure</t>
  </si>
  <si>
    <t>M5 western side Jct 9 partial roundabout closure</t>
  </si>
  <si>
    <t>A46 northbound from M40 Jct 15 (exit slip and roundabout) to A46 entry slip road closure</t>
  </si>
  <si>
    <t>Overall Scheme Details: A46 northbound Warwick to M40 Jct 15.
Carriageway closure for maintenance works. 
Diversion via National Highways.</t>
  </si>
  <si>
    <t>M42 southbound Jct 11 to Jct 10 carriageway closure</t>
  </si>
  <si>
    <t>Overall Scheme Details: M42 both directions Jct 10 to Jct 11.
Carriageway closure for maintenance works.
Diversion via National Highways and local authority network.</t>
  </si>
  <si>
    <t>A6 South to A50 WB</t>
  </si>
  <si>
    <t>Overall Scheme Details: A50 DBFO - Derby Southern Bypass - A6 Spur - Lane Closures and Link Road Closures - Street Lighting repairs</t>
  </si>
  <si>
    <t>M11 southbound Priory Wood Roundabout / A120 link road entry slip road</t>
  </si>
  <si>
    <t>Overall Scheme Details: M11 both directions
A120/M11 Fly Over to Jct 7 - carriageway closure for drainage on behalf of National Highways</t>
  </si>
  <si>
    <t>A421 eastbound Water End Interchange to Black Cat Roundabout carriageway closure</t>
  </si>
  <si>
    <t>A14 westbound Jct 36 entry slip carriageway closure</t>
  </si>
  <si>
    <t>A14 westbound Jct 35 entry slip carriageway closure</t>
  </si>
  <si>
    <t>M1 northbound Jct 11A to Jct 14 carriageway closure</t>
  </si>
  <si>
    <t>A1 southbound Brampton Hut exit slip road closure</t>
  </si>
  <si>
    <t>A1 northbound Brampton Hut entry slip road closure</t>
  </si>
  <si>
    <t>A14 westbound Jct 22 to Jct 13 carriageway closure</t>
  </si>
  <si>
    <t>Overall Scheme Details: A14 both directions
Junction 22 to Junction 13 - carriageway closure for carriageway - anti-skid on behalf of National Highways</t>
  </si>
  <si>
    <t>M40 southbound, Jct 11 entry slip road closure</t>
  </si>
  <si>
    <t>Overall Scheme Details: M40 southbound,
Jct 11 entry slip road closure and diversion route for maintenance works.
Diversion via National Highways network.</t>
  </si>
  <si>
    <t>M40 northbound, Jct 3 to Jct 4, carriageway closure</t>
  </si>
  <si>
    <t>Overall Scheme Details: M40 Northbound,
Jct 2 to Jct 3 lane closures for maintenance works.</t>
  </si>
  <si>
    <t>M1 northbound Tibshelf services exit slip road closure</t>
  </si>
  <si>
    <t>M1 northbound Tibshelf services entry slip road closure</t>
  </si>
  <si>
    <t>A46 Doddington Lay-by closure southbound</t>
  </si>
  <si>
    <t>Overall Scheme Details: A46 northbound and southbound Brough to Doddington.
Slip road, layby, lane and gap closures due to maintenance works
Diversion via National Highways network and local authority network</t>
  </si>
  <si>
    <t>A46 southbound Detrunked A46 entry slip road closure</t>
  </si>
  <si>
    <t>A5 northbound and southbound Towcester to Flore carriageway closure</t>
  </si>
  <si>
    <t>Overall Scheme Details: A5 northbound and southbound Flore to Towcester
Carriageway, layby and lane closure due to maintenance works
Diversion via National Highways network and local authority network</t>
  </si>
  <si>
    <t>A14 westbound Jct 12 entry slip road closure</t>
  </si>
  <si>
    <t>Overall Scheme Details: A14 eastbound and westbound Jct 11 to Jct 13.
Slip road closure due to works on behalf of North Northamptonshire Council.
Diversion via National Highways and local authority network.</t>
  </si>
  <si>
    <t>A14 westbound Jct 12 exit slip road closure</t>
  </si>
  <si>
    <t>A1 southbound Markham Moor exit slip road closure</t>
  </si>
  <si>
    <t>Overall Scheme Details: A1 southbound Markham Moor
Slip road and lane closure due to maintenance works
Diversion via National Highways network and local authority network</t>
  </si>
  <si>
    <t>M62 eastbound Jct 34 entry slip road closure (C)</t>
  </si>
  <si>
    <t>M62 eastbound Jct 34 to Jct 35, carriageway closure (C)</t>
  </si>
  <si>
    <t>M62 eastbound Jct 35 to M18 southbound Jct 7, carriageway closure (C)</t>
  </si>
  <si>
    <t>M1 southbound Jct 44 entry slip road closure</t>
  </si>
  <si>
    <t>Overall Scheme Details: M1 southbound Jct 46 to Jct 43 
slip road and lane closures for general cleaning and maintenance works 
diversion via M1</t>
  </si>
  <si>
    <t>M1 southbound Jct 44 exit slip road closure</t>
  </si>
  <si>
    <t>M1 southbound Jct 45 exit slip road closure</t>
  </si>
  <si>
    <t>A64 westbound Grimston Bar exit slip road closure</t>
  </si>
  <si>
    <t>Overall Scheme Details: A64 westbound Hopgrove to Fulford 
Slip road and lane closures for general cleaning and maintenance
diversion via A64</t>
  </si>
  <si>
    <t>A64 westbound Grimston Bar entry slip road closure</t>
  </si>
  <si>
    <t>A162</t>
  </si>
  <si>
    <t>A162 northbound Ferrybridge carriageway closure between exit and entry slip roads</t>
  </si>
  <si>
    <t>A162 southbound Ferrybridge carriageway closure between exit and entry slip roads</t>
  </si>
  <si>
    <t>M62 westbound Jct 29 exit slip road closure</t>
  </si>
  <si>
    <t xml:space="preserve">Overall Scheme Details: M62 westbound and eastbound Jct 29 to jct 30 
carriageway and lane closures for inspections 
Diversion via M62  A655  A653
</t>
  </si>
  <si>
    <t>M62 eastbound Jct 31 entry slip road closure</t>
  </si>
  <si>
    <t>Overall Scheme Details: M62 eastbound Jct 31
Slip road closure for survey works 
Diversion A655 M62 A642</t>
  </si>
  <si>
    <t>A1M Northbound Jct 34 to Jct 35 carriageway closure</t>
  </si>
  <si>
    <t>Overall Scheme Details: A1M northbound Jct 34 to Jct 35.
Carriageway closure and lane closures for carriageway reconstruction and repair works.
Diversion via A1M and M18</t>
  </si>
  <si>
    <t>A1M Northbound Jct 34 entry slip road closure</t>
  </si>
  <si>
    <t>A1M Northbound Jct 35 exit slip road closure</t>
  </si>
  <si>
    <t>M1 northbound Jct 35A exit slip road closure</t>
  </si>
  <si>
    <t>Overall Scheme Details: M1 northbound and southbound Jct 35 to Jct 35a, A616 eastbound and westbound Westwood to Newton Chambers.
Carriageway closures for general cleaning and maintenance works.
Diversion Via A616 and A61.</t>
  </si>
  <si>
    <t>A616 eastbound and westbound Westwood to Newton Chambers carriageway closure</t>
  </si>
  <si>
    <t>M1 southbound Jct 35A entry slip road closure</t>
  </si>
  <si>
    <t>A1M Jct 62 northbound entry slip road closure</t>
  </si>
  <si>
    <t>A1M Jct 62 partial circulatory closure (1)</t>
  </si>
  <si>
    <t>A1M Jct 62 southbound exit slip road closure</t>
  </si>
  <si>
    <t>Overall Scheme Details: M67 both directions Hyde to Glossop - narrow lanes for construction improvement/upgrade on behalf of National Highways</t>
  </si>
  <si>
    <t>M60 Clockwise Jct 6 exit slip road closure</t>
  </si>
  <si>
    <t>M65 Westbound Jct 4 entry slip road closure</t>
  </si>
  <si>
    <t xml:space="preserve">Overall Scheme Details: M65 Eastbound and Westbound Jct 3 to 4 - Carriageway Closure for Horticulture (Cutting and Planting) </t>
  </si>
  <si>
    <t>M65 Westbound Jct 3 exit slip road closure</t>
  </si>
  <si>
    <t>M65 Westbound Jct 4 to 3 carriageway closure</t>
  </si>
  <si>
    <t>M6 Southbound Jct 30 to M61 Jct 9 carriageway closure</t>
  </si>
  <si>
    <t>Overall Scheme Details: M61 both directions J8 to M61/M6 Interchange - carriageway closure for electrical works on behalf of National Highways</t>
  </si>
  <si>
    <t>M61 Southbound Jct 9 exit slip road closure</t>
  </si>
  <si>
    <t>M61 Southbound to M65 Eastbound link road closure</t>
  </si>
  <si>
    <t>M61 Southbound Jct 4 carriageway closure between exit and entry slip roads</t>
  </si>
  <si>
    <t>A303 eastbound Thruxton Circuit entry slip road closure</t>
  </si>
  <si>
    <t xml:space="preserve">Overall Scheme Details: A303 eastbound Thruxton Circuit.
Slip road and lane closures for maintenance work.
</t>
  </si>
  <si>
    <t>A31 eastbound Ringwood entry slip road closure</t>
  </si>
  <si>
    <t>Overall Scheme Details: A31 eastbound Ashley Heath to Picket Post,
Slip road and lane closures for maintenance works.</t>
  </si>
  <si>
    <t>A31 eastbound Poulner Hill entry slip road closure</t>
  </si>
  <si>
    <t>A31 eastbound Poulner Hill exit slip road closure</t>
  </si>
  <si>
    <t>M4 westbound Jct 7 exit slip road closure</t>
  </si>
  <si>
    <t>Overall Scheme Details: M4 westbound Jct 7 - slip road and lane closures for drainage works.</t>
  </si>
  <si>
    <t>M4 westbound Jct 7 entry slip road closure</t>
  </si>
  <si>
    <t>M27 eastbound Jct 9 exit slip road closure</t>
  </si>
  <si>
    <t xml:space="preserve">Overall Scheme Details: M27 both directions Jct 9 - slip road and lane closures for surveys
 </t>
  </si>
  <si>
    <t>M27 eastbound Jct 9 entry slip road closure</t>
  </si>
  <si>
    <t>A34 southbound Weston on the Green entry slip road closure</t>
  </si>
  <si>
    <t>Overall Scheme Details: A34 southbound Weston on the Green - slip road and lane closure for maintenance work.</t>
  </si>
  <si>
    <t>A34 southbound Weston on the Green exit slip road closure</t>
  </si>
  <si>
    <t>M20 westbound Jct 9 Exit Slip road closure</t>
  </si>
  <si>
    <t>Overall Scheme Details: M20 westbound Jct 10a to Jct 9,
Slip road and lane closures for maintenance works.</t>
  </si>
  <si>
    <t>M20 westbound Jct 9 Entry Slip road closure</t>
  </si>
  <si>
    <t>A2 eastbound Harbledown exit slip road closure</t>
  </si>
  <si>
    <t>Overall Scheme Details: A2 both directions Dunkirk to Wincheap
Slip closure for electrical works</t>
  </si>
  <si>
    <t>A2 westbound Harbledown entry slip road closure</t>
  </si>
  <si>
    <t>A2 westbound Cobham services entry and exit slip road closure</t>
  </si>
  <si>
    <t>Overall Scheme Details: A2 westbound Shorne to Springhead 
slip road and lane closures for survey works</t>
  </si>
  <si>
    <t>M2 eastbound Jct 4 exit slip road closure</t>
  </si>
  <si>
    <t>Overall Scheme Details: M2 eastbound Lidsing Road to Jct 4
slip road and lane closure for maintenance works</t>
  </si>
  <si>
    <t>M4 Westbound Jct 1 to Jct 3 carriageway closure</t>
  </si>
  <si>
    <t>Overall Scheme Details: M4 Westbound Jct 1 to Jct 3
Carriageway closure for maintenance work 
Diversion via local authority network</t>
  </si>
  <si>
    <t>M4 Eastbound Jct 3 to Jct 1 carriageway closure</t>
  </si>
  <si>
    <t>Overall Scheme Details: M4 Eastbound Jct 3 to Jct 1
Carriageway closure for maintenance works 
Diversion via Local Authority network</t>
  </si>
  <si>
    <t>M25 Clockwise Jct 17 to Jct 18 carriageway closure</t>
  </si>
  <si>
    <t>Overall Scheme Details: M25 Clockwise Jct 17 to Jct 18 
Carriageway, slip road and lane closure for electrical works 
Diversion via Local Authorities and National Highways network</t>
  </si>
  <si>
    <t>M25 Anti-clockwise Jct 3 exit slip road closure</t>
  </si>
  <si>
    <t>Overall Scheme Details: M25 Anti-clockwise Jct 4 to Jct 3
Lane and slip road closure for routine maintenance work
Diversion via National Highways Network</t>
  </si>
  <si>
    <t>M25 Anti-clockwise Jct 3 entry slip road closure</t>
  </si>
  <si>
    <t>M25 Clockwise Clackett's Services entry slip road closure</t>
  </si>
  <si>
    <t>Overall Scheme Details: M25 Clockwise, Jct 5 to Jct 6 
Lane and slip road closure for urgent safety barrier repairs
Diversion via National Highways Network</t>
  </si>
  <si>
    <t>M25 Clockwise and Anti-clockwise Jct 12 to M3 Eastbound Jct 2 link road closure</t>
  </si>
  <si>
    <t>Overall Scheme Details: M25 Clockwise and Anti-clockwise Jct 12 to M3 Eastbound Jct 2
Lane and link road closure for urgent safety fence repairs 
Diversion via Local Authority and National Highway Network</t>
  </si>
  <si>
    <t>A30 westbound Bodmin to Innis Down carriageway closure (98/1 to 87/8)</t>
  </si>
  <si>
    <t xml:space="preserve">Overall Scheme Details: A30 westbound Bodmin to Innis Down - carriageway closure for Improvement/upgrade scheme.
Diversion via -  A38 Launceston Rd, A389 and rejoin A38 at Innis Down Jct.  Traffic from A38 to use Carminow roundabout, Priory Rd and then follow A389. </t>
  </si>
  <si>
    <t>A30 westbound entry slip from A38 carriageway closure</t>
  </si>
  <si>
    <t>A417 Southbound from A46 Shurdington to Air Balloon Roundabout carriageway closure</t>
  </si>
  <si>
    <t>Overall Scheme Details: A417 Southbound from A46 Shurdington to Air Balloon Roundabout
Carriageway Closure for earthworks for Missing Link works
Diversion route via A46, A435, A436</t>
  </si>
  <si>
    <t>A417 Northbound Air Balloon Roundabout to A46 Shurdington roundabout - carriageway closed</t>
  </si>
  <si>
    <t xml:space="preserve">Overall Scheme Details: A417 Northbound Air Balloon Roundabout to A46 Shurdington roundabout.
Carriageway Closure for earthworks for Missing Link works
Diversion route via A436, A435, and A46. </t>
  </si>
  <si>
    <t>M48 westbound Jct 1 to 2 Severn Bridge carriageway closure</t>
  </si>
  <si>
    <t>Overall Scheme Details: M48 westbound Jct 1 to Jct 2 Severn Bridge carriageway closure for structure maintenance. 
Diversion via M4 Prince of Wales Bridge.</t>
  </si>
  <si>
    <t>M6 southbound Keele exit and entry slip road closures</t>
  </si>
  <si>
    <t>Overall Scheme Details: M6 southbound Keele services.
Exit and entry slip road closures for maintenance works.
Diversion via National Highways network.</t>
  </si>
  <si>
    <t>A5 eastbound Centurian Park entry and exit slip road closure</t>
  </si>
  <si>
    <t xml:space="preserve">Overall Scheme Details: A5 eastbound Centurian Park.
Entry and exit slip road closure for maintenance works.
Diversion via National Highways and local authority network. 
</t>
  </si>
  <si>
    <t>A50 eastbound Meir entry slip road closure</t>
  </si>
  <si>
    <t xml:space="preserve">Overall Scheme Details: A50 eastbound Meir.
Entry slip road closure for maintenance works.
Diversion via National Highways  network. 
</t>
  </si>
  <si>
    <t>M6 northbound Jct 15 exit slip road closure</t>
  </si>
  <si>
    <t>Overall Scheme Details: M6 northbound Jct 15.
Exit slip road closure for maintenance works.
Diversion via National Highways.</t>
  </si>
  <si>
    <t>A50 Grindley Westbound Entry Slip Closure</t>
  </si>
  <si>
    <t>Overall Scheme Details: A50 DBFO - Doveridge to Catchems Corner - Westbound - Lane Closures and Slip Road Closures - Footpath repairs</t>
  </si>
  <si>
    <t>A120 westbound Crown Interchange entry slip carriageway closure</t>
  </si>
  <si>
    <t>A47 eastbound Trowse entry slip road closure</t>
  </si>
  <si>
    <t>Overall Scheme Details: A47 eastbound 
Trowse to Postwick - carriageway closure for carriageway - reconstruction/renewal on behalf of National Highways</t>
  </si>
  <si>
    <t>A14 westbound Jct 37 entry slip carriageway closure</t>
  </si>
  <si>
    <t>M1 northbound Junction 9 to Junction 11A carriageway closure</t>
  </si>
  <si>
    <t>A1 southbound Brampton Hut entry slip road closure</t>
  </si>
  <si>
    <t>A5 southbound Redmoor exit slip road closure</t>
  </si>
  <si>
    <t>Overall Scheme Details: A5 both directions
Little Brickhill to Old Stratford - entry slip road closures, exit slip road closures, lane closures and diversion routes due to horticulture - cutting and planting works on behalf of National Highways</t>
  </si>
  <si>
    <t>A5 southbound A4146 Kelly's Kitchen Roundabout to Watling Street Roundabout carriageway closure</t>
  </si>
  <si>
    <t>Overall Scheme Details: A5 both directions
Watling Street Roundabout to A4146 Jct - carriageway closures and lane closures due to structure - maintenance works on behalf of National Highways</t>
  </si>
  <si>
    <t>A5 northbound Watling Street Roundabout to Woburn Road carriageway closure</t>
  </si>
  <si>
    <t>M40 Northbound, Jct 6 entry slip road closure</t>
  </si>
  <si>
    <t>Overall Scheme Details: M40 Northbound,
Jct 6 entry slip road closure for maintenance work
Diversion via National Highways network</t>
  </si>
  <si>
    <t>Overall Scheme Details: M40 Southbound Jct 4 to Jct 3, carriageway closure and entry slip road closure for maintenance works.</t>
  </si>
  <si>
    <t>M40 Northbound, Jct 2, Entry slip road closure.</t>
  </si>
  <si>
    <t>Overall Scheme Details: M40 Northbound, Jct 2 to Jct 3.
Lane closures, carriageway closure and diversion route for maintenance works.
Diversion route via national highways and local authority networks.</t>
  </si>
  <si>
    <t>M40 Northbound, Jct 2 to Jct 3 carriageway closure</t>
  </si>
  <si>
    <t>M40 northbound, Jct 9 entry slip road closure</t>
  </si>
  <si>
    <t>Overall Scheme Details: M40 northbound, 
Jct 8a to Jct 10, lane closures, carriageway closure, entry and exit slip road closures and diversion route for maintenance works.
Diversion route via local authority roads.</t>
  </si>
  <si>
    <t>M40 northbound, Jct 10 exit slip road closure</t>
  </si>
  <si>
    <t>M40 northbound, Jct 9 to Jct 10, carriageway closure</t>
  </si>
  <si>
    <t>M1 southbound Jct 28 exit slip road closure</t>
  </si>
  <si>
    <t>M1 southbound Jct 28 entry slip road closure</t>
  </si>
  <si>
    <t>M1 northbound Jct 22 entry slip road closure</t>
  </si>
  <si>
    <t>Overall Scheme Details: M1 northbound and southbound Jct 21 to Jct 23.
Slip road and lane closures due to survey works.
Diversion via National Highways and local authority network.</t>
  </si>
  <si>
    <t>M1 southbound Jct 22 exit slip road closure</t>
  </si>
  <si>
    <t>M1 southbound Jct 23A exit slip road closure</t>
  </si>
  <si>
    <t>Overall Scheme Details: M1 northbound and southbound, Jct 24a to Jct 23.
Carriageway, slip road and lane closures for electrical works.
Diversion route via National Highways network and local authority network.</t>
  </si>
  <si>
    <t>A42</t>
  </si>
  <si>
    <t>A42 southbound Finger Farm roundabout to Jct 14 carriageway closure</t>
  </si>
  <si>
    <t>M1 southbound Jct 23A entry slip road closure</t>
  </si>
  <si>
    <t>A63 eastbound Western Interchange to Priory way, carriageway closure</t>
  </si>
  <si>
    <t>A63 eastbound Priory way exit slip road closure</t>
  </si>
  <si>
    <t>A63 eastbound Western Interchange entry slip road closure</t>
  </si>
  <si>
    <t>A63 eastbound Western I/C entry slip road closure</t>
  </si>
  <si>
    <t>A63 eastbound Western I/C to Brighton St carriageway closure</t>
  </si>
  <si>
    <t>A63 eastbound Priory Way exit slip road closure</t>
  </si>
  <si>
    <t>A63 eastbound Priory Way entry slip road closure</t>
  </si>
  <si>
    <t>A63 eastbound Brighton St exit slip road closure</t>
  </si>
  <si>
    <t>A616 westbound Wortley exit slip road closure</t>
  </si>
  <si>
    <t>Overall Scheme Details: A616 eastbound and westbound Westwood to Wortley.
Carriageway and lane closure for general cleaning and maintenance works.
Diversion A616 A61.</t>
  </si>
  <si>
    <t>A616 westbound Wortley entry slip road closure</t>
  </si>
  <si>
    <t>A616 westbound Deepcar exit slip road closure</t>
  </si>
  <si>
    <t>A616 eastbound and westbound Westwood to Wortley carriageway closure</t>
  </si>
  <si>
    <t>A616 eastbound Deepcar entry slip road closure</t>
  </si>
  <si>
    <t>A616 eastbound Wortley exit slip road closure</t>
  </si>
  <si>
    <t>A616 eastbound Wortley entry slip road closure</t>
  </si>
  <si>
    <t>M1 northbound to M18 northbound Jct 32, carriageway closure</t>
  </si>
  <si>
    <t xml:space="preserve">Overall Scheme Details: M1 northbound Jct 32 to M18 northbound Jct 32 
Carriageway closure and lane closures for technology works
Diversion </t>
  </si>
  <si>
    <t>A64 westbound Bondhill Loop exit slip road closure</t>
  </si>
  <si>
    <t>Overall Scheme Details: A64 westbound Fulford to Bondhill.
Slip road and lane closure for general cleaning and maintenance works.
Diversion via A64</t>
  </si>
  <si>
    <t>A494</t>
  </si>
  <si>
    <t>A494 Eastbound Park Gate to M56 Jct 14 carriageway closure</t>
  </si>
  <si>
    <t>Overall Scheme Details: M56 both directions J14 to J16 - carriageway closure for carriageway - reconstruction/renewal on behalf of National Highways</t>
  </si>
  <si>
    <t>M53 Southbound to M56 Eastbound link road closure</t>
  </si>
  <si>
    <t>M53 Northbound to M56 Eastbound link road closure</t>
  </si>
  <si>
    <t>M56 Eastbound Jct 14 exit slip road closure</t>
  </si>
  <si>
    <t>M56 Eastbound Jct 16 entry slip road closure</t>
  </si>
  <si>
    <t>M61 Northbound Jct 4 entry slip road closure</t>
  </si>
  <si>
    <t>M61 Northbound Jct 4 to 5 Carriageway Closure</t>
  </si>
  <si>
    <t>M60 Clockwise Jct 5 entry slip road closure</t>
  </si>
  <si>
    <t>M6 Southbound Jct 20 entry to M56 links closure</t>
  </si>
  <si>
    <t>Overall Scheme Details: M6 southbound J20 to J20 - carriageway closure for drainage on behalf of National Highways</t>
  </si>
  <si>
    <t>M6 southbound Jct 20 link to M56 Westbound closure</t>
  </si>
  <si>
    <t>M65 Westbound Jct 7 entry slip road closure</t>
  </si>
  <si>
    <t>Overall Scheme Details: M65 both directions J5 to J8 - carriageway closure for horticulture (cutting and planting) on behalf of National Highways</t>
  </si>
  <si>
    <t>M62 Westbound Jct 8 to 7 carriageway closure</t>
  </si>
  <si>
    <t>Overall Scheme Details: M62 westbound J8 to J7 - carriageway closure for horticulture (cutting and planting) on behalf of National Highways</t>
  </si>
  <si>
    <t>M62 Westbound Jct 8 entry slip road closure</t>
  </si>
  <si>
    <t>M62 Westbound Jct 7 exit slip road closure</t>
  </si>
  <si>
    <t>M56 westbound jct 12 exit slip road closure</t>
  </si>
  <si>
    <t>Overall Scheme Details: M56 westbound J12 to J14 - carriageway closure for drainage on behalf of National Highways</t>
  </si>
  <si>
    <t>M56 westbound jct 12 entry slip road closure</t>
  </si>
  <si>
    <t>A55 eastbound jct 39 exit slip road closure</t>
  </si>
  <si>
    <t>M61 southbound jct 4 exit slip road closure</t>
  </si>
  <si>
    <t>Overall Scheme Details: M61 Southbound junction 5 to junction 4 - Carriageway Closure for Horticulture</t>
  </si>
  <si>
    <t>M61 Southbound Jct 4 entry slip road closure</t>
  </si>
  <si>
    <t>M6 Northbound to A556 Northbound link road closure</t>
  </si>
  <si>
    <t>Overall Scheme Details: A556 northbound M6 J19 to M56 J7  - carriageway closure for carriageway - reconstruction/renewal on behalf of National Highways</t>
  </si>
  <si>
    <t>A556 Northbound from M6 Jct 19 to A50 carriageway closure</t>
  </si>
  <si>
    <t>A556 Northbound exit slip road closure to B5569</t>
  </si>
  <si>
    <t>Overall Scheme Details: M6 northbound jct 20 to 21  - carriageway closure for construction improvement/upgrade on behalf of National Highways</t>
  </si>
  <si>
    <t>M602</t>
  </si>
  <si>
    <t>M602 Eastbound Jct 2 exit slip road closure</t>
  </si>
  <si>
    <t>Overall Scheme Details: M602 eastbound J1 to J3 - carriageway closure for structure - maintenance on behalf of National Highways</t>
  </si>
  <si>
    <t>M65 Eastbound Jct 4 to 6 carriageway closure</t>
  </si>
  <si>
    <t>Overall Scheme Details: M65 Eastbound Jct 4 to 6 carriageway closure for improvement works</t>
  </si>
  <si>
    <t>M65 Eastbound Jct 4 entry slip road closure</t>
  </si>
  <si>
    <t>M65 Eastbound Jct 5 exit slip road closure</t>
  </si>
  <si>
    <t>M65 Eastbound Jct 6 exit slip road closure</t>
  </si>
  <si>
    <t>M6 Southbound Jct 36 Entry slip road closure</t>
  </si>
  <si>
    <t>A303 eastbound Parkhouse entry slip road closure</t>
  </si>
  <si>
    <t xml:space="preserve">Overall Scheme Details: A303 eastbound Parkhouse.
Slip road and lane closures for maintenance work.
</t>
  </si>
  <si>
    <t>A31 eastbound Ashley Heath entry slip road closure</t>
  </si>
  <si>
    <t>Overall Scheme Details: A31 eastbound Ashley Heath to Verwood.
Slip and lane closures for maintenance work.</t>
  </si>
  <si>
    <t>A31 eastbound Verwood entry slip road closure</t>
  </si>
  <si>
    <t>A31 eastbound Ringwood exit slip road closure</t>
  </si>
  <si>
    <t>A34 southbound Whitchurch entry slip road closure</t>
  </si>
  <si>
    <t xml:space="preserve">Overall Scheme Details: A34 southbound Whitchurch.
Slip road and lane closures for maintenance work.
</t>
  </si>
  <si>
    <t>M27 eastbound Jct 1 to Jct 2 carriageway closure</t>
  </si>
  <si>
    <t>A3M southbound Jct 2 entry slip road closure</t>
  </si>
  <si>
    <t>Overall Scheme Details: A3M southbound Jct 2
Slip road closure for maintenance works</t>
  </si>
  <si>
    <t>M27 eastbound Jct 12 exit slip road closure</t>
  </si>
  <si>
    <t>Overall Scheme Details: M27 eastbound Jct 12
Slip road and lane closures for technology works</t>
  </si>
  <si>
    <t>M27 eastbound to M275 southbound link road closure</t>
  </si>
  <si>
    <t>A20 westbound Court Wood exit slip road closure</t>
  </si>
  <si>
    <t>Overall Scheme Details: A20 westbound Court Wood
Exit slip and lane closure for Kent County Council works</t>
  </si>
  <si>
    <t>A20 westbound Court Wood entry slip road closure</t>
  </si>
  <si>
    <t>Overall Scheme Details: M2 eastbound Jct 4
Slip and lane closures for maintenance works</t>
  </si>
  <si>
    <t>M2 eastbound Jct 4 entry slip road closure</t>
  </si>
  <si>
    <t>M2 eastbound Farthing Corner Services exit and entry slip road closure</t>
  </si>
  <si>
    <t>M20 eastbound Jct 11 exit slip road closure</t>
  </si>
  <si>
    <t>Overall Scheme Details: M20 eastbound Jct 10 to 11a
Slip and lane closures for maintenance works</t>
  </si>
  <si>
    <t>A27 westbound Clapham to Crossbush Carriageway closure</t>
  </si>
  <si>
    <t>Overall Scheme Details: A27 westbound Clapham to Crossbush
Carriageway closure for maintenance works</t>
  </si>
  <si>
    <t>A2 westbound Pepperhill exit slip road closure</t>
  </si>
  <si>
    <t>Overall Scheme Details: A2 westbound Hog Lane  to Pepperhill Entry
slip road and lane closure for barrier repair</t>
  </si>
  <si>
    <t>A2 eastbound Pepperhill entry slip road closure</t>
  </si>
  <si>
    <t>Overall Scheme Details: A2 eastbound Pepperhill
Slip and lane closure for maintenance works</t>
  </si>
  <si>
    <t>M25 Clockwise Jct 3 exit slip road closure</t>
  </si>
  <si>
    <t>Overall Scheme Details: M25 Clockwise Jct 3 to Jct 4
Lane and slip road closure for routine maintenance works
Diversion via National Highways Network</t>
  </si>
  <si>
    <t>M25 Clockwise Jct 3 entry slip road closure</t>
  </si>
  <si>
    <t>A2 Eastbound Darenth Interchange exit slip road closure</t>
  </si>
  <si>
    <t>Overall Scheme Details: A2 Eastbound Dartford Heath to Darenth Interchange
Lane and slip road closure for hazardous tree removal
Diversion via National Highways and Local Authorities Network</t>
  </si>
  <si>
    <t>A20 Westbound Swanley By-pass link road closure</t>
  </si>
  <si>
    <t>Overall Scheme Details: A20 Westbound Swanley By-pass link road
Link road closure for electrical works 
Diversion via Local Authorities Network</t>
  </si>
  <si>
    <t>M25 Anti-clockwise Jct 8 entry slip road closure</t>
  </si>
  <si>
    <t>Overall Scheme Details: M25 Anti-clockwise Jct 8 to Jct 7
Lane and slip road closure for emergency safety fence repairs
Diversion via National Highways and Local Authorities Network</t>
  </si>
  <si>
    <t>A282 Northbound Jct 1B entry slip road closure</t>
  </si>
  <si>
    <t>Overall Scheme Details: A282 Northbound Jct 1B to Jct 1A
Lane and slip road closure joint investigation works
Diversion via National Highways Network</t>
  </si>
  <si>
    <t>A3 Southbound Wisley exit slip road closure</t>
  </si>
  <si>
    <t>Overall Scheme Details: A3 Southbound Esher to Wisley 
Lane and slip road closure for urgent signage works 
Diversion via Local authorities and National Highways Network</t>
  </si>
  <si>
    <t>A30 westbound Kennards House to Five Lanes carriageway closure</t>
  </si>
  <si>
    <t>Overall Scheme Details: A30 westbound Kennards House to Five Lanes carriageway closure for carriageway upgrade.
Diversion via A388 and A38.</t>
  </si>
  <si>
    <t>A36 Both Directions Bathampton to Beckington carriageway closure</t>
  </si>
  <si>
    <t>Overall Scheme Details: A36 Both Directions Bathampton to Beckington carriageway closure for carriageway reconstruction/renewal
Diversion northbound via A361, A350 and A4
Reverse for southbound</t>
  </si>
  <si>
    <t>M5 Southbound Jct 27 exit slip road carriageway closure</t>
  </si>
  <si>
    <t xml:space="preserve">Overall Scheme Details: M5 Southbound Jct 27 exit slip road carriageway closure for resurfacing. Diversion via M5 Jct 28 and return. </t>
  </si>
  <si>
    <t>M4 eastbound Jct 22 entry slip road carriageway closure</t>
  </si>
  <si>
    <t>Overall Scheme Details: M4 eastbound Jct 22 entry slip closure for electrical work
Diversion via M49 south, M5 north</t>
  </si>
  <si>
    <t>A46 westbound Alexandra Way to Jct 9 roundabout carriageway closure</t>
  </si>
  <si>
    <t>M5 southbound Jct 9 exit slip road closure</t>
  </si>
  <si>
    <t>M5 eastern side Jct 9 partial roundabout closure</t>
  </si>
  <si>
    <t>M5 southbound Jct 9 entry slip road closure</t>
  </si>
  <si>
    <t>A46 northbound Sherbourne link road closure</t>
  </si>
  <si>
    <t>M5 northbound Jct 2 exit slip road closure</t>
  </si>
  <si>
    <t xml:space="preserve">Overall Scheme Details: M5 northbound Jct 2.
Exit slip road closure for maintenance works.
Diversion via National Highways and local authority network. 
</t>
  </si>
  <si>
    <t>M42 northbound Jct 5 entry slip road closure</t>
  </si>
  <si>
    <t>Overall Scheme Details: M42 northbound Jct 5.
Entry slip road closure for maintenance works.
Diversion via National Highways and local authority network.</t>
  </si>
  <si>
    <t>M42 northbound Jct 10 to Jct 11 carriageway closure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</si>
</sst>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 #,##0.00_-;_-* &quot;-&quot;??_-;_-@_-"/>
    <numFmt numFmtId="164" formatCode="dddd\ d\ mmm"/>
  </numFmts>
  <fonts count="54" x14ac:knownFonts="1">
    <font>
      <sz val="12"/>
      <color theme="1"/>
      <name val="Arial"/>
      <family val="2"/>
    </font>
    <font>
      <sz val="11"/>
      <color indexed="8"/>
      <name val="Calibri"/>
      <family val="2"/>
    </font>
    <font>
      <sz val="11"/>
      <name val="Arial"/>
      <family val="2"/>
    </font>
    <font>
      <u/>
      <sz val="11"/>
      <color indexed="30"/>
      <name val="Arial"/>
      <family val="2"/>
    </font>
    <font>
      <sz val="10"/>
      <name val="Arial"/>
      <family val="2"/>
    </font>
    <font>
      <sz val="22"/>
      <name val="Arial"/>
      <family val="2"/>
    </font>
    <font>
      <sz val="12"/>
      <color theme="1"/>
      <name val="Arial"/>
      <family val="2"/>
    </font>
    <font>
      <sz val="11"/>
      <color theme="1"/>
      <name val="Calibri"/>
      <family val="2"/>
      <scheme val="minor"/>
    </font>
    <font>
      <sz val="11"/>
      <color theme="0"/>
      <name val="Calibri"/>
      <family val="2"/>
      <scheme val="minor"/>
    </font>
    <font>
      <sz val="12"/>
      <color theme="0"/>
      <name val="Arial"/>
      <family val="2"/>
    </font>
    <font>
      <sz val="11"/>
      <color rgb="FF9C0006"/>
      <name val="Calibri"/>
      <family val="2"/>
      <scheme val="minor"/>
    </font>
    <font>
      <sz val="12"/>
      <color rgb="FF9C0006"/>
      <name val="Arial"/>
      <family val="2"/>
    </font>
    <font>
      <b/>
      <sz val="11"/>
      <color rgb="FFFA7D00"/>
      <name val="Calibri"/>
      <family val="2"/>
      <scheme val="minor"/>
    </font>
    <font>
      <b/>
      <sz val="12"/>
      <color rgb="FFFA7D00"/>
      <name val="Arial"/>
      <family val="2"/>
    </font>
    <font>
      <b/>
      <sz val="11"/>
      <color theme="0"/>
      <name val="Calibri"/>
      <family val="2"/>
      <scheme val="minor"/>
    </font>
    <font>
      <b/>
      <sz val="12"/>
      <color theme="0"/>
      <name val="Arial"/>
      <family val="2"/>
    </font>
    <font>
      <sz val="11"/>
      <color rgb="FF000000"/>
      <name val="Calibri"/>
      <family val="2"/>
      <scheme val="minor"/>
    </font>
    <font>
      <i/>
      <sz val="11"/>
      <color rgb="FF7F7F7F"/>
      <name val="Calibri"/>
      <family val="2"/>
      <scheme val="minor"/>
    </font>
    <font>
      <i/>
      <sz val="12"/>
      <color rgb="FF7F7F7F"/>
      <name val="Arial"/>
      <family val="2"/>
    </font>
    <font>
      <sz val="11"/>
      <color rgb="FF006100"/>
      <name val="Calibri"/>
      <family val="2"/>
      <scheme val="minor"/>
    </font>
    <font>
      <sz val="12"/>
      <color rgb="FF006100"/>
      <name val="Arial"/>
      <family val="2"/>
    </font>
    <font>
      <b/>
      <sz val="15"/>
      <color theme="3"/>
      <name val="Calibri"/>
      <family val="2"/>
      <scheme val="minor"/>
    </font>
    <font>
      <b/>
      <sz val="15"/>
      <color theme="3"/>
      <name val="Arial"/>
      <family val="2"/>
    </font>
    <font>
      <b/>
      <sz val="13"/>
      <color theme="3"/>
      <name val="Calibri"/>
      <family val="2"/>
      <scheme val="minor"/>
    </font>
    <font>
      <b/>
      <sz val="13"/>
      <color theme="3"/>
      <name val="Arial"/>
      <family val="2"/>
    </font>
    <font>
      <b/>
      <sz val="11"/>
      <color theme="3"/>
      <name val="Calibri"/>
      <family val="2"/>
      <scheme val="minor"/>
    </font>
    <font>
      <b/>
      <sz val="11"/>
      <color theme="3"/>
      <name val="Arial"/>
      <family val="2"/>
    </font>
    <font>
      <u/>
      <sz val="12"/>
      <color theme="10"/>
      <name val="Arial"/>
      <family val="2"/>
    </font>
    <font>
      <u/>
      <sz val="11"/>
      <color theme="10"/>
      <name val="Calibri"/>
      <family val="2"/>
      <scheme val="minor"/>
    </font>
    <font>
      <sz val="11"/>
      <color rgb="FF3F3F76"/>
      <name val="Calibri"/>
      <family val="2"/>
      <scheme val="minor"/>
    </font>
    <font>
      <sz val="12"/>
      <color rgb="FF3F3F76"/>
      <name val="Arial"/>
      <family val="2"/>
    </font>
    <font>
      <sz val="11"/>
      <color rgb="FFFA7D00"/>
      <name val="Calibri"/>
      <family val="2"/>
      <scheme val="minor"/>
    </font>
    <font>
      <sz val="12"/>
      <color rgb="FFFA7D00"/>
      <name val="Arial"/>
      <family val="2"/>
    </font>
    <font>
      <sz val="11"/>
      <color rgb="FF9C6500"/>
      <name val="Calibri"/>
      <family val="2"/>
      <scheme val="minor"/>
    </font>
    <font>
      <sz val="12"/>
      <color rgb="FF9C5700"/>
      <name val="Arial"/>
      <family val="2"/>
    </font>
    <font>
      <sz val="10"/>
      <color rgb="FF000000"/>
      <name val="Arial"/>
      <family val="2"/>
    </font>
    <font>
      <b/>
      <sz val="11"/>
      <color rgb="FF3F3F3F"/>
      <name val="Calibri"/>
      <family val="2"/>
      <scheme val="minor"/>
    </font>
    <font>
      <b/>
      <sz val="12"/>
      <color rgb="FF3F3F3F"/>
      <name val="Arial"/>
      <family val="2"/>
    </font>
    <font>
      <b/>
      <sz val="18"/>
      <color theme="3"/>
      <name val="Cambria"/>
      <family val="2"/>
      <scheme val="major"/>
    </font>
    <font>
      <sz val="18"/>
      <color theme="3"/>
      <name val="Cambria"/>
      <family val="2"/>
      <scheme val="major"/>
    </font>
    <font>
      <b/>
      <sz val="11"/>
      <color theme="1"/>
      <name val="Calibri"/>
      <family val="2"/>
      <scheme val="minor"/>
    </font>
    <font>
      <b/>
      <sz val="12"/>
      <color theme="1"/>
      <name val="Arial"/>
      <family val="2"/>
    </font>
    <font>
      <sz val="11"/>
      <color rgb="FFFF0000"/>
      <name val="Calibri"/>
      <family val="2"/>
      <scheme val="minor"/>
    </font>
    <font>
      <sz val="12"/>
      <color rgb="FFFF0000"/>
      <name val="Arial"/>
      <family val="2"/>
    </font>
    <font>
      <sz val="22"/>
      <color theme="1"/>
      <name val="Calibri"/>
      <family val="2"/>
      <scheme val="minor"/>
    </font>
    <font>
      <sz val="20"/>
      <color theme="1"/>
      <name val="Calibri"/>
      <family val="2"/>
      <scheme val="minor"/>
    </font>
    <font>
      <sz val="11"/>
      <name val="Calibri"/>
      <family val="2"/>
      <scheme val="minor"/>
    </font>
    <font>
      <sz val="12"/>
      <name val="Calibri"/>
      <family val="2"/>
      <scheme val="minor"/>
    </font>
    <font>
      <sz val="10"/>
      <color theme="1"/>
      <name val="Calibri"/>
      <family val="2"/>
      <scheme val="minor"/>
    </font>
    <font>
      <b/>
      <sz val="11"/>
      <color theme="1"/>
      <name val="Arial"/>
      <family val="2"/>
    </font>
    <font>
      <sz val="12"/>
      <color rgb="FFFF0000"/>
      <name val="Calibri"/>
      <family val="2"/>
      <scheme val="minor"/>
    </font>
    <font>
      <b/>
      <sz val="28"/>
      <color theme="1"/>
      <name val="Calibri"/>
      <family val="2"/>
      <scheme val="minor"/>
    </font>
    <font>
      <sz val="22"/>
      <color theme="0" tint="-0.249977111117893"/>
      <name val="Calibri"/>
      <family val="2"/>
      <scheme val="minor"/>
    </font>
    <font>
      <b/>
      <sz val="26"/>
      <color theme="1"/>
      <name val="Arial"/>
      <family val="2"/>
    </font>
  </fonts>
  <fills count="44">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11"/>
      </patternFill>
    </fill>
    <fill>
      <patternFill patternType="solid">
        <fgColor indexed="36"/>
      </patternFill>
    </fill>
    <fill>
      <patternFill patternType="solid">
        <fgColor indexed="52"/>
      </patternFill>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
      <patternFill patternType="solid">
        <fgColor theme="0"/>
        <bgColor indexed="64"/>
      </patternFill>
    </fill>
    <fill>
      <patternFill patternType="solid">
        <fgColor theme="0" tint="-0.24994659260841701"/>
        <bgColor indexed="64"/>
      </patternFill>
    </fill>
    <fill>
      <patternFill patternType="solid">
        <fgColor theme="0" tint="-4.9989318521683403E-2"/>
        <bgColor indexed="64"/>
      </patternFill>
    </fill>
    <fill>
      <patternFill patternType="solid">
        <fgColor theme="0" tint="-0.249977111117893"/>
        <bgColor indexed="64"/>
      </patternFill>
    </fill>
  </fills>
  <borders count="14">
    <border>
      <left/>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right/>
      <top style="thin">
        <color theme="1"/>
      </top>
      <bottom/>
      <diagonal/>
    </border>
    <border>
      <left/>
      <right/>
      <top style="thin">
        <color theme="1"/>
      </top>
      <bottom style="thin">
        <color theme="1"/>
      </bottom>
      <diagonal/>
    </border>
  </borders>
  <cellStyleXfs count="459">
    <xf numFmtId="0" fontId="0" fillId="0" borderId="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2"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6" fillId="9" borderId="0" applyNumberFormat="0" applyBorder="0" applyAlignment="0" applyProtection="0"/>
    <xf numFmtId="0" fontId="7" fillId="9"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3"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6" fillId="10" borderId="0" applyNumberFormat="0" applyBorder="0" applyAlignment="0" applyProtection="0"/>
    <xf numFmtId="0" fontId="7" fillId="10"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4"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6" fillId="11" borderId="0" applyNumberFormat="0" applyBorder="0" applyAlignment="0" applyProtection="0"/>
    <xf numFmtId="0" fontId="7" fillId="11"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5"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6" fillId="12" borderId="0" applyNumberFormat="0" applyBorder="0" applyAlignment="0" applyProtection="0"/>
    <xf numFmtId="0" fontId="7" fillId="12"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6" fillId="13" borderId="0" applyNumberFormat="0" applyBorder="0" applyAlignment="0" applyProtection="0"/>
    <xf numFmtId="0" fontId="7" fillId="13"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6" fillId="14" borderId="0" applyNumberFormat="0" applyBorder="0" applyAlignment="0" applyProtection="0"/>
    <xf numFmtId="0" fontId="7" fillId="14"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6" fillId="15"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6" fillId="16" borderId="0" applyNumberFormat="0" applyBorder="0" applyAlignment="0" applyProtection="0"/>
    <xf numFmtId="0" fontId="7" fillId="16"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6"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6" fillId="17" borderId="0" applyNumberFormat="0" applyBorder="0" applyAlignment="0" applyProtection="0"/>
    <xf numFmtId="0" fontId="7" fillId="17"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6" fillId="18"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6" fillId="19" borderId="0" applyNumberFormat="0" applyBorder="0" applyAlignment="0" applyProtection="0"/>
    <xf numFmtId="0" fontId="7" fillId="19"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6" fillId="20" borderId="0" applyNumberFormat="0" applyBorder="0" applyAlignment="0" applyProtection="0"/>
    <xf numFmtId="0" fontId="7" fillId="20"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6" fillId="21"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6" fillId="22" borderId="0" applyNumberFormat="0" applyBorder="0" applyAlignment="0" applyProtection="0"/>
    <xf numFmtId="0" fontId="8" fillId="22" borderId="0" applyNumberFormat="0" applyBorder="0" applyAlignment="0" applyProtection="0"/>
    <xf numFmtId="0" fontId="8" fillId="23" borderId="0" applyNumberFormat="0" applyBorder="0" applyAlignment="0" applyProtection="0"/>
    <xf numFmtId="0" fontId="8" fillId="23" borderId="0" applyNumberFormat="0" applyBorder="0" applyAlignment="0" applyProtection="0"/>
    <xf numFmtId="0" fontId="8" fillId="6" borderId="0" applyNumberFormat="0" applyBorder="0" applyAlignment="0" applyProtection="0"/>
    <xf numFmtId="0" fontId="8" fillId="23" borderId="0" applyNumberFormat="0" applyBorder="0" applyAlignment="0" applyProtection="0"/>
    <xf numFmtId="0" fontId="6" fillId="23" borderId="0" applyNumberFormat="0" applyBorder="0" applyAlignment="0" applyProtection="0"/>
    <xf numFmtId="0" fontId="8" fillId="23"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7" borderId="0" applyNumberFormat="0" applyBorder="0" applyAlignment="0" applyProtection="0"/>
    <xf numFmtId="0" fontId="8" fillId="24" borderId="0" applyNumberFormat="0" applyBorder="0" applyAlignment="0" applyProtection="0"/>
    <xf numFmtId="0" fontId="6" fillId="24"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6" fillId="25" borderId="0" applyNumberFormat="0" applyBorder="0" applyAlignment="0" applyProtection="0"/>
    <xf numFmtId="0" fontId="8" fillId="25" borderId="0" applyNumberFormat="0" applyBorder="0" applyAlignment="0" applyProtection="0"/>
    <xf numFmtId="0" fontId="8" fillId="26" borderId="0" applyNumberFormat="0" applyBorder="0" applyAlignment="0" applyProtection="0"/>
    <xf numFmtId="0" fontId="8" fillId="26" borderId="0" applyNumberFormat="0" applyBorder="0" applyAlignment="0" applyProtection="0"/>
    <xf numFmtId="0" fontId="8" fillId="8" borderId="0" applyNumberFormat="0" applyBorder="0" applyAlignment="0" applyProtection="0"/>
    <xf numFmtId="0" fontId="8" fillId="26" borderId="0" applyNumberFormat="0" applyBorder="0" applyAlignment="0" applyProtection="0"/>
    <xf numFmtId="0" fontId="6" fillId="26" borderId="0" applyNumberFormat="0" applyBorder="0" applyAlignment="0" applyProtection="0"/>
    <xf numFmtId="0" fontId="8" fillId="26"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9" fillId="27" borderId="0" applyNumberFormat="0" applyBorder="0" applyAlignment="0" applyProtection="0"/>
    <xf numFmtId="0" fontId="8" fillId="27"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9" fillId="28"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29" borderId="0" applyNumberFormat="0" applyBorder="0" applyAlignment="0" applyProtection="0"/>
    <xf numFmtId="0" fontId="8" fillId="29" borderId="0" applyNumberFormat="0" applyBorder="0" applyAlignment="0" applyProtection="0"/>
    <xf numFmtId="0" fontId="9" fillId="29"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8" fillId="30" borderId="0" applyNumberFormat="0" applyBorder="0" applyAlignment="0" applyProtection="0"/>
    <xf numFmtId="0" fontId="8" fillId="30" borderId="0" applyNumberFormat="0" applyBorder="0" applyAlignment="0" applyProtection="0"/>
    <xf numFmtId="0" fontId="9" fillId="30" borderId="0" applyNumberFormat="0" applyBorder="0" applyAlignment="0" applyProtection="0"/>
    <xf numFmtId="0" fontId="8" fillId="30"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9" fillId="31" borderId="0" applyNumberFormat="0" applyBorder="0" applyAlignment="0" applyProtection="0"/>
    <xf numFmtId="0" fontId="8" fillId="31"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9" fillId="32" borderId="0" applyNumberFormat="0" applyBorder="0" applyAlignment="0" applyProtection="0"/>
    <xf numFmtId="0" fontId="8" fillId="32" borderId="0" applyNumberFormat="0" applyBorder="0" applyAlignment="0" applyProtection="0"/>
    <xf numFmtId="0" fontId="10" fillId="33" borderId="0" applyNumberFormat="0" applyBorder="0" applyAlignment="0" applyProtection="0"/>
    <xf numFmtId="0" fontId="10" fillId="33" borderId="0" applyNumberFormat="0" applyBorder="0" applyAlignment="0" applyProtection="0"/>
    <xf numFmtId="0" fontId="10" fillId="33" borderId="0" applyNumberFormat="0" applyBorder="0" applyAlignment="0" applyProtection="0"/>
    <xf numFmtId="0" fontId="11" fillId="33" borderId="0" applyNumberFormat="0" applyBorder="0" applyAlignment="0" applyProtection="0"/>
    <xf numFmtId="0" fontId="10" fillId="33" borderId="0" applyNumberFormat="0" applyBorder="0" applyAlignment="0" applyProtection="0"/>
    <xf numFmtId="0" fontId="12" fillId="34" borderId="3" applyNumberFormat="0" applyAlignment="0" applyProtection="0"/>
    <xf numFmtId="0" fontId="12" fillId="34" borderId="3" applyNumberFormat="0" applyAlignment="0" applyProtection="0"/>
    <xf numFmtId="0" fontId="12" fillId="34" borderId="3" applyNumberFormat="0" applyAlignment="0" applyProtection="0"/>
    <xf numFmtId="0" fontId="13" fillId="34" borderId="3" applyNumberFormat="0" applyAlignment="0" applyProtection="0"/>
    <xf numFmtId="0" fontId="12" fillId="34" borderId="3" applyNumberFormat="0" applyAlignment="0" applyProtection="0"/>
    <xf numFmtId="0" fontId="14" fillId="35" borderId="4" applyNumberFormat="0" applyAlignment="0" applyProtection="0"/>
    <xf numFmtId="0" fontId="14" fillId="35" borderId="4" applyNumberFormat="0" applyAlignment="0" applyProtection="0"/>
    <xf numFmtId="0" fontId="14" fillId="35" borderId="4" applyNumberFormat="0" applyAlignment="0" applyProtection="0"/>
    <xf numFmtId="0" fontId="15" fillId="35" borderId="4" applyNumberFormat="0" applyAlignment="0" applyProtection="0"/>
    <xf numFmtId="0" fontId="14" fillId="35" borderId="4" applyNumberFormat="0" applyAlignment="0" applyProtection="0"/>
    <xf numFmtId="43" fontId="16" fillId="0" borderId="0" applyFon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9" fillId="36" borderId="0" applyNumberFormat="0" applyBorder="0" applyAlignment="0" applyProtection="0"/>
    <xf numFmtId="0" fontId="19" fillId="36" borderId="0" applyNumberFormat="0" applyBorder="0" applyAlignment="0" applyProtection="0"/>
    <xf numFmtId="0" fontId="19" fillId="36" borderId="0" applyNumberFormat="0" applyBorder="0" applyAlignment="0" applyProtection="0"/>
    <xf numFmtId="0" fontId="20" fillId="36" borderId="0" applyNumberFormat="0" applyBorder="0" applyAlignment="0" applyProtection="0"/>
    <xf numFmtId="0" fontId="19" fillId="36" borderId="0" applyNumberFormat="0" applyBorder="0" applyAlignment="0" applyProtection="0"/>
    <xf numFmtId="0" fontId="21" fillId="0" borderId="5" applyNumberFormat="0" applyFill="0" applyAlignment="0" applyProtection="0"/>
    <xf numFmtId="0" fontId="21" fillId="0" borderId="5" applyNumberFormat="0" applyFill="0" applyAlignment="0" applyProtection="0"/>
    <xf numFmtId="0" fontId="21" fillId="0" borderId="5" applyNumberFormat="0" applyFill="0" applyAlignment="0" applyProtection="0"/>
    <xf numFmtId="0" fontId="22" fillId="0" borderId="5" applyNumberFormat="0" applyFill="0" applyAlignment="0" applyProtection="0"/>
    <xf numFmtId="0" fontId="21" fillId="0" borderId="5" applyNumberFormat="0" applyFill="0" applyAlignment="0" applyProtection="0"/>
    <xf numFmtId="0" fontId="23" fillId="0" borderId="6" applyNumberFormat="0" applyFill="0" applyAlignment="0" applyProtection="0"/>
    <xf numFmtId="0" fontId="23" fillId="0" borderId="6" applyNumberFormat="0" applyFill="0" applyAlignment="0" applyProtection="0"/>
    <xf numFmtId="0" fontId="23" fillId="0" borderId="6" applyNumberFormat="0" applyFill="0" applyAlignment="0" applyProtection="0"/>
    <xf numFmtId="0" fontId="24" fillId="0" borderId="6" applyNumberFormat="0" applyFill="0" applyAlignment="0" applyProtection="0"/>
    <xf numFmtId="0" fontId="23" fillId="0" borderId="6" applyNumberFormat="0" applyFill="0" applyAlignment="0" applyProtection="0"/>
    <xf numFmtId="0" fontId="25" fillId="0" borderId="7" applyNumberFormat="0" applyFill="0" applyAlignment="0" applyProtection="0"/>
    <xf numFmtId="0" fontId="25" fillId="0" borderId="7" applyNumberFormat="0" applyFill="0" applyAlignment="0" applyProtection="0"/>
    <xf numFmtId="0" fontId="25" fillId="0" borderId="7" applyNumberFormat="0" applyFill="0" applyAlignment="0" applyProtection="0"/>
    <xf numFmtId="0" fontId="26" fillId="0" borderId="7" applyNumberFormat="0" applyFill="0" applyAlignment="0" applyProtection="0"/>
    <xf numFmtId="0" fontId="25" fillId="0" borderId="7" applyNumberFormat="0" applyFill="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7" fillId="0" borderId="0" applyNumberFormat="0" applyFill="0" applyBorder="0" applyAlignment="0" applyProtection="0"/>
    <xf numFmtId="0" fontId="28" fillId="0" borderId="0" applyNumberFormat="0" applyFill="0" applyBorder="0" applyAlignment="0" applyProtection="0"/>
    <xf numFmtId="0" fontId="29" fillId="37" borderId="3" applyNumberFormat="0" applyAlignment="0" applyProtection="0"/>
    <xf numFmtId="0" fontId="29" fillId="37" borderId="3" applyNumberFormat="0" applyAlignment="0" applyProtection="0"/>
    <xf numFmtId="0" fontId="29" fillId="37" borderId="3" applyNumberFormat="0" applyAlignment="0" applyProtection="0"/>
    <xf numFmtId="0" fontId="30" fillId="37" borderId="3" applyNumberFormat="0" applyAlignment="0" applyProtection="0"/>
    <xf numFmtId="0" fontId="29" fillId="37" borderId="3" applyNumberFormat="0" applyAlignment="0" applyProtection="0"/>
    <xf numFmtId="0" fontId="31" fillId="0" borderId="8" applyNumberFormat="0" applyFill="0" applyAlignment="0" applyProtection="0"/>
    <xf numFmtId="0" fontId="31" fillId="0" borderId="8" applyNumberFormat="0" applyFill="0" applyAlignment="0" applyProtection="0"/>
    <xf numFmtId="0" fontId="31" fillId="0" borderId="8" applyNumberFormat="0" applyFill="0" applyAlignment="0" applyProtection="0"/>
    <xf numFmtId="0" fontId="32" fillId="0" borderId="8" applyNumberFormat="0" applyFill="0" applyAlignment="0" applyProtection="0"/>
    <xf numFmtId="0" fontId="31" fillId="0" borderId="8" applyNumberFormat="0" applyFill="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4" fillId="38" borderId="0" applyNumberFormat="0" applyBorder="0" applyAlignment="0" applyProtection="0"/>
    <xf numFmtId="0" fontId="33" fillId="38" borderId="0" applyNumberFormat="0" applyBorder="0" applyAlignment="0" applyProtection="0"/>
    <xf numFmtId="0" fontId="7" fillId="0" borderId="0"/>
    <xf numFmtId="0" fontId="16" fillId="0" borderId="0"/>
    <xf numFmtId="0" fontId="7" fillId="0" borderId="0"/>
    <xf numFmtId="0" fontId="16" fillId="0" borderId="0"/>
    <xf numFmtId="0" fontId="7" fillId="0" borderId="0"/>
    <xf numFmtId="0" fontId="7" fillId="0" borderId="0"/>
    <xf numFmtId="0" fontId="7" fillId="0" borderId="0"/>
    <xf numFmtId="0" fontId="1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5" fillId="0" borderId="0"/>
    <xf numFmtId="0" fontId="35" fillId="0" borderId="0"/>
    <xf numFmtId="0" fontId="35" fillId="0" borderId="0"/>
    <xf numFmtId="0" fontId="7" fillId="0" borderId="0"/>
    <xf numFmtId="0" fontId="7" fillId="0" borderId="0"/>
    <xf numFmtId="0" fontId="7" fillId="0" borderId="0"/>
    <xf numFmtId="0" fontId="7" fillId="0" borderId="0"/>
    <xf numFmtId="0" fontId="7" fillId="0" borderId="0"/>
    <xf numFmtId="0" fontId="35" fillId="0" borderId="0"/>
    <xf numFmtId="0" fontId="35" fillId="0" borderId="0"/>
    <xf numFmtId="0" fontId="6" fillId="0" borderId="0"/>
    <xf numFmtId="0" fontId="35" fillId="0" borderId="0"/>
    <xf numFmtId="0" fontId="6"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1"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36" fillId="34" borderId="10" applyNumberFormat="0" applyAlignment="0" applyProtection="0"/>
    <xf numFmtId="0" fontId="36" fillId="34" borderId="10" applyNumberFormat="0" applyAlignment="0" applyProtection="0"/>
    <xf numFmtId="0" fontId="36" fillId="34" borderId="10" applyNumberFormat="0" applyAlignment="0" applyProtection="0"/>
    <xf numFmtId="0" fontId="37" fillId="34" borderId="10" applyNumberFormat="0" applyAlignment="0" applyProtection="0"/>
    <xf numFmtId="0" fontId="36" fillId="34" borderId="10" applyNumberFormat="0" applyAlignment="0" applyProtection="0"/>
    <xf numFmtId="0" fontId="38" fillId="0" borderId="0" applyNumberFormat="0" applyFill="0" applyBorder="0" applyAlignment="0" applyProtection="0"/>
    <xf numFmtId="0" fontId="39" fillId="0" borderId="0" applyNumberFormat="0" applyFill="0" applyBorder="0" applyAlignment="0" applyProtection="0"/>
    <xf numFmtId="0" fontId="40" fillId="0" borderId="11" applyNumberFormat="0" applyFill="0" applyAlignment="0" applyProtection="0"/>
    <xf numFmtId="0" fontId="40" fillId="0" borderId="11" applyNumberFormat="0" applyFill="0" applyAlignment="0" applyProtection="0"/>
    <xf numFmtId="0" fontId="40" fillId="0" borderId="11" applyNumberFormat="0" applyFill="0" applyAlignment="0" applyProtection="0"/>
    <xf numFmtId="0" fontId="41" fillId="0" borderId="11" applyNumberFormat="0" applyFill="0" applyAlignment="0" applyProtection="0"/>
    <xf numFmtId="0" fontId="40" fillId="0" borderId="11" applyNumberFormat="0" applyFill="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3" fillId="0" borderId="0" applyNumberFormat="0" applyFill="0" applyBorder="0" applyAlignment="0" applyProtection="0"/>
    <xf numFmtId="0" fontId="42" fillId="0" borderId="0" applyNumberFormat="0" applyFill="0" applyBorder="0" applyAlignment="0" applyProtection="0"/>
  </cellStyleXfs>
  <cellXfs count="45">
    <xf numFmtId="0" fontId="0" fillId="0" borderId="0" xfId="0"/>
    <xf numFmtId="0" fontId="44" fillId="40" borderId="0" xfId="0" applyFont="1" applyFill="1" applyAlignment="1">
      <alignment horizontal="left" vertical="top"/>
    </xf>
    <xf numFmtId="0" fontId="45" fillId="40" borderId="0" xfId="0" applyFont="1" applyFill="1" applyAlignment="1">
      <alignment horizontal="left" vertical="top"/>
    </xf>
    <xf numFmtId="0" fontId="46" fillId="0" borderId="0" xfId="0" applyFont="1" applyAlignment="1">
      <alignment horizontal="left" vertical="top" wrapText="1"/>
    </xf>
    <xf numFmtId="0" fontId="47" fillId="0" borderId="0" xfId="0" applyFont="1" applyAlignment="1">
      <alignment horizontal="left" vertical="top" wrapText="1"/>
    </xf>
    <xf numFmtId="0" fontId="47" fillId="0" borderId="0" xfId="0" applyFont="1" applyAlignment="1">
      <alignment horizontal="left" vertical="top"/>
    </xf>
    <xf numFmtId="0" fontId="46" fillId="0" borderId="0" xfId="0" applyFont="1" applyAlignment="1">
      <alignment horizontal="left" vertical="top"/>
    </xf>
    <xf numFmtId="0" fontId="7" fillId="0" borderId="0" xfId="0" applyFont="1" applyAlignment="1">
      <alignment horizontal="left" vertical="top" wrapText="1"/>
    </xf>
    <xf numFmtId="0" fontId="2" fillId="0" borderId="0" xfId="0" applyFont="1" applyAlignment="1">
      <alignment horizontal="left" vertical="top" wrapText="1"/>
    </xf>
    <xf numFmtId="0" fontId="7" fillId="40" borderId="0" xfId="0" applyFont="1" applyFill="1" applyAlignment="1">
      <alignment horizontal="left" vertical="top"/>
    </xf>
    <xf numFmtId="0" fontId="48" fillId="40" borderId="0" xfId="0" applyFont="1" applyFill="1" applyAlignment="1">
      <alignment horizontal="left" vertical="top"/>
    </xf>
    <xf numFmtId="20" fontId="49" fillId="41" borderId="1" xfId="0" applyNumberFormat="1" applyFont="1" applyFill="1" applyBorder="1" applyAlignment="1" applyProtection="1">
      <alignment horizontal="center" vertical="center" wrapText="1"/>
      <protection locked="0"/>
    </xf>
    <xf numFmtId="0" fontId="49" fillId="41" borderId="1" xfId="0" applyFont="1" applyFill="1" applyBorder="1" applyAlignment="1" applyProtection="1">
      <alignment horizontal="center" vertical="center" wrapText="1"/>
      <protection locked="0"/>
    </xf>
    <xf numFmtId="20" fontId="46" fillId="0" borderId="0" xfId="0" applyNumberFormat="1" applyFont="1" applyAlignment="1">
      <alignment horizontal="left" vertical="top" wrapText="1"/>
    </xf>
    <xf numFmtId="0" fontId="46" fillId="40" borderId="0" xfId="0" applyFont="1" applyFill="1" applyAlignment="1">
      <alignment horizontal="left" vertical="top"/>
    </xf>
    <xf numFmtId="0" fontId="0" fillId="40" borderId="0" xfId="0" applyFill="1"/>
    <xf numFmtId="22" fontId="0" fillId="40" borderId="2" xfId="0" applyNumberFormat="1" applyFill="1" applyBorder="1" applyAlignment="1">
      <alignment horizontal="left" vertical="top" wrapText="1"/>
    </xf>
    <xf numFmtId="0" fontId="0" fillId="40" borderId="2" xfId="0" applyFill="1" applyBorder="1" applyAlignment="1">
      <alignment horizontal="left" vertical="top" wrapText="1"/>
    </xf>
    <xf numFmtId="0" fontId="46" fillId="40" borderId="0" xfId="0" applyFont="1" applyFill="1" applyAlignment="1">
      <alignment horizontal="left" vertical="top" wrapText="1"/>
    </xf>
    <xf numFmtId="0" fontId="0" fillId="0" borderId="2" xfId="0" applyBorder="1" applyAlignment="1">
      <alignment horizontal="left" vertical="top" wrapText="1"/>
    </xf>
    <xf numFmtId="22" fontId="0" fillId="0" borderId="2" xfId="0" applyNumberFormat="1" applyBorder="1" applyAlignment="1">
      <alignment horizontal="left" vertical="top" wrapText="1"/>
    </xf>
    <xf numFmtId="0" fontId="0" fillId="0" borderId="0" xfId="0" applyAlignment="1">
      <alignment horizontal="left" vertical="top" wrapText="1"/>
    </xf>
    <xf numFmtId="22" fontId="0" fillId="0" borderId="0" xfId="0" applyNumberFormat="1" applyAlignment="1">
      <alignment horizontal="left" vertical="top" wrapText="1"/>
    </xf>
    <xf numFmtId="0" fontId="50" fillId="40" borderId="0" xfId="0" applyFont="1" applyFill="1" applyAlignment="1">
      <alignment horizontal="left" vertical="top"/>
    </xf>
    <xf numFmtId="0" fontId="43" fillId="40" borderId="0" xfId="0" applyFont="1" applyFill="1"/>
    <xf numFmtId="0" fontId="0" fillId="0" borderId="0" xfId="0" applyAlignment="1">
      <alignment vertical="top"/>
    </xf>
    <xf numFmtId="0" fontId="0" fillId="0" borderId="0" xfId="0" applyAlignment="1">
      <alignment vertical="top" wrapText="1"/>
    </xf>
    <xf numFmtId="22" fontId="0" fillId="0" borderId="0" xfId="0" applyNumberFormat="1" applyAlignment="1">
      <alignment vertical="top"/>
    </xf>
    <xf numFmtId="22" fontId="0" fillId="0" borderId="0" xfId="0" applyNumberFormat="1" applyAlignment="1">
      <alignment vertical="top" wrapText="1"/>
    </xf>
    <xf numFmtId="0" fontId="0" fillId="0" borderId="12" xfId="0" applyBorder="1" applyAlignment="1">
      <alignment vertical="top"/>
    </xf>
    <xf numFmtId="0" fontId="0" fillId="0" borderId="12" xfId="0" applyBorder="1" applyAlignment="1">
      <alignment vertical="top" wrapText="1"/>
    </xf>
    <xf numFmtId="22" fontId="0" fillId="0" borderId="12" xfId="0" applyNumberFormat="1" applyBorder="1" applyAlignment="1">
      <alignment vertical="top"/>
    </xf>
    <xf numFmtId="0" fontId="0" fillId="0" borderId="13" xfId="0" applyBorder="1" applyAlignment="1">
      <alignment vertical="top"/>
    </xf>
    <xf numFmtId="0" fontId="0" fillId="0" borderId="13" xfId="0" applyBorder="1" applyAlignment="1">
      <alignment vertical="top" wrapText="1"/>
    </xf>
    <xf numFmtId="22" fontId="0" fillId="0" borderId="13" xfId="0" applyNumberFormat="1" applyBorder="1" applyAlignment="1">
      <alignment vertical="top"/>
    </xf>
    <xf numFmtId="0" fontId="53" fillId="40" borderId="0" xfId="0" quotePrefix="1" applyFont="1" applyFill="1" applyAlignment="1">
      <alignment horizontal="left" vertical="center" wrapText="1"/>
    </xf>
    <xf numFmtId="0" fontId="51" fillId="40" borderId="0" xfId="0" applyFont="1" applyFill="1" applyAlignment="1">
      <alignment horizontal="center" vertical="center"/>
    </xf>
    <xf numFmtId="14" fontId="52" fillId="43" borderId="0" xfId="0" applyNumberFormat="1" applyFont="1" applyFill="1" applyAlignment="1">
      <alignment horizontal="center" vertical="top"/>
    </xf>
    <xf numFmtId="0" fontId="4" fillId="40" borderId="0" xfId="375" applyFont="1" applyFill="1" applyAlignment="1">
      <alignment horizontal="center" vertical="center" wrapText="1"/>
    </xf>
    <xf numFmtId="0" fontId="2" fillId="0" borderId="0" xfId="375" applyFont="1" applyFill="1" applyAlignment="1">
      <alignment horizontal="center" vertical="top" wrapText="1"/>
    </xf>
    <xf numFmtId="164" fontId="45" fillId="40" borderId="0" xfId="0" applyNumberFormat="1" applyFont="1" applyFill="1" applyAlignment="1">
      <alignment horizontal="right" vertical="top"/>
    </xf>
    <xf numFmtId="0" fontId="5" fillId="42" borderId="0" xfId="375" applyFont="1" applyFill="1" applyAlignment="1">
      <alignment horizontal="center" vertical="top"/>
    </xf>
    <xf numFmtId="0" fontId="5" fillId="40" borderId="0" xfId="375" applyFont="1" applyFill="1" applyAlignment="1">
      <alignment horizontal="center" vertical="top"/>
    </xf>
    <xf numFmtId="0" fontId="5" fillId="0" borderId="0" xfId="375" applyFont="1" applyAlignment="1">
      <alignment horizontal="center" vertical="top"/>
    </xf>
    <xf numFmtId="164" fontId="45" fillId="40" borderId="0" xfId="0" applyNumberFormat="1" applyFont="1" applyFill="1" applyAlignment="1">
      <alignment horizontal="left" vertical="top"/>
    </xf>
  </cellXfs>
  <cellStyles count="459">
    <cellStyle name="20% - Accent1" xfId="1" builtinId="30" customBuiltin="1"/>
    <cellStyle name="20% - Accent1 2" xfId="2" xr:uid="{1C3076D9-F2C2-4C72-9BBF-ECEA44568A40}"/>
    <cellStyle name="20% - Accent1 2 2" xfId="3" xr:uid="{9082FA31-1536-461C-B12F-5AECEEF7F72B}"/>
    <cellStyle name="20% - Accent1 2 2 2" xfId="4" xr:uid="{CAE65744-5DCC-4191-AFE8-75967B655C54}"/>
    <cellStyle name="20% - Accent1 2 2 2 2" xfId="5" xr:uid="{A970DD3D-1709-410A-97B5-A71F65CCDA0F}"/>
    <cellStyle name="20% - Accent1 2 2 2 2 2" xfId="6" xr:uid="{41CD4CFE-3A47-44FC-BAAF-808C2FC69F88}"/>
    <cellStyle name="20% - Accent1 2 2 2 3" xfId="7" xr:uid="{1904CC0A-7888-478A-AAB2-7B4A6B04F911}"/>
    <cellStyle name="20% - Accent1 2 2 3" xfId="8" xr:uid="{83F91834-8C6C-43ED-B554-3695DDAC1779}"/>
    <cellStyle name="20% - Accent1 2 2 3 2" xfId="9" xr:uid="{DA7B1BBE-17AE-40B3-8057-5AE9CA7F3D3D}"/>
    <cellStyle name="20% - Accent1 2 2 4" xfId="10" xr:uid="{8B90709D-4621-47C8-91EF-16695FCF02A4}"/>
    <cellStyle name="20% - Accent1 2 2 5" xfId="11" xr:uid="{5EFAAAD5-5199-4392-9C81-0D81AD890163}"/>
    <cellStyle name="20% - Accent1 2 3" xfId="12" xr:uid="{51E1E5F5-E03C-436E-AF85-24DDA982F4D7}"/>
    <cellStyle name="20% - Accent1 2 3 2" xfId="13" xr:uid="{29ACE20F-C1C2-49E0-9BFC-B75704D2B203}"/>
    <cellStyle name="20% - Accent1 2 3 2 2" xfId="14" xr:uid="{43A7E4FC-C2C7-472F-8A27-F2B47D8E2CCF}"/>
    <cellStyle name="20% - Accent1 2 3 3" xfId="15" xr:uid="{79D79B89-1F32-4E86-9134-8AC7728B266A}"/>
    <cellStyle name="20% - Accent1 2 4" xfId="16" xr:uid="{26CB98D8-9566-4FF3-89E3-C9DA2425665F}"/>
    <cellStyle name="20% - Accent1 2 4 2" xfId="17" xr:uid="{A92EFAC2-B7F7-4A2C-910E-15FE267011FF}"/>
    <cellStyle name="20% - Accent1 2 5" xfId="18" xr:uid="{C8F20E7B-B6FE-4BF7-80F6-674A6B88D325}"/>
    <cellStyle name="20% - Accent1 3" xfId="19" xr:uid="{BE7C152D-B7C3-42B4-9F81-EF53B4F8D78A}"/>
    <cellStyle name="20% - Accent1 3 2" xfId="20" xr:uid="{8924F36B-6561-4532-821C-86E954358B94}"/>
    <cellStyle name="20% - Accent1 4" xfId="21" xr:uid="{00BF0183-9D0A-47D3-9559-C5B23B8D45B0}"/>
    <cellStyle name="20% - Accent2" xfId="22" builtinId="34" customBuiltin="1"/>
    <cellStyle name="20% - Accent2 2" xfId="23" xr:uid="{18D751E0-2F49-4913-8AD0-6B98A9EB05B2}"/>
    <cellStyle name="20% - Accent2 2 2" xfId="24" xr:uid="{92AA9F59-FED6-4DC2-8B75-FBE347946B10}"/>
    <cellStyle name="20% - Accent2 2 2 2" xfId="25" xr:uid="{04D51A37-18A6-401A-B5C0-130B431AB217}"/>
    <cellStyle name="20% - Accent2 2 2 2 2" xfId="26" xr:uid="{CBD8F91F-C602-43A9-B4D0-3EA9821B2FCB}"/>
    <cellStyle name="20% - Accent2 2 2 2 2 2" xfId="27" xr:uid="{77EF9BF5-366C-41DD-9D75-B88682065720}"/>
    <cellStyle name="20% - Accent2 2 2 2 3" xfId="28" xr:uid="{3B3C8116-2461-4BA1-BDF1-E315C8868DF7}"/>
    <cellStyle name="20% - Accent2 2 2 3" xfId="29" xr:uid="{995AA36E-C7B7-4875-A7B2-0687FA406162}"/>
    <cellStyle name="20% - Accent2 2 2 3 2" xfId="30" xr:uid="{648B5492-3B62-4312-9AF1-858F394C7C87}"/>
    <cellStyle name="20% - Accent2 2 2 4" xfId="31" xr:uid="{FAF8B040-2DE6-40D4-A2D6-952FCD990772}"/>
    <cellStyle name="20% - Accent2 2 2 5" xfId="32" xr:uid="{C638F427-30E9-4EB1-9513-A59E5B52F194}"/>
    <cellStyle name="20% - Accent2 2 3" xfId="33" xr:uid="{0C1EC8AB-2465-40D6-B0DC-75D8A1D4BEE1}"/>
    <cellStyle name="20% - Accent2 2 3 2" xfId="34" xr:uid="{6B930FDF-17AF-43E7-94F7-76543768C42C}"/>
    <cellStyle name="20% - Accent2 2 3 2 2" xfId="35" xr:uid="{20C0FFDD-550B-4483-ADE3-1F9500B0D6F0}"/>
    <cellStyle name="20% - Accent2 2 3 3" xfId="36" xr:uid="{966B13AA-71D7-4B45-ABD4-AFF727E706C8}"/>
    <cellStyle name="20% - Accent2 2 4" xfId="37" xr:uid="{F6BC0D4F-C37B-4545-9CE9-B7C270B04A1E}"/>
    <cellStyle name="20% - Accent2 2 4 2" xfId="38" xr:uid="{435517A5-C3BC-461E-9D06-7909CCDB4F4B}"/>
    <cellStyle name="20% - Accent2 2 5" xfId="39" xr:uid="{71924468-D8A5-4384-A731-316A60C2CEE2}"/>
    <cellStyle name="20% - Accent2 3" xfId="40" xr:uid="{68F4A951-6FCB-485D-82EB-CBFF70CB9334}"/>
    <cellStyle name="20% - Accent2 3 2" xfId="41" xr:uid="{D63E9AAC-CE81-4B82-B7B8-91A857318AB0}"/>
    <cellStyle name="20% - Accent2 4" xfId="42" xr:uid="{B9A77DE3-5CB9-417F-8147-ABE390785C76}"/>
    <cellStyle name="20% - Accent3" xfId="43" builtinId="38" customBuiltin="1"/>
    <cellStyle name="20% - Accent3 2" xfId="44" xr:uid="{9B46CD09-D9A6-41C9-98B7-9EA604BE318D}"/>
    <cellStyle name="20% - Accent3 2 2" xfId="45" xr:uid="{7C23D3DD-1A92-405E-BA10-22F952117A19}"/>
    <cellStyle name="20% - Accent3 2 2 2" xfId="46" xr:uid="{9F7AB938-DEDC-4B53-8138-5E3266594902}"/>
    <cellStyle name="20% - Accent3 2 2 2 2" xfId="47" xr:uid="{3B41479F-A817-4242-AFF2-B8B7C0FF4F12}"/>
    <cellStyle name="20% - Accent3 2 2 2 2 2" xfId="48" xr:uid="{BFD50AA9-7EEF-4A2D-8E0E-D4C49542DC50}"/>
    <cellStyle name="20% - Accent3 2 2 2 3" xfId="49" xr:uid="{34D4B8FA-9995-452B-B45C-CFAB7B87B7A3}"/>
    <cellStyle name="20% - Accent3 2 2 3" xfId="50" xr:uid="{9140C2B6-FC2C-4A51-BFDE-111E1383AAE8}"/>
    <cellStyle name="20% - Accent3 2 2 3 2" xfId="51" xr:uid="{596936B4-B814-46B0-9944-FFB64C16503E}"/>
    <cellStyle name="20% - Accent3 2 2 4" xfId="52" xr:uid="{8B741FF3-2D16-44C6-BC9E-BBF5A0195765}"/>
    <cellStyle name="20% - Accent3 2 2 5" xfId="53" xr:uid="{D4718B7C-AEDB-4E77-9FA4-871EBEA530FB}"/>
    <cellStyle name="20% - Accent3 2 3" xfId="54" xr:uid="{2740CD63-7DA8-4488-A24A-5C989D10731F}"/>
    <cellStyle name="20% - Accent3 2 3 2" xfId="55" xr:uid="{060F0CC8-40F0-476F-B7C5-1F3FF4A39A4E}"/>
    <cellStyle name="20% - Accent3 2 3 2 2" xfId="56" xr:uid="{9BB0A244-B70B-4F9B-A766-C37E80922FC4}"/>
    <cellStyle name="20% - Accent3 2 3 3" xfId="57" xr:uid="{C64B21BC-B8E0-4550-8017-72EC524C03F1}"/>
    <cellStyle name="20% - Accent3 2 4" xfId="58" xr:uid="{005DA6CC-50C0-4EF7-A32A-397F14CE4248}"/>
    <cellStyle name="20% - Accent3 2 4 2" xfId="59" xr:uid="{FDEAB5D1-AEEB-465A-ADB7-97AA1FF6B59C}"/>
    <cellStyle name="20% - Accent3 2 5" xfId="60" xr:uid="{492F7A2E-B1FB-41A0-865C-4E95C205868D}"/>
    <cellStyle name="20% - Accent3 3" xfId="61" xr:uid="{174B5935-0A01-47C5-B955-EFBCD9C555A2}"/>
    <cellStyle name="20% - Accent3 3 2" xfId="62" xr:uid="{29E84719-D2DB-4C75-8AA9-D06F69F5ADE7}"/>
    <cellStyle name="20% - Accent3 4" xfId="63" xr:uid="{C7406FAA-F024-4A27-A8BE-D03C1C54691E}"/>
    <cellStyle name="20% - Accent4" xfId="64" builtinId="42" customBuiltin="1"/>
    <cellStyle name="20% - Accent4 2" xfId="65" xr:uid="{9CB6FC85-3AB8-4080-9A0B-151FEBFAC87F}"/>
    <cellStyle name="20% - Accent4 2 2" xfId="66" xr:uid="{10DEADD6-47CE-407F-B417-CE7775F2A7BA}"/>
    <cellStyle name="20% - Accent4 2 2 2" xfId="67" xr:uid="{D9792594-C981-4405-AE4F-4BA4D1D12DBA}"/>
    <cellStyle name="20% - Accent4 2 2 2 2" xfId="68" xr:uid="{C6E598BC-824B-422B-979D-F4A282DE6B7B}"/>
    <cellStyle name="20% - Accent4 2 2 2 2 2" xfId="69" xr:uid="{2E2BC2AA-5026-49E0-AA82-64E6273B1AD9}"/>
    <cellStyle name="20% - Accent4 2 2 2 3" xfId="70" xr:uid="{586E542C-752C-4051-A4AC-26FB0960CCA4}"/>
    <cellStyle name="20% - Accent4 2 2 3" xfId="71" xr:uid="{F702CE5F-2361-48B5-9938-63233C1E3F07}"/>
    <cellStyle name="20% - Accent4 2 2 3 2" xfId="72" xr:uid="{5111B49F-48FA-4F29-8ECE-723BD32DFB0C}"/>
    <cellStyle name="20% - Accent4 2 2 4" xfId="73" xr:uid="{B3E5F606-C8BD-47F9-AE82-A11555F4615D}"/>
    <cellStyle name="20% - Accent4 2 2 5" xfId="74" xr:uid="{EF9C3EAD-6EAA-4E84-A71E-E3830C2EDCD8}"/>
    <cellStyle name="20% - Accent4 2 3" xfId="75" xr:uid="{5A3FD1E5-61AD-4ABF-B119-80EFEA2433AD}"/>
    <cellStyle name="20% - Accent4 2 3 2" xfId="76" xr:uid="{4599F86D-85E2-428E-9094-7021D581D935}"/>
    <cellStyle name="20% - Accent4 2 3 2 2" xfId="77" xr:uid="{84B94FE3-4169-4A2D-8ADA-647678DD1C63}"/>
    <cellStyle name="20% - Accent4 2 3 3" xfId="78" xr:uid="{FF9DB7B5-FC63-4707-AC85-C0B3FFCC896F}"/>
    <cellStyle name="20% - Accent4 2 4" xfId="79" xr:uid="{4BBE784C-3C27-4B5F-B2EB-2ADFCA1FC38E}"/>
    <cellStyle name="20% - Accent4 2 4 2" xfId="80" xr:uid="{0B2A81B7-2CB6-43E4-B221-1127409AD2B4}"/>
    <cellStyle name="20% - Accent4 2 5" xfId="81" xr:uid="{3935D5E2-33FB-4F31-B34C-E2037707A3A2}"/>
    <cellStyle name="20% - Accent4 3" xfId="82" xr:uid="{85A89EC8-C207-4A29-A7A1-A6F08F7F55FC}"/>
    <cellStyle name="20% - Accent4 3 2" xfId="83" xr:uid="{F773B1DC-E2A0-4F1D-BE58-013D8CDA3BE7}"/>
    <cellStyle name="20% - Accent4 4" xfId="84" xr:uid="{C8AFA972-6A1F-49E7-9368-7A855F7B2CB5}"/>
    <cellStyle name="20% - Accent5" xfId="85" builtinId="46" customBuiltin="1"/>
    <cellStyle name="20% - Accent5 2" xfId="86" xr:uid="{55560E1B-558C-433C-8C2E-4649B4EBC4A7}"/>
    <cellStyle name="20% - Accent5 2 2" xfId="87" xr:uid="{AABA101D-5E67-49B2-AD02-5D48BD8CC383}"/>
    <cellStyle name="20% - Accent5 2 2 2" xfId="88" xr:uid="{A76CB1D4-1980-4AC2-9325-26F7458772EF}"/>
    <cellStyle name="20% - Accent5 2 2 2 2" xfId="89" xr:uid="{8E4E4727-9EE2-4636-9DD6-A2216210E419}"/>
    <cellStyle name="20% - Accent5 2 2 2 2 2" xfId="90" xr:uid="{FA5F5A7D-C45A-4452-A228-4DE30F183493}"/>
    <cellStyle name="20% - Accent5 2 2 2 3" xfId="91" xr:uid="{15B3DE0E-052D-4089-8684-48B64EEE6166}"/>
    <cellStyle name="20% - Accent5 2 2 3" xfId="92" xr:uid="{249DCFB9-D0C5-4CC7-858C-69CA0BAB0336}"/>
    <cellStyle name="20% - Accent5 2 2 3 2" xfId="93" xr:uid="{D3F5CA52-A4FD-4C89-BBFC-C527C23BF27A}"/>
    <cellStyle name="20% - Accent5 2 2 4" xfId="94" xr:uid="{CB402B20-B77D-4BC1-9926-18F64B02DF01}"/>
    <cellStyle name="20% - Accent5 2 2 5" xfId="95" xr:uid="{4C9F680F-8DBD-4BCE-9620-A586ADE4A1B7}"/>
    <cellStyle name="20% - Accent5 2 2 6" xfId="96" xr:uid="{E7195728-8C7F-48DF-9729-B60E6FEEA0B1}"/>
    <cellStyle name="20% - Accent5 2 2 7" xfId="97" xr:uid="{AA3F487C-8BF5-4C75-8FFC-CE4D8F3564B4}"/>
    <cellStyle name="20% - Accent5 2 2 8" xfId="98" xr:uid="{2EC51F9B-F439-4522-889D-F0A82FFEB40E}"/>
    <cellStyle name="20% - Accent5 2 3" xfId="99" xr:uid="{7843B76C-4EBF-4748-B569-088E323977E7}"/>
    <cellStyle name="20% - Accent5 2 3 2" xfId="100" xr:uid="{28A0F652-0D0D-4705-B9B3-FA10D603C4D3}"/>
    <cellStyle name="20% - Accent5 2 3 2 2" xfId="101" xr:uid="{FB8D2066-41F5-4FD7-91CB-D5608943A27E}"/>
    <cellStyle name="20% - Accent5 2 3 3" xfId="102" xr:uid="{7A612C7B-E7B7-4E1F-B6F0-706CD0C1D0F3}"/>
    <cellStyle name="20% - Accent5 2 3 4" xfId="103" xr:uid="{E8773AEA-1E81-45E1-8D99-752C17582485}"/>
    <cellStyle name="20% - Accent5 2 3 5" xfId="104" xr:uid="{783AF711-CA98-4688-ACCE-5489EAF37D35}"/>
    <cellStyle name="20% - Accent5 2 3 6" xfId="105" xr:uid="{1BEF77E8-F345-4445-97B5-A13552E3779D}"/>
    <cellStyle name="20% - Accent5 2 3 7" xfId="106" xr:uid="{F83B842F-4EEA-4E43-94F9-54EDF6C609CD}"/>
    <cellStyle name="20% - Accent5 2 4" xfId="107" xr:uid="{48B78534-C970-4194-B37E-E03143C2CAB5}"/>
    <cellStyle name="20% - Accent5 2 4 2" xfId="108" xr:uid="{FBB2CB39-B17C-436E-966F-EBB9ED1D8F14}"/>
    <cellStyle name="20% - Accent5 2 5" xfId="109" xr:uid="{96D404E5-6058-49D2-9318-3DC7C403EFC4}"/>
    <cellStyle name="20% - Accent5 2 6" xfId="110" xr:uid="{205D9A22-E3E0-4254-BB14-EFB8354E112B}"/>
    <cellStyle name="20% - Accent5 2 7" xfId="111" xr:uid="{26165252-FFF8-43AC-BCAF-9CEE0DCB77FE}"/>
    <cellStyle name="20% - Accent5 2 8" xfId="112" xr:uid="{CC0B31AE-BE01-4874-AA95-4F51E8107E05}"/>
    <cellStyle name="20% - Accent5 2 9" xfId="113" xr:uid="{E74BB813-09FF-4ACD-8C42-E79B06F647F7}"/>
    <cellStyle name="20% - Accent5 3" xfId="114" xr:uid="{59BF426B-9B72-4797-BE87-E84DB56DD599}"/>
    <cellStyle name="20% - Accent5 3 2" xfId="115" xr:uid="{A42BFCC1-64B5-4F66-A887-427D3636C5D9}"/>
    <cellStyle name="20% - Accent5 4" xfId="116" xr:uid="{40C4C6A3-5922-4906-B0DC-2590A8A87193}"/>
    <cellStyle name="20% - Accent6" xfId="117" builtinId="50" customBuiltin="1"/>
    <cellStyle name="20% - Accent6 2" xfId="118" xr:uid="{5B197DF6-CE9B-4480-8051-909933E67141}"/>
    <cellStyle name="20% - Accent6 2 2" xfId="119" xr:uid="{6C701ED2-DCB4-4668-A5F9-B12694E88C25}"/>
    <cellStyle name="20% - Accent6 2 2 2" xfId="120" xr:uid="{40A4112A-188B-4879-8147-3914F52D1A21}"/>
    <cellStyle name="20% - Accent6 2 2 2 2" xfId="121" xr:uid="{B3E953CA-0528-4FFF-B443-7C009B0B1B22}"/>
    <cellStyle name="20% - Accent6 2 2 2 2 2" xfId="122" xr:uid="{2B3AA860-2113-423D-9DE9-94BF6ED8A4F5}"/>
    <cellStyle name="20% - Accent6 2 2 2 3" xfId="123" xr:uid="{87DADF5B-4FCE-41A4-A28E-108936AAF624}"/>
    <cellStyle name="20% - Accent6 2 2 3" xfId="124" xr:uid="{495D3387-88D1-4F43-8221-49CADFA619ED}"/>
    <cellStyle name="20% - Accent6 2 2 3 2" xfId="125" xr:uid="{58448116-5828-401C-A1F0-61AA073ABC27}"/>
    <cellStyle name="20% - Accent6 2 2 4" xfId="126" xr:uid="{82362822-913F-4683-98AB-8FA78A96CF1F}"/>
    <cellStyle name="20% - Accent6 2 2 5" xfId="127" xr:uid="{BD8B1EF5-7FFC-4E71-9D20-A7B970D60CD8}"/>
    <cellStyle name="20% - Accent6 2 3" xfId="128" xr:uid="{A408069C-A6F3-4494-BD5C-52452FB466B9}"/>
    <cellStyle name="20% - Accent6 2 3 2" xfId="129" xr:uid="{10623B94-F95F-4C66-83FE-219368D5D32B}"/>
    <cellStyle name="20% - Accent6 2 3 2 2" xfId="130" xr:uid="{93503B32-DB9E-42BC-AE64-67CCB294AD72}"/>
    <cellStyle name="20% - Accent6 2 3 3" xfId="131" xr:uid="{911A6140-02EF-4709-BE8A-54186A70273A}"/>
    <cellStyle name="20% - Accent6 2 4" xfId="132" xr:uid="{2B035B18-364F-4FE5-B7A9-77CEC4D96DF0}"/>
    <cellStyle name="20% - Accent6 2 4 2" xfId="133" xr:uid="{C9DCC3E6-D8E0-4268-97A6-47AD4A41EBDB}"/>
    <cellStyle name="20% - Accent6 2 5" xfId="134" xr:uid="{BE5402B4-EC3E-495A-9B95-89B742B15BE6}"/>
    <cellStyle name="20% - Accent6 3" xfId="135" xr:uid="{D7BE99E2-A322-45EC-B347-348D48B704AE}"/>
    <cellStyle name="20% - Accent6 3 2" xfId="136" xr:uid="{0D95A591-095D-4190-9916-84D756302F2F}"/>
    <cellStyle name="20% - Accent6 4" xfId="137" xr:uid="{D3496FFB-C106-442E-8ED4-FE3721ABFFA1}"/>
    <cellStyle name="40% - Accent1" xfId="138" builtinId="31" customBuiltin="1"/>
    <cellStyle name="40% - Accent1 2" xfId="139" xr:uid="{215FAB60-52E7-45C7-BFB6-437FB7F98432}"/>
    <cellStyle name="40% - Accent1 2 2" xfId="140" xr:uid="{4260A4A8-A52B-45AE-8F3E-09589C813D3E}"/>
    <cellStyle name="40% - Accent1 2 2 2" xfId="141" xr:uid="{BCCF52BB-56FD-4429-BC4E-E74FBCFB1F37}"/>
    <cellStyle name="40% - Accent1 2 2 2 2" xfId="142" xr:uid="{AE75E309-7372-4B93-A278-70D6D33AECF2}"/>
    <cellStyle name="40% - Accent1 2 2 2 2 2" xfId="143" xr:uid="{04277CE6-B737-4A85-A7EA-85AD6CF88F1A}"/>
    <cellStyle name="40% - Accent1 2 2 2 3" xfId="144" xr:uid="{5EF21C8B-EC25-4FB5-97AD-501199B875B7}"/>
    <cellStyle name="40% - Accent1 2 2 3" xfId="145" xr:uid="{B54B96E8-AFD1-4D9E-AAC4-5C99AED49586}"/>
    <cellStyle name="40% - Accent1 2 2 3 2" xfId="146" xr:uid="{3878BFCE-6769-44F4-9083-A1D5D6BE1C6B}"/>
    <cellStyle name="40% - Accent1 2 2 4" xfId="147" xr:uid="{9C533F37-34EF-4571-A075-FC243871810A}"/>
    <cellStyle name="40% - Accent1 2 2 5" xfId="148" xr:uid="{38B226FD-6B73-40A2-BA6B-E0A9E8CC5ADA}"/>
    <cellStyle name="40% - Accent1 2 3" xfId="149" xr:uid="{23B19964-C217-46F6-B226-3FED6F56E06B}"/>
    <cellStyle name="40% - Accent1 2 3 2" xfId="150" xr:uid="{00CEA417-4AA8-48D6-B2A0-35548F8B4E30}"/>
    <cellStyle name="40% - Accent1 2 3 2 2" xfId="151" xr:uid="{31F5EED0-025F-4BC0-9DCF-F51089EBAA98}"/>
    <cellStyle name="40% - Accent1 2 3 3" xfId="152" xr:uid="{858D03B8-A2B7-48D3-81D5-3E0AD9955FB5}"/>
    <cellStyle name="40% - Accent1 2 4" xfId="153" xr:uid="{CC604A44-9D35-4555-9C36-9FB16DB7FB0E}"/>
    <cellStyle name="40% - Accent1 2 4 2" xfId="154" xr:uid="{CED869B7-920F-493A-B079-12ED400B68C3}"/>
    <cellStyle name="40% - Accent1 2 5" xfId="155" xr:uid="{7A326AA8-0E13-4EFD-B2B3-18B0F225CBB5}"/>
    <cellStyle name="40% - Accent1 3" xfId="156" xr:uid="{5EEBA8D8-0E9B-4280-B018-C4F95B8AF2B5}"/>
    <cellStyle name="40% - Accent1 3 2" xfId="157" xr:uid="{3143F48E-A0DF-44F9-A238-79AACF9FE34C}"/>
    <cellStyle name="40% - Accent1 4" xfId="158" xr:uid="{EE2E5E95-1EB8-4F00-BF34-3AD2E43C5B3E}"/>
    <cellStyle name="40% - Accent2" xfId="159" builtinId="35" customBuiltin="1"/>
    <cellStyle name="40% - Accent2 2" xfId="160" xr:uid="{BDE6870E-E907-4367-9611-FD83163AB398}"/>
    <cellStyle name="40% - Accent2 2 2" xfId="161" xr:uid="{5A476B6B-7195-4070-BD0A-399CD2E89417}"/>
    <cellStyle name="40% - Accent2 2 2 2" xfId="162" xr:uid="{6E424A17-827F-4638-B5C7-9C82ECE51F27}"/>
    <cellStyle name="40% - Accent2 2 2 2 2" xfId="163" xr:uid="{3139FEEA-C6DE-4737-B5D6-E1E6D87FD232}"/>
    <cellStyle name="40% - Accent2 2 2 2 2 2" xfId="164" xr:uid="{9843C21F-4F15-488B-B403-984D7FD6B97B}"/>
    <cellStyle name="40% - Accent2 2 2 2 3" xfId="165" xr:uid="{5971E549-DFB8-4536-A50B-D20766AAF53B}"/>
    <cellStyle name="40% - Accent2 2 2 3" xfId="166" xr:uid="{49EEAE9A-2224-4DB0-B69B-BE8439AD5FBA}"/>
    <cellStyle name="40% - Accent2 2 2 3 2" xfId="167" xr:uid="{76DA5E08-76EE-4ED5-82B8-BB3709270DE4}"/>
    <cellStyle name="40% - Accent2 2 2 4" xfId="168" xr:uid="{E1338F88-9CF9-4B15-8F2B-DDEDE309B299}"/>
    <cellStyle name="40% - Accent2 2 2 5" xfId="169" xr:uid="{E713B070-8EFD-4417-A394-FD20A44902DC}"/>
    <cellStyle name="40% - Accent2 2 3" xfId="170" xr:uid="{1EC47BA6-D6F8-4DA6-B214-434764B23A0F}"/>
    <cellStyle name="40% - Accent2 2 3 2" xfId="171" xr:uid="{66602FF8-1DC1-4B46-BE1F-43D878BA8458}"/>
    <cellStyle name="40% - Accent2 2 3 2 2" xfId="172" xr:uid="{9AAEEBC8-7A57-44EA-AA13-A96A5858539A}"/>
    <cellStyle name="40% - Accent2 2 3 3" xfId="173" xr:uid="{BABD963B-A43E-4FC9-BC6B-35EB7FE3E1F5}"/>
    <cellStyle name="40% - Accent2 2 4" xfId="174" xr:uid="{9F94E085-EC18-40B5-ADBC-2175959C2292}"/>
    <cellStyle name="40% - Accent2 2 4 2" xfId="175" xr:uid="{8897E5F3-4D87-4635-9D74-ADD1ED2098E0}"/>
    <cellStyle name="40% - Accent2 2 5" xfId="176" xr:uid="{5614B7AE-6E99-4458-9774-26DBF63B5AC8}"/>
    <cellStyle name="40% - Accent2 3" xfId="177" xr:uid="{4D5EB600-D7F8-4B35-8377-A3CC9F0B3A4A}"/>
    <cellStyle name="40% - Accent2 3 2" xfId="178" xr:uid="{F8558C25-8AA5-4D7E-A60B-9BC2BE63DF3A}"/>
    <cellStyle name="40% - Accent2 4" xfId="179" xr:uid="{61B25019-18AE-4702-8875-F43D53EC8C46}"/>
    <cellStyle name="40% - Accent3" xfId="180" builtinId="39" customBuiltin="1"/>
    <cellStyle name="40% - Accent3 2" xfId="181" xr:uid="{D9FB07E0-4F45-40AF-8B76-25234FC6E13E}"/>
    <cellStyle name="40% - Accent3 2 2" xfId="182" xr:uid="{843107A4-ED3E-432D-89B6-8D0D9FDDCE81}"/>
    <cellStyle name="40% - Accent3 2 2 2" xfId="183" xr:uid="{DBCAEAF7-27A9-4B21-8FDA-56753B8ADB7B}"/>
    <cellStyle name="40% - Accent3 2 2 2 2" xfId="184" xr:uid="{924B3CEA-EA70-46E3-A4F1-726B5F076107}"/>
    <cellStyle name="40% - Accent3 2 2 2 2 2" xfId="185" xr:uid="{D3F152F2-7D9C-49BE-8993-6B6B54DACDFD}"/>
    <cellStyle name="40% - Accent3 2 2 2 3" xfId="186" xr:uid="{CD1285DC-129E-4194-95D5-745318071057}"/>
    <cellStyle name="40% - Accent3 2 2 3" xfId="187" xr:uid="{CF125266-29F4-448E-8A50-412E418C98F5}"/>
    <cellStyle name="40% - Accent3 2 2 3 2" xfId="188" xr:uid="{58C423DF-6E37-42D4-8209-7DE839A80B90}"/>
    <cellStyle name="40% - Accent3 2 2 4" xfId="189" xr:uid="{195C818A-B924-4CE1-8AC8-57E7DEF9CA32}"/>
    <cellStyle name="40% - Accent3 2 2 5" xfId="190" xr:uid="{D32C9403-38E7-4A59-9F79-15B19960B616}"/>
    <cellStyle name="40% - Accent3 2 3" xfId="191" xr:uid="{BAAAE821-DD5A-4E2D-BAB4-0D952975B6C2}"/>
    <cellStyle name="40% - Accent3 2 3 2" xfId="192" xr:uid="{80146EEC-DB3F-4B46-B29B-DAB4354DD250}"/>
    <cellStyle name="40% - Accent3 2 3 2 2" xfId="193" xr:uid="{D4FEFCB8-8BD5-4F4E-8DAD-92513F4E2ECD}"/>
    <cellStyle name="40% - Accent3 2 3 3" xfId="194" xr:uid="{65454107-3C6D-4C72-AF52-6F1B881FD7C1}"/>
    <cellStyle name="40% - Accent3 2 4" xfId="195" xr:uid="{5B988DA9-5090-4172-A14A-DE8F20FD3FE5}"/>
    <cellStyle name="40% - Accent3 2 4 2" xfId="196" xr:uid="{55010A9C-5A94-4174-883E-E4CD073D1968}"/>
    <cellStyle name="40% - Accent3 2 5" xfId="197" xr:uid="{34521D1C-2208-4AA4-A225-BDCEBB3DA0AA}"/>
    <cellStyle name="40% - Accent3 3" xfId="198" xr:uid="{63833BC9-9F4C-4E8D-9C78-F16675E76B35}"/>
    <cellStyle name="40% - Accent3 3 2" xfId="199" xr:uid="{7CE01806-7093-4F82-B323-26902FE47AA2}"/>
    <cellStyle name="40% - Accent3 4" xfId="200" xr:uid="{44B21FFF-CB0B-40B7-B415-BDC1056731EE}"/>
    <cellStyle name="40% - Accent4" xfId="201" builtinId="43" customBuiltin="1"/>
    <cellStyle name="40% - Accent4 2" xfId="202" xr:uid="{EC6D7856-7B3A-4716-9430-623150DD4CDB}"/>
    <cellStyle name="40% - Accent4 2 2" xfId="203" xr:uid="{53AED9CC-7153-40F9-8441-C1743CCC902B}"/>
    <cellStyle name="40% - Accent4 2 2 2" xfId="204" xr:uid="{85D7D952-8658-4072-B87B-1BF5297F48C8}"/>
    <cellStyle name="40% - Accent4 2 2 2 2" xfId="205" xr:uid="{11046FF6-28B4-4987-B669-13FC4103627E}"/>
    <cellStyle name="40% - Accent4 2 2 2 2 2" xfId="206" xr:uid="{D2F44757-3F6C-48C9-95FF-FF20E10646F5}"/>
    <cellStyle name="40% - Accent4 2 2 2 3" xfId="207" xr:uid="{36743220-E0D7-4FEB-84BE-17D7B9746C3B}"/>
    <cellStyle name="40% - Accent4 2 2 3" xfId="208" xr:uid="{E471370E-D53F-474F-82EB-32D692DD3993}"/>
    <cellStyle name="40% - Accent4 2 2 3 2" xfId="209" xr:uid="{E1C12156-EA53-4ABB-9474-E58B6F191AFE}"/>
    <cellStyle name="40% - Accent4 2 2 4" xfId="210" xr:uid="{1967A821-4DFA-40E5-94AF-E3DC1E440395}"/>
    <cellStyle name="40% - Accent4 2 2 5" xfId="211" xr:uid="{DADAFB5F-C2D3-43E7-B9B6-F86B469DCD9E}"/>
    <cellStyle name="40% - Accent4 2 3" xfId="212" xr:uid="{4A273A65-E47C-4953-A908-B7C637334F7B}"/>
    <cellStyle name="40% - Accent4 2 3 2" xfId="213" xr:uid="{90014D83-A484-40B1-88A5-8CE94EFF2CE8}"/>
    <cellStyle name="40% - Accent4 2 3 2 2" xfId="214" xr:uid="{79ACFD47-EE98-415A-B404-D399622859BD}"/>
    <cellStyle name="40% - Accent4 2 3 3" xfId="215" xr:uid="{A9823088-CC1F-41EF-B9C0-E800CE5E50EF}"/>
    <cellStyle name="40% - Accent4 2 4" xfId="216" xr:uid="{9CB73585-9786-477F-83B0-C97849E7FD4D}"/>
    <cellStyle name="40% - Accent4 2 4 2" xfId="217" xr:uid="{7A0E3B0E-FF0E-4146-B3B1-DF65E74A2617}"/>
    <cellStyle name="40% - Accent4 2 5" xfId="218" xr:uid="{8D19AD60-02A2-4F46-A50B-3DF4EC1D65DF}"/>
    <cellStyle name="40% - Accent4 3" xfId="219" xr:uid="{B75C9818-966E-4297-81C1-D403582765D3}"/>
    <cellStyle name="40% - Accent4 3 2" xfId="220" xr:uid="{616E2E32-4BEF-41E6-A171-9E5FD9DF9133}"/>
    <cellStyle name="40% - Accent4 4" xfId="221" xr:uid="{8E2038B1-F3E8-4758-9B55-CD403708C395}"/>
    <cellStyle name="40% - Accent5" xfId="222" builtinId="47" customBuiltin="1"/>
    <cellStyle name="40% - Accent5 2" xfId="223" xr:uid="{AAC9300B-16D5-411A-89A9-4F86191C867D}"/>
    <cellStyle name="40% - Accent5 2 2" xfId="224" xr:uid="{72DE4C4B-0443-4279-98EA-EB3F7814E4CD}"/>
    <cellStyle name="40% - Accent5 2 2 2" xfId="225" xr:uid="{D4C79256-BBB4-4592-81B8-E721F6DFFA8A}"/>
    <cellStyle name="40% - Accent5 2 2 2 2" xfId="226" xr:uid="{E8C42BF4-FB50-4E69-9177-D22760C7BF21}"/>
    <cellStyle name="40% - Accent5 2 2 2 2 2" xfId="227" xr:uid="{2956C712-7B5E-4E8B-B347-C19A7302DCAA}"/>
    <cellStyle name="40% - Accent5 2 2 2 3" xfId="228" xr:uid="{099A2AEE-0810-4F36-9EB0-163CA396A5ED}"/>
    <cellStyle name="40% - Accent5 2 2 3" xfId="229" xr:uid="{511E1B86-9620-40C1-BEFB-305D5A1804C7}"/>
    <cellStyle name="40% - Accent5 2 2 3 2" xfId="230" xr:uid="{694FA2D7-FDA6-4945-A4FA-4840A93199FF}"/>
    <cellStyle name="40% - Accent5 2 2 4" xfId="231" xr:uid="{359CC675-DAAB-44ED-B9A5-3E623D499A06}"/>
    <cellStyle name="40% - Accent5 2 2 5" xfId="232" xr:uid="{D843D368-50A8-4645-9082-902FA2DF6FBA}"/>
    <cellStyle name="40% - Accent5 2 3" xfId="233" xr:uid="{A508DAA5-51D8-469A-B771-D65219C3C8C2}"/>
    <cellStyle name="40% - Accent5 2 3 2" xfId="234" xr:uid="{E0F120FA-0A1A-489E-9DD1-EBAD5DE7CA0F}"/>
    <cellStyle name="40% - Accent5 2 3 2 2" xfId="235" xr:uid="{F7C0519A-DD41-489E-8DE9-B7ED195A4E4E}"/>
    <cellStyle name="40% - Accent5 2 3 3" xfId="236" xr:uid="{8BC4A063-9910-421B-894C-4091B618DFC5}"/>
    <cellStyle name="40% - Accent5 2 4" xfId="237" xr:uid="{09578E33-1DFE-4C9F-B98D-EB1030F43D57}"/>
    <cellStyle name="40% - Accent5 2 4 2" xfId="238" xr:uid="{404F8EA6-1EF2-46CD-B7FD-447AE60B629D}"/>
    <cellStyle name="40% - Accent5 2 5" xfId="239" xr:uid="{B2AFDBC7-A1AA-433B-9AB5-18CD19367FD2}"/>
    <cellStyle name="40% - Accent5 3" xfId="240" xr:uid="{52BA8168-ED3C-4F6E-9043-1AECEFF770FF}"/>
    <cellStyle name="40% - Accent5 3 2" xfId="241" xr:uid="{9633944B-9D4C-4CA0-8F46-0F2D3B46CF3E}"/>
    <cellStyle name="40% - Accent5 4" xfId="242" xr:uid="{690791C9-EECE-48A5-9938-C663E9437650}"/>
    <cellStyle name="40% - Accent6" xfId="243" builtinId="51" customBuiltin="1"/>
    <cellStyle name="40% - Accent6 2" xfId="244" xr:uid="{827F2ED7-2ED4-4A4F-91F1-D90A125C6057}"/>
    <cellStyle name="40% - Accent6 2 2" xfId="245" xr:uid="{607EFBF8-7304-47C0-8BBD-3CE4F95A3F2F}"/>
    <cellStyle name="40% - Accent6 2 2 2" xfId="246" xr:uid="{04C8514B-8615-4CDB-A433-8BABEE78B460}"/>
    <cellStyle name="40% - Accent6 2 2 2 2" xfId="247" xr:uid="{C2962076-0C67-42B4-A53B-92C0B9FB86F6}"/>
    <cellStyle name="40% - Accent6 2 2 2 2 2" xfId="248" xr:uid="{001FD951-399B-49FD-8D1D-7906376C4BDC}"/>
    <cellStyle name="40% - Accent6 2 2 2 3" xfId="249" xr:uid="{8C974C6D-D519-49B3-9BE2-841F82B12C58}"/>
    <cellStyle name="40% - Accent6 2 2 3" xfId="250" xr:uid="{CE4BD445-41A3-4407-8060-BF1662CDF070}"/>
    <cellStyle name="40% - Accent6 2 2 3 2" xfId="251" xr:uid="{A2D7ED43-1339-49E1-AD1F-434096E7F85C}"/>
    <cellStyle name="40% - Accent6 2 2 4" xfId="252" xr:uid="{DC13589D-BC59-4A4B-9BF2-75E87A73CD9E}"/>
    <cellStyle name="40% - Accent6 2 2 5" xfId="253" xr:uid="{D6F12EA2-253B-48EF-BA13-CB943CCED4A0}"/>
    <cellStyle name="40% - Accent6 2 3" xfId="254" xr:uid="{05285642-25D7-4913-A929-679F71CB157A}"/>
    <cellStyle name="40% - Accent6 2 3 2" xfId="255" xr:uid="{0C88B6EC-9DBE-427F-B795-AAD822E37DAE}"/>
    <cellStyle name="40% - Accent6 2 3 2 2" xfId="256" xr:uid="{156721D5-0802-433D-90EF-32452A312AA8}"/>
    <cellStyle name="40% - Accent6 2 3 3" xfId="257" xr:uid="{1267912E-B53C-431D-A4C6-921C8D412C7E}"/>
    <cellStyle name="40% - Accent6 2 4" xfId="258" xr:uid="{5A671165-0CCD-44E3-84D1-D3EF54DF2E1D}"/>
    <cellStyle name="40% - Accent6 2 4 2" xfId="259" xr:uid="{10B1D146-E6A0-432D-86E3-205BF81143D5}"/>
    <cellStyle name="40% - Accent6 2 5" xfId="260" xr:uid="{D622B5FA-DB7D-412B-886A-15BB486988A6}"/>
    <cellStyle name="40% - Accent6 3" xfId="261" xr:uid="{505432A7-CC87-40D0-9EBE-2E3852D99C8E}"/>
    <cellStyle name="40% - Accent6 3 2" xfId="262" xr:uid="{FD0B53A1-58CA-48E9-8586-E7909D10699C}"/>
    <cellStyle name="40% - Accent6 4" xfId="263" xr:uid="{961854FA-D03F-4973-B83A-6614E3797176}"/>
    <cellStyle name="60% - Accent1" xfId="264" builtinId="32" customBuiltin="1"/>
    <cellStyle name="60% - Accent1 2" xfId="265" xr:uid="{21989767-F445-4C35-A7F0-5AA17570C9E0}"/>
    <cellStyle name="60% - Accent1 3" xfId="266" xr:uid="{9C80BC3C-B66F-49E6-BDA3-5FE0FD9B62C4}"/>
    <cellStyle name="60% - Accent1 3 2" xfId="267" xr:uid="{6B068A8F-F42C-4A6E-AABA-06B1BC25B90C}"/>
    <cellStyle name="60% - Accent1 4" xfId="268" xr:uid="{BB246771-EEC1-4AD4-8EAE-2CFD5DD8E152}"/>
    <cellStyle name="60% - Accent2" xfId="269" builtinId="36" customBuiltin="1"/>
    <cellStyle name="60% - Accent2 2" xfId="270" xr:uid="{3EE3FD27-F3B1-47F5-975F-77EC3AFEC567}"/>
    <cellStyle name="60% - Accent2 3" xfId="271" xr:uid="{20B6BC18-9ED5-4598-AD7D-9B942180DC9B}"/>
    <cellStyle name="60% - Accent2 3 2" xfId="272" xr:uid="{18106963-AFA5-4240-B69D-BCE07D7DD17D}"/>
    <cellStyle name="60% - Accent2 4" xfId="273" xr:uid="{C943A089-807F-4E92-9103-541AFD962CB4}"/>
    <cellStyle name="60% - Accent3" xfId="274" builtinId="40" customBuiltin="1"/>
    <cellStyle name="60% - Accent3 2" xfId="275" xr:uid="{43C6F381-4C34-4152-80F7-B77D57970947}"/>
    <cellStyle name="60% - Accent3 2 2" xfId="276" xr:uid="{EDED0FFC-286C-4897-A3AC-0B9DA21BA17C}"/>
    <cellStyle name="60% - Accent3 3" xfId="277" xr:uid="{6D196801-2175-4D09-ACE8-36A5E73E235F}"/>
    <cellStyle name="60% - Accent3 3 2" xfId="278" xr:uid="{1AE272CD-6C35-4F83-B736-CC2E4EBC6350}"/>
    <cellStyle name="60% - Accent3 4" xfId="279" xr:uid="{506C6383-2A19-483E-9222-DA5F682A34EA}"/>
    <cellStyle name="60% - Accent4" xfId="280" builtinId="44" customBuiltin="1"/>
    <cellStyle name="60% - Accent4 2" xfId="281" xr:uid="{A2433BBE-6D57-46DF-AAFE-DA7E17AB59B9}"/>
    <cellStyle name="60% - Accent4 2 2" xfId="282" xr:uid="{6BAB15C8-4739-4CA4-AE71-24BF17F0C2D6}"/>
    <cellStyle name="60% - Accent4 3" xfId="283" xr:uid="{177CDFAD-1809-4EB0-A8BE-CEED65DCECF2}"/>
    <cellStyle name="60% - Accent4 3 2" xfId="284" xr:uid="{1FE3F136-0297-43CB-ADC9-5EF76D613ABB}"/>
    <cellStyle name="60% - Accent4 4" xfId="285" xr:uid="{FE5B70EC-BA04-446F-AB3F-C74136A664B0}"/>
    <cellStyle name="60% - Accent5" xfId="286" builtinId="48" customBuiltin="1"/>
    <cellStyle name="60% - Accent5 2" xfId="287" xr:uid="{01E14D3F-7535-4ABA-B34F-E39EA44D1EE0}"/>
    <cellStyle name="60% - Accent5 3" xfId="288" xr:uid="{37574E9A-D227-454F-B609-1B14241C5EE2}"/>
    <cellStyle name="60% - Accent5 3 2" xfId="289" xr:uid="{293338D7-CBBF-4533-9267-BB63073619BA}"/>
    <cellStyle name="60% - Accent5 4" xfId="290" xr:uid="{9188EBE3-331A-4FBC-8860-77C9F858D058}"/>
    <cellStyle name="60% - Accent6" xfId="291" builtinId="52" customBuiltin="1"/>
    <cellStyle name="60% - Accent6 2" xfId="292" xr:uid="{6B91C002-6B17-4092-A365-B1BD7F0D646E}"/>
    <cellStyle name="60% - Accent6 2 2" xfId="293" xr:uid="{BA0A4B65-A96B-414C-A9D2-B914A34109B9}"/>
    <cellStyle name="60% - Accent6 3" xfId="294" xr:uid="{64A09F41-64B4-4E6B-BC54-7FB80E514712}"/>
    <cellStyle name="60% - Accent6 3 2" xfId="295" xr:uid="{08B58CDA-F295-42C4-B3B3-F4E5B40341AB}"/>
    <cellStyle name="60% - Accent6 4" xfId="296" xr:uid="{8A6B113B-C2B3-4C9E-A054-7DAE393D81C9}"/>
    <cellStyle name="Accent1" xfId="297" builtinId="29" customBuiltin="1"/>
    <cellStyle name="Accent1 2" xfId="298" xr:uid="{1C04C071-1022-4E4B-B9EA-6165666B4F5C}"/>
    <cellStyle name="Accent1 3" xfId="299" xr:uid="{E97DA58D-BD63-4D92-A1E1-23B0FE1ED3C8}"/>
    <cellStyle name="Accent1 3 2" xfId="300" xr:uid="{B0D79F7D-ABEB-4591-AA04-E9154BD4A955}"/>
    <cellStyle name="Accent1 4" xfId="301" xr:uid="{B1B1E062-7100-4326-841D-157E7D672BAD}"/>
    <cellStyle name="Accent2" xfId="302" builtinId="33" customBuiltin="1"/>
    <cellStyle name="Accent2 2" xfId="303" xr:uid="{02F89EEF-241F-40AF-B49C-0C4B2F470986}"/>
    <cellStyle name="Accent2 3" xfId="304" xr:uid="{7FB6D221-A1CB-496D-A75F-E75E983AF42B}"/>
    <cellStyle name="Accent2 3 2" xfId="305" xr:uid="{30220B28-A438-4750-A09F-45EE0E684A2D}"/>
    <cellStyle name="Accent2 4" xfId="306" xr:uid="{73F04C4F-7F9F-4C94-BC27-D75E0F14B81C}"/>
    <cellStyle name="Accent3" xfId="307" builtinId="37" customBuiltin="1"/>
    <cellStyle name="Accent3 2" xfId="308" xr:uid="{B2733F67-D0DD-4CAF-BC8C-C8ABBB18F135}"/>
    <cellStyle name="Accent3 3" xfId="309" xr:uid="{497D3998-8649-4D9E-80A4-1E01B368FDB8}"/>
    <cellStyle name="Accent3 3 2" xfId="310" xr:uid="{EFF56068-03B3-4526-9E24-AB385D929596}"/>
    <cellStyle name="Accent3 4" xfId="311" xr:uid="{B25F9CF3-DAE1-4FF9-9C3B-A03E53E0CF07}"/>
    <cellStyle name="Accent4" xfId="312" builtinId="41" customBuiltin="1"/>
    <cellStyle name="Accent4 2" xfId="313" xr:uid="{537F8DF0-5A82-4D5A-8811-DE260E0B2CDA}"/>
    <cellStyle name="Accent4 3" xfId="314" xr:uid="{0622E522-A84E-4FDD-9184-E55C33888298}"/>
    <cellStyle name="Accent4 3 2" xfId="315" xr:uid="{95A81F33-1F73-41F6-B252-61CBAD04EA9B}"/>
    <cellStyle name="Accent4 4" xfId="316" xr:uid="{5FD7CAC3-5F97-4313-9DA8-8AC7A77AFD17}"/>
    <cellStyle name="Accent5" xfId="317" builtinId="45" customBuiltin="1"/>
    <cellStyle name="Accent5 2" xfId="318" xr:uid="{E03B5534-1D7D-4B98-B146-DA945FCF948A}"/>
    <cellStyle name="Accent5 3" xfId="319" xr:uid="{0A61E276-DE54-4B4B-84D5-0EB459544CC3}"/>
    <cellStyle name="Accent5 3 2" xfId="320" xr:uid="{A3CA0F6D-EAAC-4246-BDA2-D0F9C39E8AAF}"/>
    <cellStyle name="Accent5 4" xfId="321" xr:uid="{843A970E-59EF-4F06-A080-2F0790ED646A}"/>
    <cellStyle name="Accent6" xfId="322" builtinId="49" customBuiltin="1"/>
    <cellStyle name="Accent6 2" xfId="323" xr:uid="{6BB20EB5-C3D0-48A5-A392-144A4657C373}"/>
    <cellStyle name="Accent6 3" xfId="324" xr:uid="{20F9A0ED-95B7-4B71-AEDC-C123CDD4FCE8}"/>
    <cellStyle name="Accent6 3 2" xfId="325" xr:uid="{24C634FA-9BBA-46C5-84BC-54222A383152}"/>
    <cellStyle name="Accent6 4" xfId="326" xr:uid="{42FA5438-FF71-467F-8CC4-42FD1F9D11C4}"/>
    <cellStyle name="Bad" xfId="327" builtinId="27" customBuiltin="1"/>
    <cellStyle name="Bad 2" xfId="328" xr:uid="{8052F8E6-162C-4748-8A5F-217027993854}"/>
    <cellStyle name="Bad 3" xfId="329" xr:uid="{739EFA8F-6F67-4357-AA9C-B0AE74EF91B6}"/>
    <cellStyle name="Bad 3 2" xfId="330" xr:uid="{9254B38B-CB41-4CE2-ABB4-9153E8381A41}"/>
    <cellStyle name="Bad 4" xfId="331" xr:uid="{E1A81994-6E1E-49DC-A268-B920DD4E3A8B}"/>
    <cellStyle name="Calculation" xfId="332" builtinId="22" customBuiltin="1"/>
    <cellStyle name="Calculation 2" xfId="333" xr:uid="{125494D7-DE3B-46F0-B981-6E889E811E30}"/>
    <cellStyle name="Calculation 3" xfId="334" xr:uid="{DDE5C152-C0F2-4E86-8F39-ACE630022138}"/>
    <cellStyle name="Calculation 3 2" xfId="335" xr:uid="{D8DD66A8-C1C6-455B-B180-1F248569D095}"/>
    <cellStyle name="Calculation 4" xfId="336" xr:uid="{6D63C044-C3E7-4482-9214-6B3ED2E6B1B4}"/>
    <cellStyle name="Check Cell" xfId="337" builtinId="23" customBuiltin="1"/>
    <cellStyle name="Check Cell 2" xfId="338" xr:uid="{25612B6F-73FC-43EB-8F6F-C5ED5C97467A}"/>
    <cellStyle name="Check Cell 3" xfId="339" xr:uid="{6ED2A557-A1E3-47B7-87C7-730EE1E57DC2}"/>
    <cellStyle name="Check Cell 3 2" xfId="340" xr:uid="{0CADF97C-5172-4E88-952E-C0407ECFA86B}"/>
    <cellStyle name="Check Cell 4" xfId="341" xr:uid="{13330B9C-C44F-43A4-947F-6857E2F66F65}"/>
    <cellStyle name="Comma 2" xfId="342" xr:uid="{CFBFE224-AE83-4E6E-8DE2-072559D88BE8}"/>
    <cellStyle name="Comma 2 2" xfId="343" xr:uid="{341C3334-F39F-404D-A989-758568D2B295}"/>
    <cellStyle name="Comma 2 3" xfId="344" xr:uid="{35EFC190-7BA2-41DD-B377-38AE5496D357}"/>
    <cellStyle name="Explanatory Text" xfId="345" builtinId="53" customBuiltin="1"/>
    <cellStyle name="Explanatory Text 2" xfId="346" xr:uid="{827B0143-9A1F-4C73-89A9-BE3D8CAA214A}"/>
    <cellStyle name="Explanatory Text 3" xfId="347" xr:uid="{6E77A6CA-0ACE-48D7-A24C-BD36C074C6D7}"/>
    <cellStyle name="Explanatory Text 3 2" xfId="348" xr:uid="{90358C30-4948-4647-982E-45465FDC1D84}"/>
    <cellStyle name="Explanatory Text 4" xfId="349" xr:uid="{CEF6BEE4-41EB-488C-B138-195C80784534}"/>
    <cellStyle name="Good" xfId="350" builtinId="26" customBuiltin="1"/>
    <cellStyle name="Good 2" xfId="351" xr:uid="{2C7A9D4C-12E9-4341-9F63-62F559032F08}"/>
    <cellStyle name="Good 3" xfId="352" xr:uid="{446F3B26-CA23-42C2-B1F2-11EA871FD1B7}"/>
    <cellStyle name="Good 3 2" xfId="353" xr:uid="{7E9068FA-5F2C-44DA-AFF6-15F4B540717B}"/>
    <cellStyle name="Good 4" xfId="354" xr:uid="{6C09C227-8CCF-40DC-BF2B-634D2D10406A}"/>
    <cellStyle name="Heading 1" xfId="355" builtinId="16" customBuiltin="1"/>
    <cellStyle name="Heading 1 2" xfId="356" xr:uid="{DB93A8F7-F14B-49A6-9511-9ED0BE92CA7C}"/>
    <cellStyle name="Heading 1 3" xfId="357" xr:uid="{F70629DF-5395-4BA1-9B38-E359ADCBF190}"/>
    <cellStyle name="Heading 1 3 2" xfId="358" xr:uid="{185B8CC0-DDA5-4553-B5EF-A8C674329978}"/>
    <cellStyle name="Heading 1 4" xfId="359" xr:uid="{EE348871-C3BB-4301-8919-EC36BCF06EAB}"/>
    <cellStyle name="Heading 2" xfId="360" builtinId="17" customBuiltin="1"/>
    <cellStyle name="Heading 2 2" xfId="361" xr:uid="{0173E6F6-C0A1-477B-9162-2CD5BF837251}"/>
    <cellStyle name="Heading 2 3" xfId="362" xr:uid="{1824AEEF-4697-4EDA-9A5A-A37C4A89D813}"/>
    <cellStyle name="Heading 2 3 2" xfId="363" xr:uid="{5E299542-DF2C-43CB-8011-F104A17F4BBA}"/>
    <cellStyle name="Heading 2 4" xfId="364" xr:uid="{A5AE46AC-25C5-4AEA-B5EB-5C15E913F089}"/>
    <cellStyle name="Heading 3" xfId="365" builtinId="18" customBuiltin="1"/>
    <cellStyle name="Heading 3 2" xfId="366" xr:uid="{FB315BD4-899A-4549-94FA-9C896EFFF38F}"/>
    <cellStyle name="Heading 3 3" xfId="367" xr:uid="{DFA66943-AE16-4165-B63E-6C49BD663977}"/>
    <cellStyle name="Heading 3 3 2" xfId="368" xr:uid="{D33625E2-B4CE-4D9D-92F0-F6453813B3C4}"/>
    <cellStyle name="Heading 3 4" xfId="369" xr:uid="{2E3A5729-454E-4B5C-93D0-C05B98162E40}"/>
    <cellStyle name="Heading 4" xfId="370" builtinId="19" customBuiltin="1"/>
    <cellStyle name="Heading 4 2" xfId="371" xr:uid="{AAB4F8C4-B6C7-461B-98D5-BBA478276749}"/>
    <cellStyle name="Heading 4 3" xfId="372" xr:uid="{C063BFE9-95E2-4F89-9FC8-939013FEADB5}"/>
    <cellStyle name="Heading 4 3 2" xfId="373" xr:uid="{0E6D8495-1CC8-4AF5-891D-679B8B2D9BBA}"/>
    <cellStyle name="Heading 4 4" xfId="374" xr:uid="{65664367-1DFB-4FC9-87C3-29D1A7A0A247}"/>
    <cellStyle name="Hyperlink" xfId="375" builtinId="8"/>
    <cellStyle name="Hyperlink 2" xfId="376" xr:uid="{73047B8A-0270-4BC1-8B96-6FC1525B5B7F}"/>
    <cellStyle name="Input" xfId="377" builtinId="20" customBuiltin="1"/>
    <cellStyle name="Input 2" xfId="378" xr:uid="{1D3EC3FA-80A3-4F8A-B4E2-9BB9FEB38035}"/>
    <cellStyle name="Input 3" xfId="379" xr:uid="{7F452B1E-6215-4DBD-9454-35D8AEB16FAB}"/>
    <cellStyle name="Input 3 2" xfId="380" xr:uid="{59A940B3-1126-4D92-A50F-3D7CFE6F577F}"/>
    <cellStyle name="Input 4" xfId="381" xr:uid="{0EBF2EDD-DE59-41A0-956C-C39182C24659}"/>
    <cellStyle name="Linked Cell" xfId="382" builtinId="24" customBuiltin="1"/>
    <cellStyle name="Linked Cell 2" xfId="383" xr:uid="{341A5CF2-8E51-46FF-87FA-93649455FFB4}"/>
    <cellStyle name="Linked Cell 3" xfId="384" xr:uid="{594A4891-4078-48A6-889B-D09277331E30}"/>
    <cellStyle name="Linked Cell 3 2" xfId="385" xr:uid="{4C4EAE54-B0ED-4352-A542-5C18ABDBC693}"/>
    <cellStyle name="Linked Cell 4" xfId="386" xr:uid="{29784171-1DF0-4522-9AC8-1F84643188FC}"/>
    <cellStyle name="Neutral" xfId="387" builtinId="28" customBuiltin="1"/>
    <cellStyle name="Neutral 2" xfId="388" xr:uid="{22E68120-3D9F-4DC1-B1C0-D0F67C829EA3}"/>
    <cellStyle name="Neutral 3" xfId="389" xr:uid="{CFB68371-CDB2-419D-95DD-164CDC660D22}"/>
    <cellStyle name="Neutral 3 2" xfId="390" xr:uid="{1254CFCD-DA4F-44BD-923F-9FCB361CD539}"/>
    <cellStyle name="Neutral 4" xfId="391" xr:uid="{53E21EEC-B5C6-4A1B-97FC-9A0FF52E443E}"/>
    <cellStyle name="Normal" xfId="0" builtinId="0"/>
    <cellStyle name="Normal 2" xfId="392" xr:uid="{A4E4DE0E-5DC5-4BCF-A4E6-4C21D0E6A386}"/>
    <cellStyle name="Normal 2 2" xfId="393" xr:uid="{853A92D0-E5DD-4A56-BE96-484FE014EC23}"/>
    <cellStyle name="Normal 2 3" xfId="394" xr:uid="{F56AFB8E-244B-465D-8D6E-109889CA097A}"/>
    <cellStyle name="Normal 2 3 2" xfId="395" xr:uid="{BF4CBBBB-64B8-4FFA-BF0E-2A3D16CE5C5A}"/>
    <cellStyle name="Normal 2 3 2 2" xfId="396" xr:uid="{DA63DB29-CB94-420C-8106-A7DB531BAC16}"/>
    <cellStyle name="Normal 2 3 2 2 2" xfId="397" xr:uid="{F34E0D8A-5BF2-4672-A7CD-54A564FB18F5}"/>
    <cellStyle name="Normal 2 3 2 3" xfId="398" xr:uid="{0DC22415-B728-4AB0-BE20-2B6CFB18E332}"/>
    <cellStyle name="Normal 2 3 3" xfId="399" xr:uid="{F242E5BC-641D-4EF0-88B4-1FD3F31C8126}"/>
    <cellStyle name="Normal 2 3 3 2" xfId="400" xr:uid="{E0D9417A-CA89-4020-81F3-D108DA2820BA}"/>
    <cellStyle name="Normal 2 3 3 3" xfId="401" xr:uid="{928CB216-6B95-48A0-BC5F-6CE2D3FE39C6}"/>
    <cellStyle name="Normal 2 3 4" xfId="402" xr:uid="{A398CB93-6770-4103-8EFA-E94D353CC89B}"/>
    <cellStyle name="Normal 2 3 5" xfId="403" xr:uid="{3DE719E4-0B70-4381-882D-197D5D013FDF}"/>
    <cellStyle name="Normal 2 4" xfId="404" xr:uid="{00AFF74C-715A-4F37-A55E-543D374F6456}"/>
    <cellStyle name="Normal 2 4 2" xfId="405" xr:uid="{0D12E044-EDA9-4DCE-953D-6BFF4E463166}"/>
    <cellStyle name="Normal 2 4 2 2" xfId="406" xr:uid="{D5B86183-DB2D-44B1-AE64-89D0AA327439}"/>
    <cellStyle name="Normal 2 4 3" xfId="407" xr:uid="{CA2F14C3-3DA6-4DE7-B6E0-EBFA43E5AEF1}"/>
    <cellStyle name="Normal 2 5" xfId="408" xr:uid="{47114C2E-62F8-43FC-AB1A-D45CB3F6BAB3}"/>
    <cellStyle name="Normal 2 5 2" xfId="409" xr:uid="{7CE5AA84-C30B-4A91-8644-DF2023300267}"/>
    <cellStyle name="Normal 2 6" xfId="410" xr:uid="{1EF5D129-249E-48B2-8454-64D3B6E50D41}"/>
    <cellStyle name="Normal 3" xfId="411" xr:uid="{EEF6BFC4-F4CA-4B17-9DBE-642D73054AA8}"/>
    <cellStyle name="Normal 3 2" xfId="412" xr:uid="{833275FD-061F-4401-A65E-0064385FA07C}"/>
    <cellStyle name="Normal 4" xfId="413" xr:uid="{37EE6108-DFBA-489F-9BD5-2CE3616E25BB}"/>
    <cellStyle name="Normal 4 2" xfId="414" xr:uid="{D5DDF876-03FF-4A38-B9C7-24CC87966999}"/>
    <cellStyle name="Normal 4 2 2" xfId="415" xr:uid="{AB48F576-4EE8-47AD-B939-4A450A741C85}"/>
    <cellStyle name="Normal 4 2 3" xfId="416" xr:uid="{791E7EA8-DC89-49CC-BDB8-8C225BA69AA3}"/>
    <cellStyle name="Normal 4 2 4" xfId="417" xr:uid="{1DBA3904-0353-45FC-B2E9-D2B55939EFA5}"/>
    <cellStyle name="Normal 4 3" xfId="418" xr:uid="{742E6C83-85DC-41CC-8D22-B314B82408D0}"/>
    <cellStyle name="Normal 5" xfId="419" xr:uid="{1592639F-76AA-4EFF-A451-566CC09B974E}"/>
    <cellStyle name="Normal 5 2" xfId="420" xr:uid="{2F8DC9CF-7E0C-4B8B-95AB-866F8999985C}"/>
    <cellStyle name="Normal 6" xfId="421" xr:uid="{4FD10F21-A66A-42F6-A438-D18A37BE26DA}"/>
    <cellStyle name="Normal 7" xfId="422" xr:uid="{CB9F47DC-832F-4B61-8036-60C2A9BAC66B}"/>
    <cellStyle name="Note" xfId="423" builtinId="10" customBuiltin="1"/>
    <cellStyle name="Note 2" xfId="424" xr:uid="{D2E7B726-D255-45AF-9E4A-C4277090F163}"/>
    <cellStyle name="Note 2 2" xfId="425" xr:uid="{851BD17B-4F1F-4B1A-95EC-6020755CD077}"/>
    <cellStyle name="Note 2 2 2" xfId="426" xr:uid="{11E6703E-8EB4-480F-8FF6-B905A497E7B3}"/>
    <cellStyle name="Note 2 2 2 2" xfId="427" xr:uid="{E1BC089E-0D1C-4AB3-835A-DB722D2E605E}"/>
    <cellStyle name="Note 2 2 2 2 2" xfId="428" xr:uid="{002A4CA3-FF9D-4ECF-B979-1AA575117C25}"/>
    <cellStyle name="Note 2 2 2 3" xfId="429" xr:uid="{543F7D01-63D4-4673-A375-126E6DA4BFFC}"/>
    <cellStyle name="Note 2 2 3" xfId="430" xr:uid="{2943C027-C893-486C-B3CE-75E25A8CC248}"/>
    <cellStyle name="Note 2 2 3 2" xfId="431" xr:uid="{64301A95-7486-4072-8E5E-BFFA9D556779}"/>
    <cellStyle name="Note 2 2 4" xfId="432" xr:uid="{3618C41E-CEB4-433C-8784-92F47B47648F}"/>
    <cellStyle name="Note 2 2 5" xfId="433" xr:uid="{C5DEA099-436E-49E8-A498-46724D25BD28}"/>
    <cellStyle name="Note 2 3" xfId="434" xr:uid="{8FC5199B-3F20-4983-8919-7E822BD58116}"/>
    <cellStyle name="Note 2 3 2" xfId="435" xr:uid="{84C3FC19-DB23-487C-BA94-D321405575AB}"/>
    <cellStyle name="Note 2 3 2 2" xfId="436" xr:uid="{C1727DFC-F262-479F-AB0A-DB02EBC70C6B}"/>
    <cellStyle name="Note 2 3 3" xfId="437" xr:uid="{55917AEA-1E0E-492A-9572-37B4B9B07153}"/>
    <cellStyle name="Note 2 4" xfId="438" xr:uid="{053FFA07-DB05-4506-B565-402B962E6D26}"/>
    <cellStyle name="Note 2 4 2" xfId="439" xr:uid="{FFAC9FFD-B64B-4BA3-9997-B756C883A643}"/>
    <cellStyle name="Note 2 5" xfId="440" xr:uid="{6A255498-6748-4A0C-9752-661854B82C87}"/>
    <cellStyle name="Note 3" xfId="441" xr:uid="{9A5DEFB7-DAEE-4E79-AD96-F7824F288D3F}"/>
    <cellStyle name="Output" xfId="442" builtinId="21" customBuiltin="1"/>
    <cellStyle name="Output 2" xfId="443" xr:uid="{88EF28F7-DAB4-4D65-82B5-885453B4CFDF}"/>
    <cellStyle name="Output 3" xfId="444" xr:uid="{A3FD3DF4-4455-4633-9BF3-855843372996}"/>
    <cellStyle name="Output 3 2" xfId="445" xr:uid="{5C90A0A1-48CA-47C9-9DBC-28F10C38F46C}"/>
    <cellStyle name="Output 4" xfId="446" xr:uid="{54E833F8-D20F-482F-8C5A-3799D4726A6A}"/>
    <cellStyle name="Title" xfId="447" builtinId="15" customBuiltin="1"/>
    <cellStyle name="Title 2" xfId="448" xr:uid="{C1AA4044-7122-4A44-91FA-E4E0D890DCCA}"/>
    <cellStyle name="Total" xfId="449" builtinId="25" customBuiltin="1"/>
    <cellStyle name="Total 2" xfId="450" xr:uid="{AC82CFD6-4809-4E39-8524-66F74F89B464}"/>
    <cellStyle name="Total 3" xfId="451" xr:uid="{52789FB0-0C15-41E8-B705-0AA9DAC6EBE0}"/>
    <cellStyle name="Total 3 2" xfId="452" xr:uid="{955BF1E9-16EB-4D74-A44B-7F38109FF592}"/>
    <cellStyle name="Total 4" xfId="453" xr:uid="{489FDC9D-F4D4-489D-8F04-89FFE9D7C523}"/>
    <cellStyle name="Warning Text" xfId="454" builtinId="11" customBuiltin="1"/>
    <cellStyle name="Warning Text 2" xfId="455" xr:uid="{25C958E7-A025-438E-B0A0-9DF69913716E}"/>
    <cellStyle name="Warning Text 3" xfId="456" xr:uid="{515BAF5F-5E6B-4905-9930-1CFEC32ED73B}"/>
    <cellStyle name="Warning Text 3 2" xfId="457" xr:uid="{9E191BAC-C4AA-4489-9B1C-02180350D70B}"/>
    <cellStyle name="Warning Text 4" xfId="458" xr:uid="{52D9C692-BF12-4EF7-B52F-DEBE8BC0F1D5}"/>
  </cellStyles>
  <dxfs count="23">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s>
  <tableStyles count="7" defaultTableStyle="TableStyleMedium2" defaultPivotStyle="PivotStyleLight16">
    <tableStyle name="ClosureRpt" pivot="0" table="0" count="2" xr9:uid="{1510E59C-A13D-44CF-9A5A-196A83D9F971}">
      <tableStyleElement type="wholeTable" dxfId="22"/>
      <tableStyleElement type="headerRow" dxfId="21"/>
    </tableStyle>
    <tableStyle name="ClosureRpt 2" pivot="0" table="0" count="2" xr9:uid="{53E7C76E-6A63-4C5C-BBBF-BBFBF7EDB5AC}">
      <tableStyleElement type="wholeTable" dxfId="20"/>
      <tableStyleElement type="headerRow" dxfId="19"/>
    </tableStyle>
    <tableStyle name="ClosureRpt 3" pivot="0" table="0" count="2" xr9:uid="{0EDFDD6F-E977-4BC5-B30A-44FACA3F65AF}">
      <tableStyleElement type="wholeTable" dxfId="18"/>
      <tableStyleElement type="headerRow" dxfId="17"/>
    </tableStyle>
    <tableStyle name="ClosureRpt 4" pivot="0" table="0" count="2" xr9:uid="{6F313F84-EE9B-4AD5-88E3-9C7140FC217B}">
      <tableStyleElement type="wholeTable" dxfId="16"/>
      <tableStyleElement type="headerRow" dxfId="15"/>
    </tableStyle>
    <tableStyle name="ClosureRpt 5" pivot="0" table="0" count="2" xr9:uid="{B175135D-E846-4DFF-AD85-F4162F757744}">
      <tableStyleElement type="wholeTable" dxfId="14"/>
      <tableStyleElement type="headerRow" dxfId="13"/>
    </tableStyle>
    <tableStyle name="ClosureRpt 6" pivot="0" table="0" count="2" xr9:uid="{C16379D2-38BE-445F-9953-2FFFE4132743}">
      <tableStyleElement type="wholeTable" dxfId="12"/>
      <tableStyleElement type="headerRow" dxfId="11"/>
    </tableStyle>
    <tableStyle name="ClosureRpt 7" pivot="0" table="0" count="2" xr9:uid="{5EADC49E-4006-436D-968B-31F3DCF4D027}">
      <tableStyleElement type="wholeTable" dxfId="10"/>
      <tableStyleElement type="headerRow" dxfId="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5.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6.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7.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8.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xdr:from>
      <xdr:col>3</xdr:col>
      <xdr:colOff>1276350</xdr:colOff>
      <xdr:row>0</xdr:row>
      <xdr:rowOff>76200</xdr:rowOff>
    </xdr:from>
    <xdr:to>
      <xdr:col>5</xdr:col>
      <xdr:colOff>304800</xdr:colOff>
      <xdr:row>1</xdr:row>
      <xdr:rowOff>114300</xdr:rowOff>
    </xdr:to>
    <xdr:pic>
      <xdr:nvPicPr>
        <xdr:cNvPr id="1397" name="Picture 1" descr="National Highways Logo">
          <a:extLst>
            <a:ext uri="{FF2B5EF4-FFF2-40B4-BE49-F238E27FC236}">
              <a16:creationId xmlns:a16="http://schemas.microsoft.com/office/drawing/2014/main" id="{AE96BC23-AA70-0A9D-BA59-E45340CB416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092700" y="76200"/>
          <a:ext cx="1879600" cy="495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21328" name="Picture 6">
          <a:extLst>
            <a:ext uri="{FF2B5EF4-FFF2-40B4-BE49-F238E27FC236}">
              <a16:creationId xmlns:a16="http://schemas.microsoft.com/office/drawing/2014/main" id="{C43ED9F1-CF42-4C62-1A66-B13C1F5845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21329" name="Picture 8">
          <a:extLst>
            <a:ext uri="{FF2B5EF4-FFF2-40B4-BE49-F238E27FC236}">
              <a16:creationId xmlns:a16="http://schemas.microsoft.com/office/drawing/2014/main" id="{A3D3FEF1-B169-72E1-7B8B-41BEF2112F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21330" name="Picture 4">
          <a:extLst>
            <a:ext uri="{FF2B5EF4-FFF2-40B4-BE49-F238E27FC236}">
              <a16:creationId xmlns:a16="http://schemas.microsoft.com/office/drawing/2014/main" id="{6B2E9440-A3FE-5BDA-501F-94799A5902A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209550</xdr:rowOff>
    </xdr:to>
    <xdr:pic>
      <xdr:nvPicPr>
        <xdr:cNvPr id="21331" name="Picture 5">
          <a:extLst>
            <a:ext uri="{FF2B5EF4-FFF2-40B4-BE49-F238E27FC236}">
              <a16:creationId xmlns:a16="http://schemas.microsoft.com/office/drawing/2014/main" id="{8FF139E7-3AEF-97D0-4731-564A7526570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622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21332" name="Picture 7">
          <a:extLst>
            <a:ext uri="{FF2B5EF4-FFF2-40B4-BE49-F238E27FC236}">
              <a16:creationId xmlns:a16="http://schemas.microsoft.com/office/drawing/2014/main" id="{0531F537-0429-1F5A-E30E-76EFEDAC39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906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30356" name="Picture 4">
          <a:extLst>
            <a:ext uri="{FF2B5EF4-FFF2-40B4-BE49-F238E27FC236}">
              <a16:creationId xmlns:a16="http://schemas.microsoft.com/office/drawing/2014/main" id="{329B1A96-36E1-98D1-C234-1325C219A16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0357" name="Picture 5">
          <a:extLst>
            <a:ext uri="{FF2B5EF4-FFF2-40B4-BE49-F238E27FC236}">
              <a16:creationId xmlns:a16="http://schemas.microsoft.com/office/drawing/2014/main" id="{58A94F11-E305-C8E0-9D95-88FB22B1534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0358" name="Picture 6">
          <a:extLst>
            <a:ext uri="{FF2B5EF4-FFF2-40B4-BE49-F238E27FC236}">
              <a16:creationId xmlns:a16="http://schemas.microsoft.com/office/drawing/2014/main" id="{12132B80-8FA9-9D9E-9AB6-C024A1CF56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0359" name="Picture 7">
          <a:extLst>
            <a:ext uri="{FF2B5EF4-FFF2-40B4-BE49-F238E27FC236}">
              <a16:creationId xmlns:a16="http://schemas.microsoft.com/office/drawing/2014/main" id="{3C471ABE-8170-6978-8E64-D9F9E32964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0360" name="Picture 8">
          <a:extLst>
            <a:ext uri="{FF2B5EF4-FFF2-40B4-BE49-F238E27FC236}">
              <a16:creationId xmlns:a16="http://schemas.microsoft.com/office/drawing/2014/main" id="{4E3B95C3-A68C-A5B4-AF2C-DCB4D941FC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049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0361" name="Picture 9">
          <a:extLst>
            <a:ext uri="{FF2B5EF4-FFF2-40B4-BE49-F238E27FC236}">
              <a16:creationId xmlns:a16="http://schemas.microsoft.com/office/drawing/2014/main" id="{9998FE36-39A1-CA74-16F8-B71800F2DDA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0362" name="Picture 10">
          <a:extLst>
            <a:ext uri="{FF2B5EF4-FFF2-40B4-BE49-F238E27FC236}">
              <a16:creationId xmlns:a16="http://schemas.microsoft.com/office/drawing/2014/main" id="{9096CA97-AF1F-F5DB-B420-B4EBD6264EC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133350</xdr:rowOff>
    </xdr:to>
    <xdr:pic>
      <xdr:nvPicPr>
        <xdr:cNvPr id="30363" name="Picture 11">
          <a:extLst>
            <a:ext uri="{FF2B5EF4-FFF2-40B4-BE49-F238E27FC236}">
              <a16:creationId xmlns:a16="http://schemas.microsoft.com/office/drawing/2014/main" id="{CA40DDFA-9582-3F5D-59DE-E2AB73BE477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46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209550</xdr:rowOff>
    </xdr:to>
    <xdr:pic>
      <xdr:nvPicPr>
        <xdr:cNvPr id="30364" name="Picture 12">
          <a:extLst>
            <a:ext uri="{FF2B5EF4-FFF2-40B4-BE49-F238E27FC236}">
              <a16:creationId xmlns:a16="http://schemas.microsoft.com/office/drawing/2014/main" id="{57D3AB78-8CC0-B4F8-24C7-C55A0BE4AE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622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0365" name="Picture 13">
          <a:extLst>
            <a:ext uri="{FF2B5EF4-FFF2-40B4-BE49-F238E27FC236}">
              <a16:creationId xmlns:a16="http://schemas.microsoft.com/office/drawing/2014/main" id="{9164B7E1-842F-5221-16A4-93BC59CA27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049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1380" name="Picture 4">
          <a:extLst>
            <a:ext uri="{FF2B5EF4-FFF2-40B4-BE49-F238E27FC236}">
              <a16:creationId xmlns:a16="http://schemas.microsoft.com/office/drawing/2014/main" id="{296AFF9B-6B0D-5B7C-A7F6-A048914582A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1" name="Picture 5">
          <a:extLst>
            <a:ext uri="{FF2B5EF4-FFF2-40B4-BE49-F238E27FC236}">
              <a16:creationId xmlns:a16="http://schemas.microsoft.com/office/drawing/2014/main" id="{7A009D6E-13FF-6686-1431-AE38697CC96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2" name="Picture 6">
          <a:extLst>
            <a:ext uri="{FF2B5EF4-FFF2-40B4-BE49-F238E27FC236}">
              <a16:creationId xmlns:a16="http://schemas.microsoft.com/office/drawing/2014/main" id="{41EB2B63-7603-AB1C-C197-DA0201EF7A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3" name="Picture 7">
          <a:extLst>
            <a:ext uri="{FF2B5EF4-FFF2-40B4-BE49-F238E27FC236}">
              <a16:creationId xmlns:a16="http://schemas.microsoft.com/office/drawing/2014/main" id="{18D1F570-F56B-4EA2-A360-76C745E74ED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1384" name="Picture 8">
          <a:extLst>
            <a:ext uri="{FF2B5EF4-FFF2-40B4-BE49-F238E27FC236}">
              <a16:creationId xmlns:a16="http://schemas.microsoft.com/office/drawing/2014/main" id="{E703761B-48E3-6E88-3B3B-7CBEEC0355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636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5" name="Picture 9">
          <a:extLst>
            <a:ext uri="{FF2B5EF4-FFF2-40B4-BE49-F238E27FC236}">
              <a16:creationId xmlns:a16="http://schemas.microsoft.com/office/drawing/2014/main" id="{92BD6CA9-758A-FCED-2627-A201CADECB2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6" name="Picture 10">
          <a:extLst>
            <a:ext uri="{FF2B5EF4-FFF2-40B4-BE49-F238E27FC236}">
              <a16:creationId xmlns:a16="http://schemas.microsoft.com/office/drawing/2014/main" id="{563A6A12-ACC5-D3E3-0643-65905F09FD8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7" name="Picture 11">
          <a:extLst>
            <a:ext uri="{FF2B5EF4-FFF2-40B4-BE49-F238E27FC236}">
              <a16:creationId xmlns:a16="http://schemas.microsoft.com/office/drawing/2014/main" id="{D4E9B2B5-15C7-0553-D737-8BF56FF7C89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8" name="Picture 12">
          <a:extLst>
            <a:ext uri="{FF2B5EF4-FFF2-40B4-BE49-F238E27FC236}">
              <a16:creationId xmlns:a16="http://schemas.microsoft.com/office/drawing/2014/main" id="{7D7109D2-8DFA-856A-7F77-6046D67883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1389" name="Picture 13">
          <a:extLst>
            <a:ext uri="{FF2B5EF4-FFF2-40B4-BE49-F238E27FC236}">
              <a16:creationId xmlns:a16="http://schemas.microsoft.com/office/drawing/2014/main" id="{88008931-4ECF-F6A1-D1DC-22E950BF35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636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36124" name="Picture 5">
          <a:extLst>
            <a:ext uri="{FF2B5EF4-FFF2-40B4-BE49-F238E27FC236}">
              <a16:creationId xmlns:a16="http://schemas.microsoft.com/office/drawing/2014/main" id="{C861B405-CFCC-FBD6-EED1-275B3FBE2D6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25" name="Picture 6">
          <a:extLst>
            <a:ext uri="{FF2B5EF4-FFF2-40B4-BE49-F238E27FC236}">
              <a16:creationId xmlns:a16="http://schemas.microsoft.com/office/drawing/2014/main" id="{1A625646-6ED3-5C63-6384-58D447FFC29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26" name="Picture 7">
          <a:extLst>
            <a:ext uri="{FF2B5EF4-FFF2-40B4-BE49-F238E27FC236}">
              <a16:creationId xmlns:a16="http://schemas.microsoft.com/office/drawing/2014/main" id="{9B116809-0FAB-56EA-6AC2-125CB827119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27" name="Picture 8">
          <a:extLst>
            <a:ext uri="{FF2B5EF4-FFF2-40B4-BE49-F238E27FC236}">
              <a16:creationId xmlns:a16="http://schemas.microsoft.com/office/drawing/2014/main" id="{83360EAD-E306-0526-5D8A-6DB490996C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28" name="Picture 9">
          <a:extLst>
            <a:ext uri="{FF2B5EF4-FFF2-40B4-BE49-F238E27FC236}">
              <a16:creationId xmlns:a16="http://schemas.microsoft.com/office/drawing/2014/main" id="{647BB3B9-82FB-13F4-9DC6-7AB91860C6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29" name="Picture 10">
          <a:extLst>
            <a:ext uri="{FF2B5EF4-FFF2-40B4-BE49-F238E27FC236}">
              <a16:creationId xmlns:a16="http://schemas.microsoft.com/office/drawing/2014/main" id="{C158442B-73BD-D5B4-A1DC-EFF66E61D3C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0" name="Picture 11">
          <a:extLst>
            <a:ext uri="{FF2B5EF4-FFF2-40B4-BE49-F238E27FC236}">
              <a16:creationId xmlns:a16="http://schemas.microsoft.com/office/drawing/2014/main" id="{A019F573-6B98-55A5-C78C-B2EE0DF37F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1" name="Picture 12">
          <a:extLst>
            <a:ext uri="{FF2B5EF4-FFF2-40B4-BE49-F238E27FC236}">
              <a16:creationId xmlns:a16="http://schemas.microsoft.com/office/drawing/2014/main" id="{1903CF71-FF8E-1FD2-3B12-2BC47E0A39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2" name="Picture 13">
          <a:extLst>
            <a:ext uri="{FF2B5EF4-FFF2-40B4-BE49-F238E27FC236}">
              <a16:creationId xmlns:a16="http://schemas.microsoft.com/office/drawing/2014/main" id="{79E598ED-5B4C-0325-5F58-AA0132ED32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33" name="Picture 14">
          <a:extLst>
            <a:ext uri="{FF2B5EF4-FFF2-40B4-BE49-F238E27FC236}">
              <a16:creationId xmlns:a16="http://schemas.microsoft.com/office/drawing/2014/main" id="{5D235DEE-BB32-F195-DC06-A849172C4F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4" name="Picture 15">
          <a:extLst>
            <a:ext uri="{FF2B5EF4-FFF2-40B4-BE49-F238E27FC236}">
              <a16:creationId xmlns:a16="http://schemas.microsoft.com/office/drawing/2014/main" id="{F44D1923-0420-9769-C001-A261400782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5" name="Picture 16">
          <a:extLst>
            <a:ext uri="{FF2B5EF4-FFF2-40B4-BE49-F238E27FC236}">
              <a16:creationId xmlns:a16="http://schemas.microsoft.com/office/drawing/2014/main" id="{7C923DB4-CACD-5D11-8024-79A9CD9E85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6" name="Picture 17">
          <a:extLst>
            <a:ext uri="{FF2B5EF4-FFF2-40B4-BE49-F238E27FC236}">
              <a16:creationId xmlns:a16="http://schemas.microsoft.com/office/drawing/2014/main" id="{86A0F190-7DA7-5B06-DED6-9582EDA0EE1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7" name="Picture 18">
          <a:extLst>
            <a:ext uri="{FF2B5EF4-FFF2-40B4-BE49-F238E27FC236}">
              <a16:creationId xmlns:a16="http://schemas.microsoft.com/office/drawing/2014/main" id="{4ABE849C-C91E-B739-BE2A-3DFD62741F5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38" name="Picture 19">
          <a:extLst>
            <a:ext uri="{FF2B5EF4-FFF2-40B4-BE49-F238E27FC236}">
              <a16:creationId xmlns:a16="http://schemas.microsoft.com/office/drawing/2014/main" id="{DE53FCBE-D523-E02B-6427-416AC5034B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9" name="Picture 20">
          <a:extLst>
            <a:ext uri="{FF2B5EF4-FFF2-40B4-BE49-F238E27FC236}">
              <a16:creationId xmlns:a16="http://schemas.microsoft.com/office/drawing/2014/main" id="{687975C2-9350-40FD-80BB-BDAB591F58B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40" name="Picture 21">
          <a:extLst>
            <a:ext uri="{FF2B5EF4-FFF2-40B4-BE49-F238E27FC236}">
              <a16:creationId xmlns:a16="http://schemas.microsoft.com/office/drawing/2014/main" id="{767034AA-A331-403B-5EFC-65628E488D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41" name="Picture 22">
          <a:extLst>
            <a:ext uri="{FF2B5EF4-FFF2-40B4-BE49-F238E27FC236}">
              <a16:creationId xmlns:a16="http://schemas.microsoft.com/office/drawing/2014/main" id="{F2530346-1FDD-8F5B-8B54-88D1C65F0EF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42" name="Picture 23">
          <a:extLst>
            <a:ext uri="{FF2B5EF4-FFF2-40B4-BE49-F238E27FC236}">
              <a16:creationId xmlns:a16="http://schemas.microsoft.com/office/drawing/2014/main" id="{B0F7373B-ADF4-337F-4A13-89CC88ED08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43" name="Picture 24">
          <a:extLst>
            <a:ext uri="{FF2B5EF4-FFF2-40B4-BE49-F238E27FC236}">
              <a16:creationId xmlns:a16="http://schemas.microsoft.com/office/drawing/2014/main" id="{9132317B-C524-5197-368C-1D7A9FD789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2" name="Picture 4">
          <a:extLst>
            <a:ext uri="{FF2B5EF4-FFF2-40B4-BE49-F238E27FC236}">
              <a16:creationId xmlns:a16="http://schemas.microsoft.com/office/drawing/2014/main" id="{3876D004-3ABF-4544-95B3-F72538EC1EB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 name="Picture 5">
          <a:extLst>
            <a:ext uri="{FF2B5EF4-FFF2-40B4-BE49-F238E27FC236}">
              <a16:creationId xmlns:a16="http://schemas.microsoft.com/office/drawing/2014/main" id="{0B0C0FAD-BD16-445C-9802-5EB020267BA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4" name="Picture 6">
          <a:extLst>
            <a:ext uri="{FF2B5EF4-FFF2-40B4-BE49-F238E27FC236}">
              <a16:creationId xmlns:a16="http://schemas.microsoft.com/office/drawing/2014/main" id="{80C98ABB-1224-4ED1-B4BD-8D4F7BDC02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5" name="Picture 7">
          <a:extLst>
            <a:ext uri="{FF2B5EF4-FFF2-40B4-BE49-F238E27FC236}">
              <a16:creationId xmlns:a16="http://schemas.microsoft.com/office/drawing/2014/main" id="{AA8FA0CD-5508-44AA-B090-40E66116F44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6" name="Picture 8">
          <a:extLst>
            <a:ext uri="{FF2B5EF4-FFF2-40B4-BE49-F238E27FC236}">
              <a16:creationId xmlns:a16="http://schemas.microsoft.com/office/drawing/2014/main" id="{4346D847-7965-49A5-9DD3-941D4B1627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077950" y="0"/>
          <a:ext cx="0"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7" name="Picture 9">
          <a:extLst>
            <a:ext uri="{FF2B5EF4-FFF2-40B4-BE49-F238E27FC236}">
              <a16:creationId xmlns:a16="http://schemas.microsoft.com/office/drawing/2014/main" id="{3810AD30-03D2-4C72-9831-F02A72E2D13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8" name="Picture 10">
          <a:extLst>
            <a:ext uri="{FF2B5EF4-FFF2-40B4-BE49-F238E27FC236}">
              <a16:creationId xmlns:a16="http://schemas.microsoft.com/office/drawing/2014/main" id="{DDB399FE-23CF-4FAE-B08E-67C71239F5D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9" name="Picture 11">
          <a:extLst>
            <a:ext uri="{FF2B5EF4-FFF2-40B4-BE49-F238E27FC236}">
              <a16:creationId xmlns:a16="http://schemas.microsoft.com/office/drawing/2014/main" id="{80D0C484-200E-4921-B309-C68137DF75A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10" name="Picture 12">
          <a:extLst>
            <a:ext uri="{FF2B5EF4-FFF2-40B4-BE49-F238E27FC236}">
              <a16:creationId xmlns:a16="http://schemas.microsoft.com/office/drawing/2014/main" id="{40B62797-FD63-456B-B8E9-DFDE11403D2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11" name="Picture 13">
          <a:extLst>
            <a:ext uri="{FF2B5EF4-FFF2-40B4-BE49-F238E27FC236}">
              <a16:creationId xmlns:a16="http://schemas.microsoft.com/office/drawing/2014/main" id="{34360225-2268-40A6-864A-FC8A8D8756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077950" y="0"/>
          <a:ext cx="0"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34452" name="Picture 2">
          <a:extLst>
            <a:ext uri="{FF2B5EF4-FFF2-40B4-BE49-F238E27FC236}">
              <a16:creationId xmlns:a16="http://schemas.microsoft.com/office/drawing/2014/main" id="{AD3A0CD6-4729-867A-95D0-C33511AD12D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4453" name="Picture 3">
          <a:extLst>
            <a:ext uri="{FF2B5EF4-FFF2-40B4-BE49-F238E27FC236}">
              <a16:creationId xmlns:a16="http://schemas.microsoft.com/office/drawing/2014/main" id="{C2F9CB14-DA20-948C-BB6A-0621291F91F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4454" name="Picture 5">
          <a:extLst>
            <a:ext uri="{FF2B5EF4-FFF2-40B4-BE49-F238E27FC236}">
              <a16:creationId xmlns:a16="http://schemas.microsoft.com/office/drawing/2014/main" id="{C17E81D3-7533-DAB8-F3E2-D27EFFBE49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4455" name="Picture 6">
          <a:extLst>
            <a:ext uri="{FF2B5EF4-FFF2-40B4-BE49-F238E27FC236}">
              <a16:creationId xmlns:a16="http://schemas.microsoft.com/office/drawing/2014/main" id="{95948AE5-19BA-0E56-5742-B76503F47C0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4456" name="Picture 7">
          <a:extLst>
            <a:ext uri="{FF2B5EF4-FFF2-40B4-BE49-F238E27FC236}">
              <a16:creationId xmlns:a16="http://schemas.microsoft.com/office/drawing/2014/main" id="{FEAACC5D-6E15-1288-4BAC-134C4EF3B2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065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4457" name="Picture 8">
          <a:extLst>
            <a:ext uri="{FF2B5EF4-FFF2-40B4-BE49-F238E27FC236}">
              <a16:creationId xmlns:a16="http://schemas.microsoft.com/office/drawing/2014/main" id="{294316C3-D8AD-F3B7-E240-490F304884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4458" name="Picture 9">
          <a:extLst>
            <a:ext uri="{FF2B5EF4-FFF2-40B4-BE49-F238E27FC236}">
              <a16:creationId xmlns:a16="http://schemas.microsoft.com/office/drawing/2014/main" id="{9E891CCE-61E6-7343-B310-AE5F9414BF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4459" name="Picture 10">
          <a:extLst>
            <a:ext uri="{FF2B5EF4-FFF2-40B4-BE49-F238E27FC236}">
              <a16:creationId xmlns:a16="http://schemas.microsoft.com/office/drawing/2014/main" id="{7397AD01-6865-C9BE-3414-5C057527E6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4460" name="Picture 11">
          <a:extLst>
            <a:ext uri="{FF2B5EF4-FFF2-40B4-BE49-F238E27FC236}">
              <a16:creationId xmlns:a16="http://schemas.microsoft.com/office/drawing/2014/main" id="{AF1B61BC-7BDF-2B2E-912B-D0BACE547CF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4461" name="Picture 12">
          <a:extLst>
            <a:ext uri="{FF2B5EF4-FFF2-40B4-BE49-F238E27FC236}">
              <a16:creationId xmlns:a16="http://schemas.microsoft.com/office/drawing/2014/main" id="{542E76BA-EEB7-DD97-1A8F-AD4DD45EDC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065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5476" name="Picture 4">
          <a:extLst>
            <a:ext uri="{FF2B5EF4-FFF2-40B4-BE49-F238E27FC236}">
              <a16:creationId xmlns:a16="http://schemas.microsoft.com/office/drawing/2014/main" id="{FF867F33-F987-2270-52C8-87299C7DADE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77" name="Picture 5">
          <a:extLst>
            <a:ext uri="{FF2B5EF4-FFF2-40B4-BE49-F238E27FC236}">
              <a16:creationId xmlns:a16="http://schemas.microsoft.com/office/drawing/2014/main" id="{0B45E76C-D30E-E905-1AC1-86BF31D6D0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78" name="Picture 6">
          <a:extLst>
            <a:ext uri="{FF2B5EF4-FFF2-40B4-BE49-F238E27FC236}">
              <a16:creationId xmlns:a16="http://schemas.microsoft.com/office/drawing/2014/main" id="{F81B7ADD-16CB-048A-BF58-E83299A1B58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79" name="Picture 7">
          <a:extLst>
            <a:ext uri="{FF2B5EF4-FFF2-40B4-BE49-F238E27FC236}">
              <a16:creationId xmlns:a16="http://schemas.microsoft.com/office/drawing/2014/main" id="{DEFEB5A1-7513-2748-9700-90239C2A2A5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5480" name="Picture 8">
          <a:extLst>
            <a:ext uri="{FF2B5EF4-FFF2-40B4-BE49-F238E27FC236}">
              <a16:creationId xmlns:a16="http://schemas.microsoft.com/office/drawing/2014/main" id="{E1ED16AE-6553-DE10-9D2E-0EB02D0A03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398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81" name="Picture 9">
          <a:extLst>
            <a:ext uri="{FF2B5EF4-FFF2-40B4-BE49-F238E27FC236}">
              <a16:creationId xmlns:a16="http://schemas.microsoft.com/office/drawing/2014/main" id="{EA385D54-5565-DA0F-8774-68D9372D438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82" name="Picture 10">
          <a:extLst>
            <a:ext uri="{FF2B5EF4-FFF2-40B4-BE49-F238E27FC236}">
              <a16:creationId xmlns:a16="http://schemas.microsoft.com/office/drawing/2014/main" id="{9CA12E9D-D1C0-9282-6D61-91ABB9A499D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83" name="Picture 11">
          <a:extLst>
            <a:ext uri="{FF2B5EF4-FFF2-40B4-BE49-F238E27FC236}">
              <a16:creationId xmlns:a16="http://schemas.microsoft.com/office/drawing/2014/main" id="{877E9607-7568-06A2-8597-1943F0FD7E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84" name="Picture 12">
          <a:extLst>
            <a:ext uri="{FF2B5EF4-FFF2-40B4-BE49-F238E27FC236}">
              <a16:creationId xmlns:a16="http://schemas.microsoft.com/office/drawing/2014/main" id="{DC3819CD-4303-12D0-15B2-E0D0C28282C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5485" name="Picture 13">
          <a:extLst>
            <a:ext uri="{FF2B5EF4-FFF2-40B4-BE49-F238E27FC236}">
              <a16:creationId xmlns:a16="http://schemas.microsoft.com/office/drawing/2014/main" id="{B1F8F9C7-CDE1-0993-BD5A-5E73F54A9D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398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info@highwaysengland.co.uk"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C359E-D30D-4DC9-99F3-84522649298E}">
  <sheetPr>
    <tabColor theme="1"/>
  </sheetPr>
  <dimension ref="A1:G150"/>
  <sheetViews>
    <sheetView zoomScaleNormal="100" workbookViewId="0">
      <selection activeCell="A10" sqref="A10:F10"/>
    </sheetView>
  </sheetViews>
  <sheetFormatPr defaultColWidth="0" defaultRowHeight="28.5" zeroHeight="1" x14ac:dyDescent="0.35"/>
  <cols>
    <col min="1" max="1" width="23" style="1" bestFit="1" customWidth="1"/>
    <col min="2" max="2" width="11.765625" style="1" bestFit="1" customWidth="1"/>
    <col min="3" max="3" width="11.4609375" style="1" bestFit="1" customWidth="1"/>
    <col min="4" max="4" width="25.765625" style="1" customWidth="1"/>
    <col min="5" max="6" width="8.765625" style="1" customWidth="1"/>
    <col min="7" max="7" width="0" style="1" hidden="1" customWidth="1"/>
    <col min="8" max="16384" width="8.765625" style="1" hidden="1"/>
  </cols>
  <sheetData>
    <row r="1" spans="1:6" ht="36" x14ac:dyDescent="0.35">
      <c r="A1" s="36" t="s">
        <v>15</v>
      </c>
      <c r="B1" s="36"/>
      <c r="C1" s="36"/>
      <c r="D1" s="36"/>
      <c r="E1" s="36"/>
      <c r="F1" s="36"/>
    </row>
    <row r="2" spans="1:6" s="2" customFormat="1" ht="26" x14ac:dyDescent="0.35">
      <c r="A2" s="40">
        <v>46288</v>
      </c>
      <c r="B2" s="40"/>
      <c r="C2" s="44" t="str">
        <f>"to "&amp;TEXT($A$2+6,"dddd d mmm yyyy")</f>
        <v>to Tuesday 29 Sep 2026</v>
      </c>
      <c r="D2" s="44"/>
      <c r="E2" s="44"/>
      <c r="F2" s="44"/>
    </row>
    <row r="3" spans="1:6" ht="12.75" customHeight="1" x14ac:dyDescent="0.35">
      <c r="A3" s="37" t="s">
        <v>13</v>
      </c>
      <c r="B3" s="37"/>
      <c r="C3" s="37"/>
      <c r="D3" s="37"/>
      <c r="E3" s="37"/>
      <c r="F3" s="37"/>
    </row>
    <row r="4" spans="1:6" s="2" customFormat="1" ht="27.5" x14ac:dyDescent="0.35">
      <c r="A4" s="42" t="str">
        <f>TEXT($A$2,"dddd, d mmmm")</f>
        <v>Wednesday, 23 September</v>
      </c>
      <c r="B4" s="42"/>
      <c r="C4" s="42"/>
      <c r="D4" s="42"/>
      <c r="E4" s="42"/>
      <c r="F4" s="42"/>
    </row>
    <row r="5" spans="1:6" s="2" customFormat="1" ht="27.5" x14ac:dyDescent="0.35">
      <c r="A5" s="41" t="str">
        <f>TEXT($A$2+1,"dddd, d mmmm")</f>
        <v>Thursday, 24 September</v>
      </c>
      <c r="B5" s="41"/>
      <c r="C5" s="41"/>
      <c r="D5" s="41"/>
      <c r="E5" s="41"/>
      <c r="F5" s="41"/>
    </row>
    <row r="6" spans="1:6" s="2" customFormat="1" ht="27.5" x14ac:dyDescent="0.35">
      <c r="A6" s="42" t="str">
        <f>TEXT($A$2+2,"dddd, d mmmm")</f>
        <v>Friday, 25 September</v>
      </c>
      <c r="B6" s="42"/>
      <c r="C6" s="42"/>
      <c r="D6" s="42"/>
      <c r="E6" s="42"/>
      <c r="F6" s="42"/>
    </row>
    <row r="7" spans="1:6" s="2" customFormat="1" ht="27.5" x14ac:dyDescent="0.35">
      <c r="A7" s="41" t="str">
        <f>TEXT($A$2+3,"dddd, d mmmm")</f>
        <v>Saturday, 26 September</v>
      </c>
      <c r="B7" s="41"/>
      <c r="C7" s="41"/>
      <c r="D7" s="41"/>
      <c r="E7" s="41"/>
      <c r="F7" s="41"/>
    </row>
    <row r="8" spans="1:6" s="2" customFormat="1" ht="27.5" x14ac:dyDescent="0.35">
      <c r="A8" s="43" t="str">
        <f>TEXT($A$2+4,"dddd, d mmmm")</f>
        <v>Sunday, 27 September</v>
      </c>
      <c r="B8" s="43"/>
      <c r="C8" s="43"/>
      <c r="D8" s="43"/>
      <c r="E8" s="43"/>
      <c r="F8" s="43"/>
    </row>
    <row r="9" spans="1:6" s="2" customFormat="1" ht="27.5" x14ac:dyDescent="0.35">
      <c r="A9" s="41" t="str">
        <f>TEXT($A$2+5,"dddd, d mmmm")</f>
        <v>Monday, 28 September</v>
      </c>
      <c r="B9" s="41"/>
      <c r="C9" s="41"/>
      <c r="D9" s="41"/>
      <c r="E9" s="41"/>
      <c r="F9" s="41"/>
    </row>
    <row r="10" spans="1:6" s="2" customFormat="1" ht="27.5" x14ac:dyDescent="0.35">
      <c r="A10" s="42" t="str">
        <f>TEXT($A$2+6,"dddd, d mmmm")</f>
        <v>Tuesday, 29 September</v>
      </c>
      <c r="B10" s="42"/>
      <c r="C10" s="42"/>
      <c r="D10" s="42"/>
      <c r="E10" s="42"/>
      <c r="F10" s="42"/>
    </row>
    <row r="11" spans="1:6" s="9" customFormat="1" ht="46.5" customHeight="1" x14ac:dyDescent="0.35">
      <c r="A11" s="38" t="s">
        <v>16</v>
      </c>
      <c r="B11" s="38"/>
      <c r="C11" s="38"/>
      <c r="D11" s="38"/>
      <c r="E11" s="38"/>
      <c r="F11" s="38"/>
    </row>
    <row r="12" spans="1:6" s="10" customFormat="1" ht="47.25" customHeight="1" x14ac:dyDescent="0.35">
      <c r="A12" s="39" t="s">
        <v>14</v>
      </c>
      <c r="B12" s="39"/>
      <c r="C12" s="39"/>
      <c r="D12" s="39"/>
      <c r="E12" s="39"/>
      <c r="F12" s="39"/>
    </row>
    <row r="17" s="1" customFormat="1" hidden="1" x14ac:dyDescent="0.35"/>
    <row r="18" s="1" customFormat="1" hidden="1" x14ac:dyDescent="0.35"/>
    <row r="19" s="1" customFormat="1" hidden="1" x14ac:dyDescent="0.35"/>
    <row r="20" s="1" customFormat="1" hidden="1" x14ac:dyDescent="0.35"/>
    <row r="21" s="1" customFormat="1" hidden="1" x14ac:dyDescent="0.35"/>
    <row r="22" s="1" customFormat="1" hidden="1" x14ac:dyDescent="0.35"/>
    <row r="23" s="1" customFormat="1" hidden="1" x14ac:dyDescent="0.35"/>
    <row r="24" s="1" customFormat="1" hidden="1" x14ac:dyDescent="0.35"/>
    <row r="25" s="1" customFormat="1" hidden="1" x14ac:dyDescent="0.35"/>
    <row r="26" s="1" customFormat="1" hidden="1" x14ac:dyDescent="0.35"/>
    <row r="27" s="1" customFormat="1" hidden="1" x14ac:dyDescent="0.35"/>
    <row r="28" s="1" customFormat="1" hidden="1" x14ac:dyDescent="0.35"/>
    <row r="29" s="1" customFormat="1" hidden="1" x14ac:dyDescent="0.35"/>
    <row r="30" s="1" customFormat="1" hidden="1" x14ac:dyDescent="0.35"/>
    <row r="31" s="1" customFormat="1" hidden="1" x14ac:dyDescent="0.35"/>
    <row r="32" s="1" customFormat="1" hidden="1" x14ac:dyDescent="0.35"/>
    <row r="33" s="1" customFormat="1" hidden="1" x14ac:dyDescent="0.35"/>
    <row r="34" s="1" customFormat="1" hidden="1" x14ac:dyDescent="0.35"/>
    <row r="35" s="1" customFormat="1" hidden="1" x14ac:dyDescent="0.35"/>
    <row r="36" s="1" customFormat="1" hidden="1" x14ac:dyDescent="0.35"/>
    <row r="37" s="1" customFormat="1" hidden="1" x14ac:dyDescent="0.35"/>
    <row r="38" s="1" customFormat="1" hidden="1" x14ac:dyDescent="0.35"/>
    <row r="39" s="1" customFormat="1" hidden="1" x14ac:dyDescent="0.35"/>
    <row r="40" s="1" customFormat="1" hidden="1" x14ac:dyDescent="0.35"/>
    <row r="41" s="1" customFormat="1" hidden="1" x14ac:dyDescent="0.35"/>
    <row r="42" s="1" customFormat="1" hidden="1" x14ac:dyDescent="0.35"/>
    <row r="43" s="1" customFormat="1" hidden="1" x14ac:dyDescent="0.35"/>
    <row r="44" s="1" customFormat="1" hidden="1" x14ac:dyDescent="0.35"/>
    <row r="45" s="1" customFormat="1" hidden="1" x14ac:dyDescent="0.35"/>
    <row r="46" s="1" customFormat="1" hidden="1" x14ac:dyDescent="0.35"/>
    <row r="47" s="1" customFormat="1" hidden="1" x14ac:dyDescent="0.35"/>
    <row r="48" s="1" customFormat="1" hidden="1" x14ac:dyDescent="0.35"/>
    <row r="49" s="1" customFormat="1" hidden="1" x14ac:dyDescent="0.35"/>
    <row r="50" s="1" customFormat="1" hidden="1" x14ac:dyDescent="0.35"/>
    <row r="51" s="1" customFormat="1" hidden="1" x14ac:dyDescent="0.35"/>
    <row r="52" s="1" customFormat="1" hidden="1" x14ac:dyDescent="0.35"/>
    <row r="53" s="1" customFormat="1" hidden="1" x14ac:dyDescent="0.35"/>
    <row r="54" s="1" customFormat="1" hidden="1" x14ac:dyDescent="0.35"/>
    <row r="55" s="1" customFormat="1" hidden="1" x14ac:dyDescent="0.35"/>
    <row r="56" s="1" customFormat="1" hidden="1" x14ac:dyDescent="0.35"/>
    <row r="57" s="1" customFormat="1" hidden="1" x14ac:dyDescent="0.35"/>
    <row r="58" s="1" customFormat="1" hidden="1" x14ac:dyDescent="0.35"/>
    <row r="59" s="1" customFormat="1" hidden="1" x14ac:dyDescent="0.35"/>
    <row r="60" s="1" customFormat="1" hidden="1" x14ac:dyDescent="0.35"/>
    <row r="61" s="1" customFormat="1" hidden="1" x14ac:dyDescent="0.35"/>
    <row r="62" s="1" customFormat="1" hidden="1" x14ac:dyDescent="0.35"/>
    <row r="63" s="1" customFormat="1" hidden="1" x14ac:dyDescent="0.35"/>
    <row r="64" s="1" customFormat="1" hidden="1" x14ac:dyDescent="0.35"/>
    <row r="65" s="1" customFormat="1" hidden="1" x14ac:dyDescent="0.35"/>
    <row r="66" s="1" customFormat="1" hidden="1" x14ac:dyDescent="0.35"/>
    <row r="67" s="1" customFormat="1" hidden="1" x14ac:dyDescent="0.35"/>
    <row r="68" s="1" customFormat="1" hidden="1" x14ac:dyDescent="0.35"/>
    <row r="69" s="1" customFormat="1" hidden="1" x14ac:dyDescent="0.35"/>
    <row r="70" s="1" customFormat="1" hidden="1" x14ac:dyDescent="0.35"/>
    <row r="71" s="1" customFormat="1" hidden="1" x14ac:dyDescent="0.35"/>
    <row r="72" s="1" customFormat="1" hidden="1" x14ac:dyDescent="0.35"/>
    <row r="73" s="1" customFormat="1" hidden="1" x14ac:dyDescent="0.35"/>
    <row r="74" s="1" customFormat="1" hidden="1" x14ac:dyDescent="0.35"/>
    <row r="75" s="1" customFormat="1" hidden="1" x14ac:dyDescent="0.35"/>
    <row r="76" s="1" customFormat="1" hidden="1" x14ac:dyDescent="0.35"/>
    <row r="77" s="1" customFormat="1" hidden="1" x14ac:dyDescent="0.35"/>
    <row r="78" s="1" customFormat="1" hidden="1" x14ac:dyDescent="0.35"/>
    <row r="79" s="1" customFormat="1" hidden="1" x14ac:dyDescent="0.35"/>
    <row r="80" s="1" customFormat="1" hidden="1" x14ac:dyDescent="0.35"/>
    <row r="81" s="1" customFormat="1" hidden="1" x14ac:dyDescent="0.35"/>
    <row r="82" s="1" customFormat="1" hidden="1" x14ac:dyDescent="0.35"/>
    <row r="83" s="1" customFormat="1" hidden="1" x14ac:dyDescent="0.35"/>
    <row r="84" s="1" customFormat="1" hidden="1" x14ac:dyDescent="0.35"/>
    <row r="85" s="1" customFormat="1" hidden="1" x14ac:dyDescent="0.35"/>
    <row r="86" s="1" customFormat="1" hidden="1" x14ac:dyDescent="0.35"/>
    <row r="87" s="1" customFormat="1" hidden="1" x14ac:dyDescent="0.35"/>
    <row r="88" s="1" customFormat="1" hidden="1" x14ac:dyDescent="0.35"/>
    <row r="89" s="1" customFormat="1" hidden="1" x14ac:dyDescent="0.35"/>
    <row r="90" s="1" customFormat="1" hidden="1" x14ac:dyDescent="0.35"/>
    <row r="91" s="1" customFormat="1" hidden="1" x14ac:dyDescent="0.35"/>
    <row r="92" s="1" customFormat="1" hidden="1" x14ac:dyDescent="0.35"/>
    <row r="93" s="1" customFormat="1" hidden="1" x14ac:dyDescent="0.35"/>
    <row r="94" s="1" customFormat="1" hidden="1" x14ac:dyDescent="0.35"/>
    <row r="95" s="1" customFormat="1" hidden="1" x14ac:dyDescent="0.35"/>
    <row r="96" s="1" customFormat="1" hidden="1" x14ac:dyDescent="0.35"/>
    <row r="97" s="1" customFormat="1" hidden="1" x14ac:dyDescent="0.35"/>
    <row r="98" s="1" customFormat="1" hidden="1" x14ac:dyDescent="0.35"/>
    <row r="99" s="1" customFormat="1" hidden="1" x14ac:dyDescent="0.35"/>
    <row r="100" s="1" customFormat="1" hidden="1" x14ac:dyDescent="0.35"/>
    <row r="101" s="1" customFormat="1" hidden="1" x14ac:dyDescent="0.35"/>
    <row r="102" s="1" customFormat="1" hidden="1" x14ac:dyDescent="0.35"/>
    <row r="103" s="1" customFormat="1" hidden="1" x14ac:dyDescent="0.35"/>
    <row r="104" s="1" customFormat="1" hidden="1" x14ac:dyDescent="0.35"/>
    <row r="105" s="1" customFormat="1" hidden="1" x14ac:dyDescent="0.35"/>
    <row r="106" s="1" customFormat="1" hidden="1" x14ac:dyDescent="0.35"/>
    <row r="107" s="1" customFormat="1" hidden="1" x14ac:dyDescent="0.35"/>
    <row r="108" s="1" customFormat="1" hidden="1" x14ac:dyDescent="0.35"/>
    <row r="109" s="1" customFormat="1" hidden="1" x14ac:dyDescent="0.35"/>
    <row r="110" s="1" customFormat="1" hidden="1" x14ac:dyDescent="0.35"/>
    <row r="111" s="1" customFormat="1" hidden="1" x14ac:dyDescent="0.35"/>
    <row r="112" s="1" customFormat="1" hidden="1" x14ac:dyDescent="0.35"/>
    <row r="113" s="1" customFormat="1" hidden="1" x14ac:dyDescent="0.35"/>
    <row r="114" s="1" customFormat="1" hidden="1" x14ac:dyDescent="0.35"/>
    <row r="115" s="1" customFormat="1" hidden="1" x14ac:dyDescent="0.35"/>
    <row r="116" s="1" customFormat="1" hidden="1" x14ac:dyDescent="0.35"/>
    <row r="117" s="1" customFormat="1" hidden="1" x14ac:dyDescent="0.35"/>
    <row r="118" s="1" customFormat="1" hidden="1" x14ac:dyDescent="0.35"/>
    <row r="119" s="1" customFormat="1" hidden="1" x14ac:dyDescent="0.35"/>
    <row r="120" s="1" customFormat="1" hidden="1" x14ac:dyDescent="0.35"/>
    <row r="121" s="1" customFormat="1" hidden="1" x14ac:dyDescent="0.35"/>
    <row r="122" s="1" customFormat="1" hidden="1" x14ac:dyDescent="0.35"/>
    <row r="123" s="1" customFormat="1" hidden="1" x14ac:dyDescent="0.35"/>
    <row r="124" s="1" customFormat="1" hidden="1" x14ac:dyDescent="0.35"/>
    <row r="125" s="1" customFormat="1" hidden="1" x14ac:dyDescent="0.35"/>
    <row r="126" s="1" customFormat="1" hidden="1" x14ac:dyDescent="0.35"/>
    <row r="127" s="1" customFormat="1" hidden="1" x14ac:dyDescent="0.35"/>
    <row r="128" s="1" customFormat="1" hidden="1" x14ac:dyDescent="0.35"/>
    <row r="129" s="1" customFormat="1" hidden="1" x14ac:dyDescent="0.35"/>
    <row r="130" s="1" customFormat="1" hidden="1" x14ac:dyDescent="0.35"/>
    <row r="131" s="1" customFormat="1" hidden="1" x14ac:dyDescent="0.35"/>
    <row r="132" s="1" customFormat="1" hidden="1" x14ac:dyDescent="0.35"/>
    <row r="133" s="1" customFormat="1" hidden="1" x14ac:dyDescent="0.35"/>
    <row r="134" s="1" customFormat="1" hidden="1" x14ac:dyDescent="0.35"/>
    <row r="135" s="1" customFormat="1" hidden="1" x14ac:dyDescent="0.35"/>
    <row r="136" s="1" customFormat="1" hidden="1" x14ac:dyDescent="0.35"/>
    <row r="137" s="1" customFormat="1" hidden="1" x14ac:dyDescent="0.35"/>
    <row r="138" s="1" customFormat="1" hidden="1" x14ac:dyDescent="0.35"/>
    <row r="139" s="1" customFormat="1" hidden="1" x14ac:dyDescent="0.35"/>
    <row r="140" s="1" customFormat="1" hidden="1" x14ac:dyDescent="0.35"/>
    <row r="141" s="1" customFormat="1" hidden="1" x14ac:dyDescent="0.35"/>
    <row r="142" s="1" customFormat="1" hidden="1" x14ac:dyDescent="0.35"/>
    <row r="143" s="1" customFormat="1" hidden="1" x14ac:dyDescent="0.35"/>
    <row r="144" s="1" customFormat="1" hidden="1" x14ac:dyDescent="0.35"/>
    <row r="145" s="1" customFormat="1" hidden="1" x14ac:dyDescent="0.35"/>
    <row r="146" s="1" customFormat="1" hidden="1" x14ac:dyDescent="0.35"/>
    <row r="147" s="1" customFormat="1" hidden="1" x14ac:dyDescent="0.35"/>
    <row r="148" s="1" customFormat="1" hidden="1" x14ac:dyDescent="0.35"/>
    <row r="149" s="1" customFormat="1" hidden="1" x14ac:dyDescent="0.35"/>
    <row r="150" s="1" customFormat="1" hidden="1" x14ac:dyDescent="0.35"/>
  </sheetData>
  <mergeCells count="14">
    <mergeCell ref="A1:F1"/>
    <mergeCell ref="A3:F3"/>
    <mergeCell ref="A11:F11"/>
    <mergeCell ref="A12:F12"/>
    <mergeCell ref="A2:B2"/>
    <mergeCell ref="A9:F9"/>
    <mergeCell ref="A10:F10"/>
    <mergeCell ref="A4:F4"/>
    <mergeCell ref="A5:F5"/>
    <mergeCell ref="A6:F6"/>
    <mergeCell ref="A7:F7"/>
    <mergeCell ref="A8:F8"/>
    <mergeCell ref="C2:D2"/>
    <mergeCell ref="E2:F2"/>
  </mergeCells>
  <hyperlinks>
    <hyperlink ref="A4" location="Monday!A3" display="Monday!A3" xr:uid="{7C8EEBFE-19D0-444C-B856-517A1AC0AF68}"/>
    <hyperlink ref="A12:F12" r:id="rId1" tooltip="info@highwaysengland.co.uk" display="Each day we will upload an updated list of road closures covering that evening and the remainder of the week. Understandably plans can sometimes change, and it is for this reason we recommend you regularly visit the webpage to view the most up-to-date closure list. We would welcome your feedback on the usefulness and importantly accuracy of this information so that we can use this to refine our processes. Feedback can be provided to info@highwaysengland.co.uk" xr:uid="{0A9FF3EE-A4A7-4095-BC7F-8782B67E3A2D}"/>
    <hyperlink ref="A6" location="Wednesday!A3" display="Wednesday!A3" xr:uid="{D26510CA-ED95-421E-8D09-ADC3C3B6BBD7}"/>
    <hyperlink ref="A7" location="Thursday!A3" display="Thursday!A3" xr:uid="{CD402ED0-6ED6-459F-840B-D626EB57E090}"/>
    <hyperlink ref="A8" location="Friday!A3" display="Friday!A3" xr:uid="{F2DE8E56-0C53-4445-9C1A-7D440C0D7A5A}"/>
    <hyperlink ref="A9" location="Saturday!A3" display="Saturday!A3" xr:uid="{1D39034A-B502-4A41-8E5A-9928C7897517}"/>
    <hyperlink ref="A10" location="Sunday!A3" display="Sunday!A3" xr:uid="{96AE548F-6CB0-492E-896B-64081823A6BE}"/>
    <hyperlink ref="A5" location="Tuesday!A3" display="Tuesday!A3" xr:uid="{19210F66-550E-4CF7-BE1E-932C355AE32B}"/>
    <hyperlink ref="A4:F4" location="Wednesday!A3" display="Wednesday!A3" xr:uid="{7DE4A605-4260-40B2-A084-1D06D1A971B2}"/>
    <hyperlink ref="A5:F5" location="Thursday!A3" display="Thursday!A3" xr:uid="{3452476D-5801-4C2D-99ED-71DCCF499C47}"/>
    <hyperlink ref="A6:F6" location="Friday!A3" display="Friday!A3" xr:uid="{6C320A7D-64ED-43FC-B74B-4657F54DC60A}"/>
    <hyperlink ref="A7:F7" location="Saturday!A3" display="Saturday!A3" xr:uid="{840106FB-CF08-44B2-A5FC-F315E2BB9DE3}"/>
    <hyperlink ref="A8:F8" location="Sunday!A1" display="Sunday!A1" xr:uid="{8B0DE19A-8E3C-4C40-A565-EEC6F75C451B}"/>
    <hyperlink ref="A9:F9" location="Monday!A1" display="Monday!A1" xr:uid="{EA033183-595F-47B8-9001-AF05B3330931}"/>
    <hyperlink ref="A10:F10" location="Tuesday!A3" display="Tuesday!A3" xr:uid="{A234E4E1-C50E-4DB4-BAA5-C100E0AC4DF7}"/>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558D1-8E3C-4DF4-8DF2-FE1FC11CD2E5}">
  <dimension ref="A1:A7"/>
  <sheetViews>
    <sheetView workbookViewId="0">
      <selection sqref="A1:A7"/>
    </sheetView>
  </sheetViews>
  <sheetFormatPr defaultRowHeight="15.5" x14ac:dyDescent="0.35"/>
  <sheetData>
    <row r="1" spans="1:1" x14ac:dyDescent="0.35">
      <c r="A1" t="s">
        <v>2</v>
      </c>
    </row>
    <row r="2" spans="1:1" x14ac:dyDescent="0.35">
      <c r="A2" t="s">
        <v>6</v>
      </c>
    </row>
    <row r="3" spans="1:1" x14ac:dyDescent="0.35">
      <c r="A3" t="s">
        <v>4</v>
      </c>
    </row>
    <row r="4" spans="1:1" x14ac:dyDescent="0.35">
      <c r="A4" t="s">
        <v>5</v>
      </c>
    </row>
    <row r="5" spans="1:1" x14ac:dyDescent="0.35">
      <c r="A5" t="s">
        <v>7</v>
      </c>
    </row>
    <row r="6" spans="1:1" x14ac:dyDescent="0.35">
      <c r="A6" t="s">
        <v>8</v>
      </c>
    </row>
    <row r="7" spans="1:1" x14ac:dyDescent="0.35">
      <c r="A7" t="s">
        <v>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69965-FA91-46A9-83EA-53D51F72CE02}">
  <sheetPr codeName="Sheet1">
    <tabColor theme="3"/>
    <pageSetUpPr fitToPage="1"/>
  </sheetPr>
  <dimension ref="A1:K302"/>
  <sheetViews>
    <sheetView tabSelected="1" zoomScaleNormal="100" workbookViewId="0">
      <pane ySplit="1" topLeftCell="A2" activePane="bottomLeft" state="frozenSplit"/>
      <selection sqref="A1:F1"/>
      <selection pane="bottomLeft" activeCell="C8" sqref="C8"/>
    </sheetView>
  </sheetViews>
  <sheetFormatPr defaultColWidth="0" defaultRowHeight="15.5" x14ac:dyDescent="0.35"/>
  <cols>
    <col min="1" max="2" width="13.23046875" style="3" customWidth="1"/>
    <col min="3" max="3" width="60.4609375" style="3" customWidth="1"/>
    <col min="4" max="4" width="15.69140625" style="3" customWidth="1"/>
    <col min="5" max="5" width="16.23046875" style="13" customWidth="1"/>
    <col min="6" max="6" width="47" style="13" customWidth="1"/>
    <col min="7" max="11" width="0" hidden="1" customWidth="1"/>
    <col min="12" max="16384" width="8.765625" hidden="1"/>
  </cols>
  <sheetData>
    <row r="1" spans="1:6" ht="32.5" x14ac:dyDescent="0.35">
      <c r="A1" s="35" t="str">
        <f>"Daily closure report: "&amp;'Front page'!A4</f>
        <v>Daily closure report: Wednesday, 23 September</v>
      </c>
      <c r="B1" s="35"/>
      <c r="C1" s="35"/>
      <c r="D1" s="35"/>
      <c r="E1" s="35"/>
      <c r="F1" s="35"/>
    </row>
    <row r="2" spans="1:6" s="5" customFormat="1" ht="28" x14ac:dyDescent="0.35">
      <c r="A2" s="12" t="s">
        <v>9</v>
      </c>
      <c r="B2" s="12" t="s">
        <v>1</v>
      </c>
      <c r="C2" s="12" t="s">
        <v>0</v>
      </c>
      <c r="D2" s="11" t="s">
        <v>11</v>
      </c>
      <c r="E2" s="11" t="s">
        <v>12</v>
      </c>
      <c r="F2" s="12" t="s">
        <v>10</v>
      </c>
    </row>
    <row r="3" spans="1:6" s="6" customFormat="1" ht="62" x14ac:dyDescent="0.35">
      <c r="A3" s="29" t="s">
        <v>38</v>
      </c>
      <c r="B3" s="29" t="s">
        <v>6</v>
      </c>
      <c r="C3" s="30" t="s">
        <v>39</v>
      </c>
      <c r="D3" s="31">
        <v>46288.833333333299</v>
      </c>
      <c r="E3" s="31">
        <v>46289.208333333299</v>
      </c>
      <c r="F3" s="30" t="s">
        <v>40</v>
      </c>
    </row>
    <row r="4" spans="1:6" s="6" customFormat="1" ht="62" x14ac:dyDescent="0.35">
      <c r="A4" s="29" t="s">
        <v>38</v>
      </c>
      <c r="B4" s="29" t="s">
        <v>2</v>
      </c>
      <c r="C4" s="30" t="s">
        <v>847</v>
      </c>
      <c r="D4" s="31">
        <v>46288.875</v>
      </c>
      <c r="E4" s="31">
        <v>46289.208333333299</v>
      </c>
      <c r="F4" s="30" t="s">
        <v>848</v>
      </c>
    </row>
    <row r="5" spans="1:6" s="6" customFormat="1" ht="77.5" x14ac:dyDescent="0.35">
      <c r="A5" s="29" t="s">
        <v>38</v>
      </c>
      <c r="B5" s="29" t="s">
        <v>2</v>
      </c>
      <c r="C5" s="30" t="s">
        <v>849</v>
      </c>
      <c r="D5" s="31">
        <v>46288.875</v>
      </c>
      <c r="E5" s="31">
        <v>46289.208333333299</v>
      </c>
      <c r="F5" s="30" t="s">
        <v>848</v>
      </c>
    </row>
    <row r="6" spans="1:6" s="6" customFormat="1" ht="77.5" x14ac:dyDescent="0.35">
      <c r="A6" s="29" t="s">
        <v>38</v>
      </c>
      <c r="B6" s="29" t="s">
        <v>24</v>
      </c>
      <c r="C6" s="30" t="s">
        <v>49</v>
      </c>
      <c r="D6" s="31">
        <v>45847.208333333299</v>
      </c>
      <c r="E6" s="31">
        <v>46507.999305555597</v>
      </c>
      <c r="F6" s="30" t="s">
        <v>50</v>
      </c>
    </row>
    <row r="7" spans="1:6" s="6" customFormat="1" ht="46.5" x14ac:dyDescent="0.35">
      <c r="A7" s="29" t="s">
        <v>38</v>
      </c>
      <c r="B7" s="29" t="s">
        <v>2</v>
      </c>
      <c r="C7" s="30" t="s">
        <v>54</v>
      </c>
      <c r="D7" s="31">
        <v>46288.833333333299</v>
      </c>
      <c r="E7" s="31">
        <v>46289.25</v>
      </c>
      <c r="F7" s="30" t="s">
        <v>580</v>
      </c>
    </row>
    <row r="8" spans="1:6" s="6" customFormat="1" ht="62" x14ac:dyDescent="0.35">
      <c r="A8" s="29" t="s">
        <v>38</v>
      </c>
      <c r="B8" s="29" t="s">
        <v>6</v>
      </c>
      <c r="C8" s="30" t="s">
        <v>1152</v>
      </c>
      <c r="D8" s="31">
        <v>46288.833333333299</v>
      </c>
      <c r="E8" s="31">
        <v>46289.25</v>
      </c>
      <c r="F8" s="30" t="s">
        <v>580</v>
      </c>
    </row>
    <row r="9" spans="1:6" s="6" customFormat="1" ht="46.5" x14ac:dyDescent="0.35">
      <c r="A9" s="29" t="s">
        <v>38</v>
      </c>
      <c r="B9" s="29" t="s">
        <v>2</v>
      </c>
      <c r="C9" s="30" t="s">
        <v>856</v>
      </c>
      <c r="D9" s="31">
        <v>46288.875</v>
      </c>
      <c r="E9" s="31">
        <v>46289.208333333299</v>
      </c>
      <c r="F9" s="30" t="s">
        <v>857</v>
      </c>
    </row>
    <row r="10" spans="1:6" s="6" customFormat="1" ht="46.5" x14ac:dyDescent="0.35">
      <c r="A10" s="29" t="s">
        <v>38</v>
      </c>
      <c r="B10" s="29" t="s">
        <v>2</v>
      </c>
      <c r="C10" s="30" t="s">
        <v>858</v>
      </c>
      <c r="D10" s="31">
        <v>46288.875</v>
      </c>
      <c r="E10" s="31">
        <v>46289.208333333299</v>
      </c>
      <c r="F10" s="30" t="s">
        <v>857</v>
      </c>
    </row>
    <row r="11" spans="1:6" s="6" customFormat="1" ht="46.5" x14ac:dyDescent="0.35">
      <c r="A11" s="29" t="s">
        <v>38</v>
      </c>
      <c r="B11" s="29" t="s">
        <v>2</v>
      </c>
      <c r="C11" s="30" t="s">
        <v>96</v>
      </c>
      <c r="D11" s="31">
        <v>46286.541666666701</v>
      </c>
      <c r="E11" s="31">
        <v>46291.25</v>
      </c>
      <c r="F11" s="30" t="s">
        <v>97</v>
      </c>
    </row>
    <row r="12" spans="1:6" s="6" customFormat="1" ht="62" x14ac:dyDescent="0.35">
      <c r="A12" s="29" t="s">
        <v>38</v>
      </c>
      <c r="B12" s="29" t="s">
        <v>2</v>
      </c>
      <c r="C12" s="30" t="s">
        <v>98</v>
      </c>
      <c r="D12" s="31">
        <v>46288.833333333299</v>
      </c>
      <c r="E12" s="31">
        <v>46289.25</v>
      </c>
      <c r="F12" s="30" t="s">
        <v>97</v>
      </c>
    </row>
    <row r="13" spans="1:6" s="6" customFormat="1" ht="77.5" x14ac:dyDescent="0.35">
      <c r="A13" s="29" t="s">
        <v>38</v>
      </c>
      <c r="B13" s="29" t="s">
        <v>2</v>
      </c>
      <c r="C13" s="30" t="s">
        <v>99</v>
      </c>
      <c r="D13" s="31">
        <v>46288.833333333299</v>
      </c>
      <c r="E13" s="31">
        <v>46289.25</v>
      </c>
      <c r="F13" s="30" t="s">
        <v>97</v>
      </c>
    </row>
    <row r="14" spans="1:6" s="6" customFormat="1" ht="77.5" x14ac:dyDescent="0.35">
      <c r="A14" s="29" t="s">
        <v>38</v>
      </c>
      <c r="B14" s="29" t="s">
        <v>2</v>
      </c>
      <c r="C14" s="30" t="s">
        <v>100</v>
      </c>
      <c r="D14" s="31">
        <v>46288.833333333299</v>
      </c>
      <c r="E14" s="31">
        <v>46289.25</v>
      </c>
      <c r="F14" s="30" t="s">
        <v>97</v>
      </c>
    </row>
    <row r="15" spans="1:6" s="6" customFormat="1" ht="77.5" x14ac:dyDescent="0.35">
      <c r="A15" s="29" t="s">
        <v>38</v>
      </c>
      <c r="B15" s="29" t="s">
        <v>2</v>
      </c>
      <c r="C15" s="30" t="s">
        <v>101</v>
      </c>
      <c r="D15" s="31">
        <v>46288.833333333299</v>
      </c>
      <c r="E15" s="31">
        <v>46289.25</v>
      </c>
      <c r="F15" s="30" t="s">
        <v>97</v>
      </c>
    </row>
    <row r="16" spans="1:6" s="6" customFormat="1" ht="46.5" x14ac:dyDescent="0.35">
      <c r="A16" s="29" t="s">
        <v>38</v>
      </c>
      <c r="B16" s="29" t="s">
        <v>2</v>
      </c>
      <c r="C16" s="30" t="s">
        <v>102</v>
      </c>
      <c r="D16" s="31">
        <v>46288.833333333299</v>
      </c>
      <c r="E16" s="31">
        <v>46289.25</v>
      </c>
      <c r="F16" s="30" t="s">
        <v>97</v>
      </c>
    </row>
    <row r="17" spans="1:6" s="6" customFormat="1" ht="62" x14ac:dyDescent="0.35">
      <c r="A17" s="29" t="s">
        <v>38</v>
      </c>
      <c r="B17" s="29" t="s">
        <v>2</v>
      </c>
      <c r="C17" s="30" t="s">
        <v>103</v>
      </c>
      <c r="D17" s="31">
        <v>46288.833333333299</v>
      </c>
      <c r="E17" s="31">
        <v>46289.25</v>
      </c>
      <c r="F17" s="30" t="s">
        <v>97</v>
      </c>
    </row>
    <row r="18" spans="1:6" s="6" customFormat="1" ht="62" x14ac:dyDescent="0.35">
      <c r="A18" s="29" t="s">
        <v>38</v>
      </c>
      <c r="B18" s="29" t="s">
        <v>2</v>
      </c>
      <c r="C18" s="30" t="s">
        <v>104</v>
      </c>
      <c r="D18" s="31">
        <v>46288.833333333299</v>
      </c>
      <c r="E18" s="31">
        <v>46289.25</v>
      </c>
      <c r="F18" s="30" t="s">
        <v>97</v>
      </c>
    </row>
    <row r="19" spans="1:6" s="6" customFormat="1" ht="77.5" x14ac:dyDescent="0.35">
      <c r="A19" s="29" t="s">
        <v>38</v>
      </c>
      <c r="B19" s="29" t="s">
        <v>2</v>
      </c>
      <c r="C19" s="30" t="s">
        <v>105</v>
      </c>
      <c r="D19" s="31">
        <v>46288.833333333299</v>
      </c>
      <c r="E19" s="31">
        <v>46289.25</v>
      </c>
      <c r="F19" s="30" t="s">
        <v>97</v>
      </c>
    </row>
    <row r="20" spans="1:6" s="6" customFormat="1" ht="46.5" x14ac:dyDescent="0.35">
      <c r="A20" s="29" t="s">
        <v>38</v>
      </c>
      <c r="B20" s="29" t="s">
        <v>2</v>
      </c>
      <c r="C20" s="30" t="s">
        <v>106</v>
      </c>
      <c r="D20" s="31">
        <v>46288.833333333299</v>
      </c>
      <c r="E20" s="31">
        <v>46289.25</v>
      </c>
      <c r="F20" s="30" t="s">
        <v>97</v>
      </c>
    </row>
    <row r="21" spans="1:6" s="6" customFormat="1" ht="62" x14ac:dyDescent="0.35">
      <c r="A21" s="29" t="s">
        <v>38</v>
      </c>
      <c r="B21" s="29" t="s">
        <v>2</v>
      </c>
      <c r="C21" s="30" t="s">
        <v>107</v>
      </c>
      <c r="D21" s="31">
        <v>46288.833333333299</v>
      </c>
      <c r="E21" s="31">
        <v>46289.25</v>
      </c>
      <c r="F21" s="30" t="s">
        <v>97</v>
      </c>
    </row>
    <row r="22" spans="1:6" s="6" customFormat="1" ht="62" x14ac:dyDescent="0.35">
      <c r="A22" s="29" t="s">
        <v>38</v>
      </c>
      <c r="B22" s="29" t="s">
        <v>2</v>
      </c>
      <c r="C22" s="30" t="s">
        <v>108</v>
      </c>
      <c r="D22" s="31">
        <v>46288.833333333299</v>
      </c>
      <c r="E22" s="31">
        <v>46289.25</v>
      </c>
      <c r="F22" s="30" t="s">
        <v>97</v>
      </c>
    </row>
    <row r="23" spans="1:6" s="6" customFormat="1" ht="77.5" x14ac:dyDescent="0.35">
      <c r="A23" s="29" t="s">
        <v>38</v>
      </c>
      <c r="B23" s="29" t="s">
        <v>2</v>
      </c>
      <c r="C23" s="30" t="s">
        <v>110</v>
      </c>
      <c r="D23" s="31">
        <v>46288.833333333299</v>
      </c>
      <c r="E23" s="31">
        <v>46289.25</v>
      </c>
      <c r="F23" s="30" t="s">
        <v>97</v>
      </c>
    </row>
    <row r="24" spans="1:6" s="6" customFormat="1" ht="62" x14ac:dyDescent="0.35">
      <c r="A24" s="29" t="s">
        <v>38</v>
      </c>
      <c r="B24" s="29" t="s">
        <v>2</v>
      </c>
      <c r="C24" s="30" t="s">
        <v>111</v>
      </c>
      <c r="D24" s="31">
        <v>46288.833333333299</v>
      </c>
      <c r="E24" s="31">
        <v>46289.25</v>
      </c>
      <c r="F24" s="30" t="s">
        <v>97</v>
      </c>
    </row>
    <row r="25" spans="1:6" s="6" customFormat="1" ht="62" x14ac:dyDescent="0.35">
      <c r="A25" s="29" t="s">
        <v>38</v>
      </c>
      <c r="B25" s="29" t="s">
        <v>2</v>
      </c>
      <c r="C25" s="30" t="s">
        <v>112</v>
      </c>
      <c r="D25" s="31">
        <v>46288.833333333299</v>
      </c>
      <c r="E25" s="31">
        <v>46289.25</v>
      </c>
      <c r="F25" s="30" t="s">
        <v>97</v>
      </c>
    </row>
    <row r="26" spans="1:6" s="6" customFormat="1" ht="46.5" x14ac:dyDescent="0.35">
      <c r="A26" s="29" t="s">
        <v>38</v>
      </c>
      <c r="B26" s="29" t="s">
        <v>2</v>
      </c>
      <c r="C26" s="30" t="s">
        <v>113</v>
      </c>
      <c r="D26" s="31">
        <v>46288.833333333299</v>
      </c>
      <c r="E26" s="31">
        <v>46289.25</v>
      </c>
      <c r="F26" s="30" t="s">
        <v>97</v>
      </c>
    </row>
    <row r="27" spans="1:6" s="6" customFormat="1" ht="46.5" x14ac:dyDescent="0.35">
      <c r="A27" s="29" t="s">
        <v>38</v>
      </c>
      <c r="B27" s="29" t="s">
        <v>2</v>
      </c>
      <c r="C27" s="30" t="s">
        <v>114</v>
      </c>
      <c r="D27" s="31">
        <v>46288.833333333299</v>
      </c>
      <c r="E27" s="31">
        <v>46289.25</v>
      </c>
      <c r="F27" s="30" t="s">
        <v>97</v>
      </c>
    </row>
    <row r="28" spans="1:6" s="6" customFormat="1" ht="46.5" x14ac:dyDescent="0.35">
      <c r="A28" s="29" t="s">
        <v>38</v>
      </c>
      <c r="B28" s="29" t="s">
        <v>2</v>
      </c>
      <c r="C28" s="30" t="s">
        <v>115</v>
      </c>
      <c r="D28" s="31">
        <v>46288.833333333299</v>
      </c>
      <c r="E28" s="31">
        <v>46289.25</v>
      </c>
      <c r="F28" s="30" t="s">
        <v>97</v>
      </c>
    </row>
    <row r="29" spans="1:6" s="6" customFormat="1" ht="62" x14ac:dyDescent="0.35">
      <c r="A29" s="29" t="s">
        <v>38</v>
      </c>
      <c r="B29" s="29" t="s">
        <v>6</v>
      </c>
      <c r="C29" s="30" t="s">
        <v>1049</v>
      </c>
      <c r="D29" s="31">
        <v>46288.833333333299</v>
      </c>
      <c r="E29" s="31">
        <v>46289.208333333299</v>
      </c>
      <c r="F29" s="30" t="s">
        <v>1050</v>
      </c>
    </row>
    <row r="30" spans="1:6" s="6" customFormat="1" ht="46.5" x14ac:dyDescent="0.35">
      <c r="A30" s="29" t="s">
        <v>38</v>
      </c>
      <c r="B30" s="29" t="s">
        <v>2</v>
      </c>
      <c r="C30" s="30" t="s">
        <v>208</v>
      </c>
      <c r="D30" s="31">
        <v>46288.833333333299</v>
      </c>
      <c r="E30" s="31">
        <v>46289.25</v>
      </c>
      <c r="F30" s="30" t="s">
        <v>209</v>
      </c>
    </row>
    <row r="31" spans="1:6" s="6" customFormat="1" ht="46.5" x14ac:dyDescent="0.35">
      <c r="A31" s="29" t="s">
        <v>38</v>
      </c>
      <c r="B31" s="29" t="s">
        <v>2</v>
      </c>
      <c r="C31" s="30" t="s">
        <v>210</v>
      </c>
      <c r="D31" s="31">
        <v>46288.833333333299</v>
      </c>
      <c r="E31" s="31">
        <v>46289.25</v>
      </c>
      <c r="F31" s="30" t="s">
        <v>209</v>
      </c>
    </row>
    <row r="32" spans="1:6" s="6" customFormat="1" ht="46.5" x14ac:dyDescent="0.35">
      <c r="A32" s="29" t="s">
        <v>62</v>
      </c>
      <c r="B32" s="29" t="s">
        <v>2</v>
      </c>
      <c r="C32" s="30" t="s">
        <v>895</v>
      </c>
      <c r="D32" s="31">
        <v>46288.854166666701</v>
      </c>
      <c r="E32" s="31">
        <v>46289.25</v>
      </c>
      <c r="F32" s="30" t="s">
        <v>892</v>
      </c>
    </row>
    <row r="33" spans="1:6" s="6" customFormat="1" ht="93" x14ac:dyDescent="0.35">
      <c r="A33" s="29" t="s">
        <v>62</v>
      </c>
      <c r="B33" s="29" t="s">
        <v>2</v>
      </c>
      <c r="C33" s="30" t="s">
        <v>896</v>
      </c>
      <c r="D33" s="31">
        <v>46288.854166666701</v>
      </c>
      <c r="E33" s="31">
        <v>46289.25</v>
      </c>
      <c r="F33" s="30" t="s">
        <v>892</v>
      </c>
    </row>
    <row r="34" spans="1:6" s="6" customFormat="1" ht="93" x14ac:dyDescent="0.35">
      <c r="A34" s="29" t="s">
        <v>62</v>
      </c>
      <c r="B34" s="29" t="s">
        <v>2</v>
      </c>
      <c r="C34" s="30" t="s">
        <v>1068</v>
      </c>
      <c r="D34" s="31">
        <v>46288.875</v>
      </c>
      <c r="E34" s="31">
        <v>46289.25</v>
      </c>
      <c r="F34" s="30" t="s">
        <v>1069</v>
      </c>
    </row>
    <row r="35" spans="1:6" s="6" customFormat="1" ht="77.5" x14ac:dyDescent="0.35">
      <c r="A35" s="29" t="s">
        <v>62</v>
      </c>
      <c r="B35" s="29" t="s">
        <v>2</v>
      </c>
      <c r="C35" s="30" t="s">
        <v>1070</v>
      </c>
      <c r="D35" s="31">
        <v>46288.875</v>
      </c>
      <c r="E35" s="31">
        <v>46289.25</v>
      </c>
      <c r="F35" s="30" t="s">
        <v>1069</v>
      </c>
    </row>
    <row r="36" spans="1:6" s="6" customFormat="1" ht="77.5" x14ac:dyDescent="0.35">
      <c r="A36" s="29" t="s">
        <v>62</v>
      </c>
      <c r="B36" s="29" t="s">
        <v>2</v>
      </c>
      <c r="C36" s="30" t="s">
        <v>1071</v>
      </c>
      <c r="D36" s="31">
        <v>46288.875</v>
      </c>
      <c r="E36" s="31">
        <v>46289.25</v>
      </c>
      <c r="F36" s="30" t="s">
        <v>1069</v>
      </c>
    </row>
    <row r="37" spans="1:6" s="6" customFormat="1" ht="77.5" x14ac:dyDescent="0.35">
      <c r="A37" s="29" t="s">
        <v>62</v>
      </c>
      <c r="B37" s="29" t="s">
        <v>2</v>
      </c>
      <c r="C37" s="30" t="s">
        <v>1076</v>
      </c>
      <c r="D37" s="31">
        <v>46288.833333333299</v>
      </c>
      <c r="E37" s="31">
        <v>46289.25</v>
      </c>
      <c r="F37" s="30" t="s">
        <v>195</v>
      </c>
    </row>
    <row r="38" spans="1:6" s="6" customFormat="1" ht="93" x14ac:dyDescent="0.35">
      <c r="A38" s="29" t="s">
        <v>62</v>
      </c>
      <c r="B38" s="29" t="s">
        <v>24</v>
      </c>
      <c r="C38" s="30" t="s">
        <v>1077</v>
      </c>
      <c r="D38" s="31">
        <v>46288.833333333299</v>
      </c>
      <c r="E38" s="31">
        <v>46289.25</v>
      </c>
      <c r="F38" s="30" t="s">
        <v>195</v>
      </c>
    </row>
    <row r="39" spans="1:6" s="14" customFormat="1" ht="93" x14ac:dyDescent="0.35">
      <c r="A39" s="29" t="s">
        <v>62</v>
      </c>
      <c r="B39" s="29" t="s">
        <v>6</v>
      </c>
      <c r="C39" s="30" t="s">
        <v>1078</v>
      </c>
      <c r="D39" s="31">
        <v>46288.833333333299</v>
      </c>
      <c r="E39" s="31">
        <v>46289.25</v>
      </c>
      <c r="F39" s="30" t="s">
        <v>195</v>
      </c>
    </row>
    <row r="40" spans="1:6" s="6" customFormat="1" ht="93" x14ac:dyDescent="0.35">
      <c r="A40" s="29" t="s">
        <v>62</v>
      </c>
      <c r="B40" s="29" t="s">
        <v>2</v>
      </c>
      <c r="C40" s="30" t="s">
        <v>906</v>
      </c>
      <c r="D40" s="31">
        <v>46288.833333333299</v>
      </c>
      <c r="E40" s="31">
        <v>46289.25</v>
      </c>
      <c r="F40" s="30" t="s">
        <v>907</v>
      </c>
    </row>
    <row r="41" spans="1:6" s="6" customFormat="1" ht="93" x14ac:dyDescent="0.35">
      <c r="A41" s="29" t="s">
        <v>17</v>
      </c>
      <c r="B41" s="29" t="s">
        <v>6</v>
      </c>
      <c r="C41" s="30" t="s">
        <v>842</v>
      </c>
      <c r="D41" s="31">
        <v>46288.833333333299</v>
      </c>
      <c r="E41" s="31">
        <v>46289.25</v>
      </c>
      <c r="F41" s="30" t="s">
        <v>19</v>
      </c>
    </row>
    <row r="42" spans="1:6" s="6" customFormat="1" ht="93" x14ac:dyDescent="0.35">
      <c r="A42" s="29" t="s">
        <v>20</v>
      </c>
      <c r="B42" s="29" t="s">
        <v>2</v>
      </c>
      <c r="C42" s="30" t="s">
        <v>21</v>
      </c>
      <c r="D42" s="31">
        <v>46288.875</v>
      </c>
      <c r="E42" s="31">
        <v>46289.208333333299</v>
      </c>
      <c r="F42" s="30" t="s">
        <v>22</v>
      </c>
    </row>
    <row r="43" spans="1:6" s="6" customFormat="1" ht="93" x14ac:dyDescent="0.35">
      <c r="A43" s="29" t="s">
        <v>43</v>
      </c>
      <c r="B43" s="29" t="s">
        <v>5</v>
      </c>
      <c r="C43" s="30" t="s">
        <v>1147</v>
      </c>
      <c r="D43" s="31">
        <v>46288.875</v>
      </c>
      <c r="E43" s="31">
        <v>46289.208333333299</v>
      </c>
      <c r="F43" s="30" t="s">
        <v>846</v>
      </c>
    </row>
    <row r="44" spans="1:6" s="6" customFormat="1" ht="93" x14ac:dyDescent="0.35">
      <c r="A44" s="29" t="s">
        <v>29</v>
      </c>
      <c r="B44" s="29" t="s">
        <v>5</v>
      </c>
      <c r="C44" s="30" t="s">
        <v>30</v>
      </c>
      <c r="D44" s="31">
        <v>46288.833333333299</v>
      </c>
      <c r="E44" s="31">
        <v>46289.25</v>
      </c>
      <c r="F44" s="30" t="s">
        <v>31</v>
      </c>
    </row>
    <row r="45" spans="1:6" s="6" customFormat="1" ht="93" x14ac:dyDescent="0.35">
      <c r="A45" s="29" t="s">
        <v>29</v>
      </c>
      <c r="B45" s="29" t="s">
        <v>4</v>
      </c>
      <c r="C45" s="30" t="s">
        <v>32</v>
      </c>
      <c r="D45" s="31">
        <v>46288.833333333299</v>
      </c>
      <c r="E45" s="31">
        <v>46289.25</v>
      </c>
      <c r="F45" s="30" t="s">
        <v>33</v>
      </c>
    </row>
    <row r="46" spans="1:6" s="6" customFormat="1" ht="93" x14ac:dyDescent="0.35">
      <c r="A46" s="29" t="s">
        <v>29</v>
      </c>
      <c r="B46" s="29" t="s">
        <v>5</v>
      </c>
      <c r="C46" s="30" t="s">
        <v>1150</v>
      </c>
      <c r="D46" s="31">
        <v>46288.833333333299</v>
      </c>
      <c r="E46" s="31">
        <v>46289.25</v>
      </c>
      <c r="F46" s="30" t="s">
        <v>851</v>
      </c>
    </row>
    <row r="47" spans="1:6" s="14" customFormat="1" ht="93" x14ac:dyDescent="0.35">
      <c r="A47" s="29" t="s">
        <v>29</v>
      </c>
      <c r="B47" s="29" t="s">
        <v>5</v>
      </c>
      <c r="C47" s="30" t="s">
        <v>1033</v>
      </c>
      <c r="D47" s="31">
        <v>46288.833333333299</v>
      </c>
      <c r="E47" s="31">
        <v>46289.25</v>
      </c>
      <c r="F47" s="30" t="s">
        <v>1034</v>
      </c>
    </row>
    <row r="48" spans="1:6" s="6" customFormat="1" ht="93" x14ac:dyDescent="0.35">
      <c r="A48" s="29" t="s">
        <v>29</v>
      </c>
      <c r="B48" s="29" t="s">
        <v>5</v>
      </c>
      <c r="C48" s="30" t="s">
        <v>868</v>
      </c>
      <c r="D48" s="31">
        <v>46286.541666666701</v>
      </c>
      <c r="E48" s="31">
        <v>46291.25</v>
      </c>
      <c r="F48" s="30" t="s">
        <v>77</v>
      </c>
    </row>
    <row r="49" spans="1:6" s="6" customFormat="1" ht="93" x14ac:dyDescent="0.35">
      <c r="A49" s="29" t="s">
        <v>29</v>
      </c>
      <c r="B49" s="29" t="s">
        <v>5</v>
      </c>
      <c r="C49" s="30" t="s">
        <v>869</v>
      </c>
      <c r="D49" s="31">
        <v>46288.833333333299</v>
      </c>
      <c r="E49" s="31">
        <v>46289.25</v>
      </c>
      <c r="F49" s="30" t="s">
        <v>77</v>
      </c>
    </row>
    <row r="50" spans="1:6" s="6" customFormat="1" ht="93" x14ac:dyDescent="0.35">
      <c r="A50" s="29" t="s">
        <v>29</v>
      </c>
      <c r="B50" s="29" t="s">
        <v>5</v>
      </c>
      <c r="C50" s="30" t="s">
        <v>870</v>
      </c>
      <c r="D50" s="31">
        <v>46288.833333333299</v>
      </c>
      <c r="E50" s="31">
        <v>46289.25</v>
      </c>
      <c r="F50" s="30" t="s">
        <v>77</v>
      </c>
    </row>
    <row r="51" spans="1:6" s="6" customFormat="1" ht="93" x14ac:dyDescent="0.35">
      <c r="A51" s="29" t="s">
        <v>29</v>
      </c>
      <c r="B51" s="29" t="s">
        <v>5</v>
      </c>
      <c r="C51" s="30" t="s">
        <v>871</v>
      </c>
      <c r="D51" s="31">
        <v>46288.833333333299</v>
      </c>
      <c r="E51" s="31">
        <v>46289.25</v>
      </c>
      <c r="F51" s="30" t="s">
        <v>77</v>
      </c>
    </row>
    <row r="52" spans="1:6" s="6" customFormat="1" ht="77.5" x14ac:dyDescent="0.35">
      <c r="A52" s="29" t="s">
        <v>29</v>
      </c>
      <c r="B52" s="29" t="s">
        <v>5</v>
      </c>
      <c r="C52" s="30" t="s">
        <v>872</v>
      </c>
      <c r="D52" s="31">
        <v>46288.833333333299</v>
      </c>
      <c r="E52" s="31">
        <v>46289.25</v>
      </c>
      <c r="F52" s="30" t="s">
        <v>77</v>
      </c>
    </row>
    <row r="53" spans="1:6" s="14" customFormat="1" ht="93" x14ac:dyDescent="0.35">
      <c r="A53" s="29" t="s">
        <v>29</v>
      </c>
      <c r="B53" s="29" t="s">
        <v>5</v>
      </c>
      <c r="C53" s="30" t="s">
        <v>873</v>
      </c>
      <c r="D53" s="31">
        <v>46288.833333333299</v>
      </c>
      <c r="E53" s="31">
        <v>46289.25</v>
      </c>
      <c r="F53" s="30" t="s">
        <v>77</v>
      </c>
    </row>
    <row r="54" spans="1:6" s="14" customFormat="1" ht="93" x14ac:dyDescent="0.35">
      <c r="A54" s="29" t="s">
        <v>29</v>
      </c>
      <c r="B54" s="29" t="s">
        <v>5</v>
      </c>
      <c r="C54" s="30" t="s">
        <v>874</v>
      </c>
      <c r="D54" s="31">
        <v>46288.833333333299</v>
      </c>
      <c r="E54" s="31">
        <v>46289.25</v>
      </c>
      <c r="F54" s="30" t="s">
        <v>77</v>
      </c>
    </row>
    <row r="55" spans="1:6" s="14" customFormat="1" ht="93" x14ac:dyDescent="0.35">
      <c r="A55" s="29" t="s">
        <v>29</v>
      </c>
      <c r="B55" s="29" t="s">
        <v>5</v>
      </c>
      <c r="C55" s="30" t="s">
        <v>875</v>
      </c>
      <c r="D55" s="31">
        <v>46288.833333333299</v>
      </c>
      <c r="E55" s="31">
        <v>46289.25</v>
      </c>
      <c r="F55" s="30" t="s">
        <v>77</v>
      </c>
    </row>
    <row r="56" spans="1:6" s="6" customFormat="1" ht="93" x14ac:dyDescent="0.35">
      <c r="A56" s="29" t="s">
        <v>173</v>
      </c>
      <c r="B56" s="29" t="s">
        <v>5</v>
      </c>
      <c r="C56" s="30" t="s">
        <v>174</v>
      </c>
      <c r="D56" s="31">
        <v>46288.833333333299</v>
      </c>
      <c r="E56" s="31">
        <v>46289.25</v>
      </c>
      <c r="F56" s="30" t="s">
        <v>175</v>
      </c>
    </row>
    <row r="57" spans="1:6" s="6" customFormat="1" ht="93" x14ac:dyDescent="0.35">
      <c r="A57" s="29" t="s">
        <v>173</v>
      </c>
      <c r="B57" s="29" t="s">
        <v>5</v>
      </c>
      <c r="C57" s="30" t="s">
        <v>176</v>
      </c>
      <c r="D57" s="31">
        <v>46288.833333333299</v>
      </c>
      <c r="E57" s="31">
        <v>46289.25</v>
      </c>
      <c r="F57" s="30" t="s">
        <v>175</v>
      </c>
    </row>
    <row r="58" spans="1:6" s="6" customFormat="1" ht="93" x14ac:dyDescent="0.35">
      <c r="A58" s="29" t="s">
        <v>173</v>
      </c>
      <c r="B58" s="29" t="s">
        <v>5</v>
      </c>
      <c r="C58" s="30" t="s">
        <v>177</v>
      </c>
      <c r="D58" s="31">
        <v>46288.833333333299</v>
      </c>
      <c r="E58" s="31">
        <v>46289.25</v>
      </c>
      <c r="F58" s="30" t="s">
        <v>175</v>
      </c>
    </row>
    <row r="59" spans="1:6" s="6" customFormat="1" ht="93" x14ac:dyDescent="0.35">
      <c r="A59" s="29" t="s">
        <v>217</v>
      </c>
      <c r="B59" s="29" t="s">
        <v>4</v>
      </c>
      <c r="C59" s="30" t="s">
        <v>612</v>
      </c>
      <c r="D59" s="31">
        <v>46083.999305555597</v>
      </c>
      <c r="E59" s="31">
        <v>46293.999305555597</v>
      </c>
      <c r="F59" s="30" t="s">
        <v>219</v>
      </c>
    </row>
    <row r="60" spans="1:6" s="6" customFormat="1" ht="93" x14ac:dyDescent="0.35">
      <c r="A60" s="29" t="s">
        <v>217</v>
      </c>
      <c r="B60" s="29" t="s">
        <v>5</v>
      </c>
      <c r="C60" s="30" t="s">
        <v>613</v>
      </c>
      <c r="D60" s="31">
        <v>46083.999305555597</v>
      </c>
      <c r="E60" s="31">
        <v>46293.999305555597</v>
      </c>
      <c r="F60" s="30" t="s">
        <v>219</v>
      </c>
    </row>
    <row r="61" spans="1:6" s="6" customFormat="1" ht="93" x14ac:dyDescent="0.35">
      <c r="A61" s="29" t="s">
        <v>220</v>
      </c>
      <c r="B61" s="29" t="s">
        <v>6</v>
      </c>
      <c r="C61" s="30" t="s">
        <v>221</v>
      </c>
      <c r="D61" s="31">
        <v>46288.833333333299</v>
      </c>
      <c r="E61" s="31">
        <v>46289.25</v>
      </c>
      <c r="F61" s="30" t="s">
        <v>222</v>
      </c>
    </row>
    <row r="62" spans="1:6" s="6" customFormat="1" ht="93" x14ac:dyDescent="0.35">
      <c r="A62" s="29" t="s">
        <v>220</v>
      </c>
      <c r="B62" s="29" t="s">
        <v>2</v>
      </c>
      <c r="C62" s="30" t="s">
        <v>223</v>
      </c>
      <c r="D62" s="31">
        <v>46288.833333333299</v>
      </c>
      <c r="E62" s="31">
        <v>46289.25</v>
      </c>
      <c r="F62" s="30" t="s">
        <v>224</v>
      </c>
    </row>
    <row r="63" spans="1:6" s="6" customFormat="1" ht="93" x14ac:dyDescent="0.35">
      <c r="A63" s="29" t="s">
        <v>220</v>
      </c>
      <c r="B63" s="29" t="s">
        <v>6</v>
      </c>
      <c r="C63" s="30" t="s">
        <v>225</v>
      </c>
      <c r="D63" s="31">
        <v>46288.833333333299</v>
      </c>
      <c r="E63" s="31">
        <v>46289.25</v>
      </c>
      <c r="F63" s="30" t="s">
        <v>224</v>
      </c>
    </row>
    <row r="64" spans="1:6" s="6" customFormat="1" ht="93" x14ac:dyDescent="0.35">
      <c r="A64" s="29" t="s">
        <v>220</v>
      </c>
      <c r="B64" s="29" t="s">
        <v>2</v>
      </c>
      <c r="C64" s="30" t="s">
        <v>226</v>
      </c>
      <c r="D64" s="31">
        <v>46288.833333333299</v>
      </c>
      <c r="E64" s="31">
        <v>46289.25</v>
      </c>
      <c r="F64" s="30" t="s">
        <v>227</v>
      </c>
    </row>
    <row r="65" spans="1:6" s="6" customFormat="1" ht="93" x14ac:dyDescent="0.35">
      <c r="A65" s="29" t="s">
        <v>220</v>
      </c>
      <c r="B65" s="29" t="s">
        <v>2</v>
      </c>
      <c r="C65" s="30" t="s">
        <v>910</v>
      </c>
      <c r="D65" s="31">
        <v>46288.833333333299</v>
      </c>
      <c r="E65" s="31">
        <v>46289.25</v>
      </c>
      <c r="F65" s="30" t="s">
        <v>229</v>
      </c>
    </row>
    <row r="66" spans="1:6" s="6" customFormat="1" ht="93" x14ac:dyDescent="0.35">
      <c r="A66" s="29" t="s">
        <v>377</v>
      </c>
      <c r="B66" s="29" t="s">
        <v>6</v>
      </c>
      <c r="C66" s="30" t="s">
        <v>968</v>
      </c>
      <c r="D66" s="31">
        <v>46288.833333333299</v>
      </c>
      <c r="E66" s="31">
        <v>46289.25</v>
      </c>
      <c r="F66" s="30" t="s">
        <v>969</v>
      </c>
    </row>
    <row r="67" spans="1:6" s="6" customFormat="1" ht="93" x14ac:dyDescent="0.35">
      <c r="A67" s="29" t="s">
        <v>377</v>
      </c>
      <c r="B67" s="29" t="s">
        <v>2</v>
      </c>
      <c r="C67" s="30" t="s">
        <v>970</v>
      </c>
      <c r="D67" s="31">
        <v>46288.833333333299</v>
      </c>
      <c r="E67" s="31">
        <v>46289.25</v>
      </c>
      <c r="F67" s="30" t="s">
        <v>969</v>
      </c>
    </row>
    <row r="68" spans="1:6" s="6" customFormat="1" ht="93" x14ac:dyDescent="0.35">
      <c r="A68" s="29" t="s">
        <v>377</v>
      </c>
      <c r="B68" s="29" t="s">
        <v>4</v>
      </c>
      <c r="C68" s="30" t="s">
        <v>1108</v>
      </c>
      <c r="D68" s="31">
        <v>46288.833333333299</v>
      </c>
      <c r="E68" s="31">
        <v>46289.25</v>
      </c>
      <c r="F68" s="30" t="s">
        <v>1109</v>
      </c>
    </row>
    <row r="69" spans="1:6" s="6" customFormat="1" ht="93" x14ac:dyDescent="0.35">
      <c r="A69" s="29" t="s">
        <v>377</v>
      </c>
      <c r="B69" s="29" t="s">
        <v>5</v>
      </c>
      <c r="C69" s="30" t="s">
        <v>1110</v>
      </c>
      <c r="D69" s="31">
        <v>46288.833333333299</v>
      </c>
      <c r="E69" s="31">
        <v>46289.25</v>
      </c>
      <c r="F69" s="30" t="s">
        <v>1109</v>
      </c>
    </row>
    <row r="70" spans="1:6" s="6" customFormat="1" ht="93" x14ac:dyDescent="0.35">
      <c r="A70" s="29" t="s">
        <v>377</v>
      </c>
      <c r="B70" s="29" t="s">
        <v>5</v>
      </c>
      <c r="C70" s="30" t="s">
        <v>1111</v>
      </c>
      <c r="D70" s="31">
        <v>46288.875</v>
      </c>
      <c r="E70" s="31">
        <v>46289.25</v>
      </c>
      <c r="F70" s="30" t="s">
        <v>1112</v>
      </c>
    </row>
    <row r="71" spans="1:6" s="6" customFormat="1" ht="77.5" x14ac:dyDescent="0.35">
      <c r="A71" s="29" t="s">
        <v>377</v>
      </c>
      <c r="B71" s="29" t="s">
        <v>5</v>
      </c>
      <c r="C71" s="30" t="s">
        <v>1262</v>
      </c>
      <c r="D71" s="31">
        <v>46288.833333333299</v>
      </c>
      <c r="E71" s="31">
        <v>46289.166666666701</v>
      </c>
      <c r="F71" s="30" t="s">
        <v>1263</v>
      </c>
    </row>
    <row r="72" spans="1:6" s="6" customFormat="1" ht="77.5" x14ac:dyDescent="0.35">
      <c r="A72" s="29" t="s">
        <v>377</v>
      </c>
      <c r="B72" s="29" t="s">
        <v>4</v>
      </c>
      <c r="C72" s="30" t="s">
        <v>1264</v>
      </c>
      <c r="D72" s="31">
        <v>46288.833333333299</v>
      </c>
      <c r="E72" s="31">
        <v>46289.25</v>
      </c>
      <c r="F72" s="30" t="s">
        <v>1265</v>
      </c>
    </row>
    <row r="73" spans="1:6" s="6" customFormat="1" ht="93" x14ac:dyDescent="0.35">
      <c r="A73" s="29" t="s">
        <v>377</v>
      </c>
      <c r="B73" s="29" t="s">
        <v>4</v>
      </c>
      <c r="C73" s="30" t="s">
        <v>1269</v>
      </c>
      <c r="D73" s="31">
        <v>46288.916666666701</v>
      </c>
      <c r="E73" s="31">
        <v>46289.229166666701</v>
      </c>
      <c r="F73" s="30" t="s">
        <v>1270</v>
      </c>
    </row>
    <row r="74" spans="1:6" s="6" customFormat="1" ht="93" x14ac:dyDescent="0.35">
      <c r="A74" s="29" t="s">
        <v>382</v>
      </c>
      <c r="B74" s="29" t="s">
        <v>5</v>
      </c>
      <c r="C74" s="30" t="s">
        <v>1252</v>
      </c>
      <c r="D74" s="31">
        <v>46288.833333333299</v>
      </c>
      <c r="E74" s="31">
        <v>46289.208333333299</v>
      </c>
      <c r="F74" s="30" t="s">
        <v>1253</v>
      </c>
    </row>
    <row r="75" spans="1:6" s="6" customFormat="1" ht="93" x14ac:dyDescent="0.35">
      <c r="A75" s="29" t="s">
        <v>382</v>
      </c>
      <c r="B75" s="29" t="s">
        <v>5</v>
      </c>
      <c r="C75" s="30" t="s">
        <v>1254</v>
      </c>
      <c r="D75" s="31">
        <v>46288.833333333299</v>
      </c>
      <c r="E75" s="31">
        <v>46289.208333333299</v>
      </c>
      <c r="F75" s="30" t="s">
        <v>1253</v>
      </c>
    </row>
    <row r="76" spans="1:6" s="6" customFormat="1" ht="77.5" x14ac:dyDescent="0.35">
      <c r="A76" s="29" t="s">
        <v>382</v>
      </c>
      <c r="B76" s="29" t="s">
        <v>5</v>
      </c>
      <c r="C76" s="30" t="s">
        <v>1271</v>
      </c>
      <c r="D76" s="31">
        <v>46288.916666666701</v>
      </c>
      <c r="E76" s="31">
        <v>46289.229166666701</v>
      </c>
      <c r="F76" s="30" t="s">
        <v>1272</v>
      </c>
    </row>
    <row r="77" spans="1:6" s="6" customFormat="1" ht="77.5" x14ac:dyDescent="0.35">
      <c r="A77" s="29" t="s">
        <v>658</v>
      </c>
      <c r="B77" s="29" t="s">
        <v>6</v>
      </c>
      <c r="C77" s="30" t="s">
        <v>824</v>
      </c>
      <c r="D77" s="31">
        <v>46288.833333333299</v>
      </c>
      <c r="E77" s="31">
        <v>46289.25</v>
      </c>
      <c r="F77" s="30" t="s">
        <v>825</v>
      </c>
    </row>
    <row r="78" spans="1:6" s="6" customFormat="1" ht="77.5" x14ac:dyDescent="0.35">
      <c r="A78" s="29" t="s">
        <v>396</v>
      </c>
      <c r="B78" s="29" t="s">
        <v>2</v>
      </c>
      <c r="C78" s="30" t="s">
        <v>397</v>
      </c>
      <c r="D78" s="31">
        <v>46288.833333333299</v>
      </c>
      <c r="E78" s="31">
        <v>46289.25</v>
      </c>
      <c r="F78" s="30" t="s">
        <v>398</v>
      </c>
    </row>
    <row r="79" spans="1:6" s="6" customFormat="1" ht="108.5" x14ac:dyDescent="0.35">
      <c r="A79" s="29" t="s">
        <v>396</v>
      </c>
      <c r="B79" s="29" t="s">
        <v>24</v>
      </c>
      <c r="C79" s="30" t="s">
        <v>415</v>
      </c>
      <c r="D79" s="31">
        <v>46288.875</v>
      </c>
      <c r="E79" s="31">
        <v>46289.25</v>
      </c>
      <c r="F79" s="30" t="s">
        <v>416</v>
      </c>
    </row>
    <row r="80" spans="1:6" s="6" customFormat="1" ht="108.5" x14ac:dyDescent="0.35">
      <c r="A80" s="29" t="s">
        <v>359</v>
      </c>
      <c r="B80" s="29" t="s">
        <v>5</v>
      </c>
      <c r="C80" s="30" t="s">
        <v>1260</v>
      </c>
      <c r="D80" s="31">
        <v>46288.833333333299</v>
      </c>
      <c r="E80" s="31">
        <v>46289.25</v>
      </c>
      <c r="F80" s="30" t="s">
        <v>1261</v>
      </c>
    </row>
    <row r="81" spans="1:6" s="6" customFormat="1" ht="108.5" x14ac:dyDescent="0.35">
      <c r="A81" s="29" t="s">
        <v>429</v>
      </c>
      <c r="B81" s="29" t="s">
        <v>2</v>
      </c>
      <c r="C81" s="30" t="s">
        <v>430</v>
      </c>
      <c r="D81" s="31">
        <v>46288.875</v>
      </c>
      <c r="E81" s="31">
        <v>46289.229166666701</v>
      </c>
      <c r="F81" s="30" t="s">
        <v>431</v>
      </c>
    </row>
    <row r="82" spans="1:6" s="6" customFormat="1" ht="77.5" x14ac:dyDescent="0.35">
      <c r="A82" s="29" t="s">
        <v>429</v>
      </c>
      <c r="B82" s="29" t="s">
        <v>2</v>
      </c>
      <c r="C82" s="30" t="s">
        <v>432</v>
      </c>
      <c r="D82" s="31">
        <v>46288.875</v>
      </c>
      <c r="E82" s="31">
        <v>46289.229166666701</v>
      </c>
      <c r="F82" s="30" t="s">
        <v>431</v>
      </c>
    </row>
    <row r="83" spans="1:6" s="6" customFormat="1" ht="77.5" x14ac:dyDescent="0.35">
      <c r="A83" s="29" t="s">
        <v>429</v>
      </c>
      <c r="B83" s="29" t="s">
        <v>2</v>
      </c>
      <c r="C83" s="30" t="s">
        <v>1275</v>
      </c>
      <c r="D83" s="31">
        <v>46288.916666666701</v>
      </c>
      <c r="E83" s="31">
        <v>46289.229166666701</v>
      </c>
      <c r="F83" s="30" t="s">
        <v>1276</v>
      </c>
    </row>
    <row r="84" spans="1:6" s="6" customFormat="1" ht="77.5" x14ac:dyDescent="0.35">
      <c r="A84" s="29" t="s">
        <v>330</v>
      </c>
      <c r="B84" s="29" t="s">
        <v>2</v>
      </c>
      <c r="C84" s="30" t="s">
        <v>951</v>
      </c>
      <c r="D84" s="31">
        <v>46288.875</v>
      </c>
      <c r="E84" s="31">
        <v>46289.25</v>
      </c>
      <c r="F84" s="30" t="s">
        <v>952</v>
      </c>
    </row>
    <row r="85" spans="1:6" s="6" customFormat="1" ht="77.5" x14ac:dyDescent="0.35">
      <c r="A85" s="29" t="s">
        <v>330</v>
      </c>
      <c r="B85" s="29" t="s">
        <v>2</v>
      </c>
      <c r="C85" s="30" t="s">
        <v>953</v>
      </c>
      <c r="D85" s="31">
        <v>46288.875</v>
      </c>
      <c r="E85" s="31">
        <v>46289.25</v>
      </c>
      <c r="F85" s="30" t="s">
        <v>952</v>
      </c>
    </row>
    <row r="86" spans="1:6" s="6" customFormat="1" ht="77.5" x14ac:dyDescent="0.35">
      <c r="A86" s="29" t="s">
        <v>330</v>
      </c>
      <c r="B86" s="29" t="s">
        <v>6</v>
      </c>
      <c r="C86" s="30" t="s">
        <v>1277</v>
      </c>
      <c r="D86" s="31">
        <v>46288.916666666701</v>
      </c>
      <c r="E86" s="31">
        <v>46289.229166666701</v>
      </c>
      <c r="F86" s="30" t="s">
        <v>1278</v>
      </c>
    </row>
    <row r="87" spans="1:6" s="6" customFormat="1" ht="77.5" x14ac:dyDescent="0.35">
      <c r="A87" s="29" t="s">
        <v>467</v>
      </c>
      <c r="B87" s="29" t="s">
        <v>4</v>
      </c>
      <c r="C87" s="30" t="s">
        <v>468</v>
      </c>
      <c r="D87" s="31">
        <v>46288.833333333299</v>
      </c>
      <c r="E87" s="31">
        <v>46289.25</v>
      </c>
      <c r="F87" s="30" t="s">
        <v>469</v>
      </c>
    </row>
    <row r="88" spans="1:6" s="6" customFormat="1" ht="77.5" x14ac:dyDescent="0.35">
      <c r="A88" s="29" t="s">
        <v>467</v>
      </c>
      <c r="B88" s="29" t="s">
        <v>4</v>
      </c>
      <c r="C88" s="30" t="s">
        <v>473</v>
      </c>
      <c r="D88" s="31">
        <v>46272.25</v>
      </c>
      <c r="E88" s="31">
        <v>46341.833333333299</v>
      </c>
      <c r="F88" s="30" t="s">
        <v>474</v>
      </c>
    </row>
    <row r="89" spans="1:6" s="6" customFormat="1" ht="77.5" x14ac:dyDescent="0.35">
      <c r="A89" s="29" t="s">
        <v>467</v>
      </c>
      <c r="B89" s="29" t="s">
        <v>5</v>
      </c>
      <c r="C89" s="30" t="s">
        <v>1279</v>
      </c>
      <c r="D89" s="31">
        <v>46288.875</v>
      </c>
      <c r="E89" s="31">
        <v>46289.25</v>
      </c>
      <c r="F89" s="30" t="s">
        <v>1280</v>
      </c>
    </row>
    <row r="90" spans="1:6" s="6" customFormat="1" ht="93" x14ac:dyDescent="0.35">
      <c r="A90" s="29" t="s">
        <v>340</v>
      </c>
      <c r="B90" s="29" t="s">
        <v>4</v>
      </c>
      <c r="C90" s="30" t="s">
        <v>1238</v>
      </c>
      <c r="D90" s="31">
        <v>46288.875</v>
      </c>
      <c r="E90" s="31">
        <v>46289.25</v>
      </c>
      <c r="F90" s="30" t="s">
        <v>1239</v>
      </c>
    </row>
    <row r="91" spans="1:6" s="6" customFormat="1" ht="93" x14ac:dyDescent="0.35">
      <c r="A91" s="29" t="s">
        <v>340</v>
      </c>
      <c r="B91" s="29" t="s">
        <v>5</v>
      </c>
      <c r="C91" s="30" t="s">
        <v>341</v>
      </c>
      <c r="D91" s="31">
        <v>46288.875</v>
      </c>
      <c r="E91" s="31">
        <v>46289.25</v>
      </c>
      <c r="F91" s="30" t="s">
        <v>342</v>
      </c>
    </row>
    <row r="92" spans="1:6" s="6" customFormat="1" ht="93" x14ac:dyDescent="0.35">
      <c r="A92" s="29" t="s">
        <v>340</v>
      </c>
      <c r="B92" s="29" t="s">
        <v>4</v>
      </c>
      <c r="C92" s="30" t="s">
        <v>343</v>
      </c>
      <c r="D92" s="31">
        <v>46288.875</v>
      </c>
      <c r="E92" s="31">
        <v>46289.25</v>
      </c>
      <c r="F92" s="30" t="s">
        <v>342</v>
      </c>
    </row>
    <row r="93" spans="1:6" s="6" customFormat="1" ht="77.5" x14ac:dyDescent="0.35">
      <c r="A93" s="29" t="s">
        <v>333</v>
      </c>
      <c r="B93" s="29" t="s">
        <v>4</v>
      </c>
      <c r="C93" s="30" t="s">
        <v>1240</v>
      </c>
      <c r="D93" s="31">
        <v>46288.875</v>
      </c>
      <c r="E93" s="31">
        <v>46289.25</v>
      </c>
      <c r="F93" s="30" t="s">
        <v>1241</v>
      </c>
    </row>
    <row r="94" spans="1:6" s="6" customFormat="1" ht="77.5" x14ac:dyDescent="0.35">
      <c r="A94" s="29" t="s">
        <v>333</v>
      </c>
      <c r="B94" s="29" t="s">
        <v>4</v>
      </c>
      <c r="C94" s="30" t="s">
        <v>1242</v>
      </c>
      <c r="D94" s="31">
        <v>46288.875</v>
      </c>
      <c r="E94" s="31">
        <v>46289.25</v>
      </c>
      <c r="F94" s="30" t="s">
        <v>1241</v>
      </c>
    </row>
    <row r="95" spans="1:6" s="6" customFormat="1" ht="77.5" x14ac:dyDescent="0.35">
      <c r="A95" s="29" t="s">
        <v>333</v>
      </c>
      <c r="B95" s="29" t="s">
        <v>4</v>
      </c>
      <c r="C95" s="30" t="s">
        <v>1243</v>
      </c>
      <c r="D95" s="31">
        <v>46288.875</v>
      </c>
      <c r="E95" s="31">
        <v>46289.25</v>
      </c>
      <c r="F95" s="30" t="s">
        <v>1241</v>
      </c>
    </row>
    <row r="96" spans="1:6" s="6" customFormat="1" ht="77.5" x14ac:dyDescent="0.35">
      <c r="A96" s="29" t="s">
        <v>327</v>
      </c>
      <c r="B96" s="29" t="s">
        <v>2</v>
      </c>
      <c r="C96" s="30" t="s">
        <v>328</v>
      </c>
      <c r="D96" s="31">
        <v>46288.875</v>
      </c>
      <c r="E96" s="31">
        <v>46289.25</v>
      </c>
      <c r="F96" s="30" t="s">
        <v>329</v>
      </c>
    </row>
    <row r="97" spans="1:6" s="6" customFormat="1" ht="77.5" x14ac:dyDescent="0.35">
      <c r="A97" s="29" t="s">
        <v>327</v>
      </c>
      <c r="B97" s="29" t="s">
        <v>6</v>
      </c>
      <c r="C97" s="30" t="s">
        <v>338</v>
      </c>
      <c r="D97" s="31">
        <v>46288.875</v>
      </c>
      <c r="E97" s="31">
        <v>46289.25</v>
      </c>
      <c r="F97" s="30" t="s">
        <v>339</v>
      </c>
    </row>
    <row r="98" spans="1:6" s="6" customFormat="1" ht="77.5" x14ac:dyDescent="0.35">
      <c r="A98" s="29" t="s">
        <v>327</v>
      </c>
      <c r="B98" s="29" t="s">
        <v>6</v>
      </c>
      <c r="C98" s="30" t="s">
        <v>1244</v>
      </c>
      <c r="D98" s="31">
        <v>46288.875</v>
      </c>
      <c r="E98" s="31">
        <v>46289.25</v>
      </c>
      <c r="F98" s="30" t="s">
        <v>1245</v>
      </c>
    </row>
    <row r="99" spans="1:6" s="5" customFormat="1" ht="77.5" x14ac:dyDescent="0.35">
      <c r="A99" s="29" t="s">
        <v>489</v>
      </c>
      <c r="B99" s="29" t="s">
        <v>24</v>
      </c>
      <c r="C99" s="30" t="s">
        <v>490</v>
      </c>
      <c r="D99" s="31">
        <v>46288.833333333299</v>
      </c>
      <c r="E99" s="31">
        <v>46289.25</v>
      </c>
      <c r="F99" s="30" t="s">
        <v>491</v>
      </c>
    </row>
    <row r="100" spans="1:6" s="6" customFormat="1" ht="93" x14ac:dyDescent="0.35">
      <c r="A100" s="29" t="s">
        <v>489</v>
      </c>
      <c r="B100" s="29" t="s">
        <v>24</v>
      </c>
      <c r="C100" s="30" t="s">
        <v>1281</v>
      </c>
      <c r="D100" s="31">
        <v>46288.833333333299</v>
      </c>
      <c r="E100" s="31">
        <v>46289.25</v>
      </c>
      <c r="F100" s="30" t="s">
        <v>1282</v>
      </c>
    </row>
    <row r="101" spans="1:6" s="6" customFormat="1" ht="93" x14ac:dyDescent="0.35">
      <c r="A101" s="29" t="s">
        <v>470</v>
      </c>
      <c r="B101" s="29" t="s">
        <v>4</v>
      </c>
      <c r="C101" s="30" t="s">
        <v>475</v>
      </c>
      <c r="D101" s="31">
        <v>46288.8125</v>
      </c>
      <c r="E101" s="31">
        <v>46289.25</v>
      </c>
      <c r="F101" s="30" t="s">
        <v>476</v>
      </c>
    </row>
    <row r="102" spans="1:6" s="5" customFormat="1" ht="93" x14ac:dyDescent="0.35">
      <c r="A102" s="29" t="s">
        <v>470</v>
      </c>
      <c r="B102" s="29" t="s">
        <v>5</v>
      </c>
      <c r="C102" s="30" t="s">
        <v>477</v>
      </c>
      <c r="D102" s="31">
        <v>46288.8125</v>
      </c>
      <c r="E102" s="31">
        <v>46289.25</v>
      </c>
      <c r="F102" s="30" t="s">
        <v>478</v>
      </c>
    </row>
    <row r="103" spans="1:6" s="5" customFormat="1" ht="93" x14ac:dyDescent="0.35">
      <c r="A103" s="29" t="s">
        <v>470</v>
      </c>
      <c r="B103" s="29" t="s">
        <v>5</v>
      </c>
      <c r="C103" s="30" t="s">
        <v>471</v>
      </c>
      <c r="D103" s="31">
        <v>46288.875</v>
      </c>
      <c r="E103" s="31">
        <v>46289.25</v>
      </c>
      <c r="F103" s="30" t="s">
        <v>472</v>
      </c>
    </row>
    <row r="104" spans="1:6" s="5" customFormat="1" ht="93" x14ac:dyDescent="0.35">
      <c r="A104" s="29" t="s">
        <v>470</v>
      </c>
      <c r="B104" s="29" t="s">
        <v>4</v>
      </c>
      <c r="C104" s="30" t="s">
        <v>479</v>
      </c>
      <c r="D104" s="31">
        <v>46288.833333333299</v>
      </c>
      <c r="E104" s="31">
        <v>46289.25</v>
      </c>
      <c r="F104" s="30" t="s">
        <v>480</v>
      </c>
    </row>
    <row r="105" spans="1:6" s="5" customFormat="1" ht="77.5" x14ac:dyDescent="0.35">
      <c r="A105" s="29" t="s">
        <v>470</v>
      </c>
      <c r="B105" s="29" t="s">
        <v>5</v>
      </c>
      <c r="C105" s="30" t="s">
        <v>481</v>
      </c>
      <c r="D105" s="31">
        <v>46288.833333333299</v>
      </c>
      <c r="E105" s="31">
        <v>46289.25</v>
      </c>
      <c r="F105" s="30" t="s">
        <v>482</v>
      </c>
    </row>
    <row r="106" spans="1:6" s="5" customFormat="1" ht="77.5" x14ac:dyDescent="0.35">
      <c r="A106" s="29" t="s">
        <v>470</v>
      </c>
      <c r="B106" s="29" t="s">
        <v>5</v>
      </c>
      <c r="C106" s="30" t="s">
        <v>483</v>
      </c>
      <c r="D106" s="31">
        <v>46288.875</v>
      </c>
      <c r="E106" s="31">
        <v>46289.25</v>
      </c>
      <c r="F106" s="30" t="s">
        <v>484</v>
      </c>
    </row>
    <row r="107" spans="1:6" s="5" customFormat="1" ht="77.5" x14ac:dyDescent="0.35">
      <c r="A107" s="29" t="s">
        <v>470</v>
      </c>
      <c r="B107" s="29" t="s">
        <v>6</v>
      </c>
      <c r="C107" s="30" t="s">
        <v>521</v>
      </c>
      <c r="D107" s="31">
        <v>46202.875</v>
      </c>
      <c r="E107" s="31">
        <v>46508.208333333299</v>
      </c>
      <c r="F107" s="30" t="s">
        <v>522</v>
      </c>
    </row>
    <row r="108" spans="1:6" s="5" customFormat="1" ht="77.5" x14ac:dyDescent="0.35">
      <c r="A108" s="29" t="s">
        <v>470</v>
      </c>
      <c r="B108" s="29" t="s">
        <v>2</v>
      </c>
      <c r="C108" s="30" t="s">
        <v>523</v>
      </c>
      <c r="D108" s="31">
        <v>46266.333333333299</v>
      </c>
      <c r="E108" s="31">
        <v>46507</v>
      </c>
      <c r="F108" s="30" t="s">
        <v>522</v>
      </c>
    </row>
    <row r="109" spans="1:6" s="5" customFormat="1" ht="77.5" x14ac:dyDescent="0.35">
      <c r="A109" s="29" t="s">
        <v>362</v>
      </c>
      <c r="B109" s="29" t="s">
        <v>6</v>
      </c>
      <c r="C109" s="30" t="s">
        <v>1247</v>
      </c>
      <c r="D109" s="31">
        <v>46288.875</v>
      </c>
      <c r="E109" s="31">
        <v>46289.25</v>
      </c>
      <c r="F109" s="30" t="s">
        <v>1248</v>
      </c>
    </row>
    <row r="110" spans="1:6" s="5" customFormat="1" ht="62" x14ac:dyDescent="0.35">
      <c r="A110" s="29" t="s">
        <v>702</v>
      </c>
      <c r="B110" s="29" t="s">
        <v>5</v>
      </c>
      <c r="C110" s="30" t="s">
        <v>703</v>
      </c>
      <c r="D110" s="31">
        <v>46288.833333333299</v>
      </c>
      <c r="E110" s="31">
        <v>46289.25</v>
      </c>
      <c r="F110" s="30" t="s">
        <v>704</v>
      </c>
    </row>
    <row r="111" spans="1:6" s="5" customFormat="1" ht="77.5" x14ac:dyDescent="0.35">
      <c r="A111" s="29" t="s">
        <v>492</v>
      </c>
      <c r="B111" s="29" t="s">
        <v>6</v>
      </c>
      <c r="C111" s="30" t="s">
        <v>1131</v>
      </c>
      <c r="D111" s="31">
        <v>46288.875</v>
      </c>
      <c r="E111" s="31">
        <v>46289.25</v>
      </c>
      <c r="F111" s="30" t="s">
        <v>1132</v>
      </c>
    </row>
    <row r="112" spans="1:6" ht="77.5" x14ac:dyDescent="0.35">
      <c r="A112" s="29" t="s">
        <v>492</v>
      </c>
      <c r="B112" s="29" t="s">
        <v>2</v>
      </c>
      <c r="C112" s="30" t="s">
        <v>1133</v>
      </c>
      <c r="D112" s="31">
        <v>46288.875</v>
      </c>
      <c r="E112" s="31">
        <v>46289.25</v>
      </c>
      <c r="F112" s="30" t="s">
        <v>1134</v>
      </c>
    </row>
    <row r="113" spans="1:6" ht="77.5" x14ac:dyDescent="0.35">
      <c r="A113" s="29" t="s">
        <v>1175</v>
      </c>
      <c r="B113" s="29" t="s">
        <v>6</v>
      </c>
      <c r="C113" s="30" t="s">
        <v>1176</v>
      </c>
      <c r="D113" s="31">
        <v>46288.833333333299</v>
      </c>
      <c r="E113" s="31">
        <v>46289.25</v>
      </c>
      <c r="F113" s="30" t="s">
        <v>1174</v>
      </c>
    </row>
    <row r="114" spans="1:6" ht="77.5" x14ac:dyDescent="0.35">
      <c r="A114" s="29" t="s">
        <v>708</v>
      </c>
      <c r="B114" s="29" t="s">
        <v>4</v>
      </c>
      <c r="C114" s="30" t="s">
        <v>1027</v>
      </c>
      <c r="D114" s="31">
        <v>46288.833333333299</v>
      </c>
      <c r="E114" s="31">
        <v>46289.208333333299</v>
      </c>
      <c r="F114" s="30" t="s">
        <v>848</v>
      </c>
    </row>
    <row r="115" spans="1:6" ht="77.5" x14ac:dyDescent="0.35">
      <c r="A115" s="29" t="s">
        <v>545</v>
      </c>
      <c r="B115" s="29" t="s">
        <v>7</v>
      </c>
      <c r="C115" s="30" t="s">
        <v>546</v>
      </c>
      <c r="D115" s="31">
        <v>46217.625</v>
      </c>
      <c r="E115" s="31">
        <v>46387.875</v>
      </c>
      <c r="F115" s="30" t="s">
        <v>547</v>
      </c>
    </row>
    <row r="116" spans="1:6" ht="77.5" x14ac:dyDescent="0.35">
      <c r="A116" s="29" t="s">
        <v>73</v>
      </c>
      <c r="B116" s="29" t="s">
        <v>6</v>
      </c>
      <c r="C116" s="30" t="s">
        <v>543</v>
      </c>
      <c r="D116" s="31">
        <v>46288.833333333299</v>
      </c>
      <c r="E116" s="31">
        <v>46289.25</v>
      </c>
      <c r="F116" s="30" t="s">
        <v>544</v>
      </c>
    </row>
    <row r="117" spans="1:6" s="15" customFormat="1" ht="77.5" x14ac:dyDescent="0.35">
      <c r="A117" s="29" t="s">
        <v>73</v>
      </c>
      <c r="B117" s="29" t="s">
        <v>5</v>
      </c>
      <c r="C117" s="30" t="s">
        <v>1287</v>
      </c>
      <c r="D117" s="31">
        <v>46288.875</v>
      </c>
      <c r="E117" s="31">
        <v>46289.25</v>
      </c>
      <c r="F117" s="30" t="s">
        <v>1016</v>
      </c>
    </row>
    <row r="118" spans="1:6" s="15" customFormat="1" ht="77.5" x14ac:dyDescent="0.35">
      <c r="A118" s="29" t="s">
        <v>73</v>
      </c>
      <c r="B118" s="29" t="s">
        <v>2</v>
      </c>
      <c r="C118" s="30" t="s">
        <v>1291</v>
      </c>
      <c r="D118" s="31">
        <v>46288.875</v>
      </c>
      <c r="E118" s="31">
        <v>46289.25</v>
      </c>
      <c r="F118" s="30" t="s">
        <v>1020</v>
      </c>
    </row>
    <row r="119" spans="1:6" s="15" customFormat="1" ht="77.5" x14ac:dyDescent="0.35">
      <c r="A119" s="29" t="s">
        <v>23</v>
      </c>
      <c r="B119" s="29" t="s">
        <v>24</v>
      </c>
      <c r="C119" s="30" t="s">
        <v>25</v>
      </c>
      <c r="D119" s="31">
        <v>46288.833333333299</v>
      </c>
      <c r="E119" s="31">
        <v>46289.25</v>
      </c>
      <c r="F119" s="30" t="s">
        <v>26</v>
      </c>
    </row>
    <row r="120" spans="1:6" s="15" customFormat="1" ht="77.5" x14ac:dyDescent="0.35">
      <c r="A120" s="29" t="s">
        <v>23</v>
      </c>
      <c r="B120" s="29" t="s">
        <v>24</v>
      </c>
      <c r="C120" s="30" t="s">
        <v>27</v>
      </c>
      <c r="D120" s="31">
        <v>46288.833333333299</v>
      </c>
      <c r="E120" s="31">
        <v>46289.25</v>
      </c>
      <c r="F120" s="30" t="s">
        <v>28</v>
      </c>
    </row>
    <row r="121" spans="1:6" ht="77.5" x14ac:dyDescent="0.35">
      <c r="A121" s="29" t="s">
        <v>23</v>
      </c>
      <c r="B121" s="29" t="s">
        <v>4</v>
      </c>
      <c r="C121" s="30" t="s">
        <v>843</v>
      </c>
      <c r="D121" s="31">
        <v>46288.833333333299</v>
      </c>
      <c r="E121" s="31">
        <v>46289.25</v>
      </c>
      <c r="F121" s="30" t="s">
        <v>567</v>
      </c>
    </row>
    <row r="122" spans="1:6" ht="62" x14ac:dyDescent="0.35">
      <c r="A122" s="29" t="s">
        <v>23</v>
      </c>
      <c r="B122" s="29" t="s">
        <v>4</v>
      </c>
      <c r="C122" s="30" t="s">
        <v>1148</v>
      </c>
      <c r="D122" s="31">
        <v>46288.833333333299</v>
      </c>
      <c r="E122" s="31">
        <v>46289.25</v>
      </c>
      <c r="F122" s="30" t="s">
        <v>1149</v>
      </c>
    </row>
    <row r="123" spans="1:6" ht="77.5" x14ac:dyDescent="0.35">
      <c r="A123" s="29" t="s">
        <v>1198</v>
      </c>
      <c r="B123" s="29" t="s">
        <v>4</v>
      </c>
      <c r="C123" s="30" t="s">
        <v>1199</v>
      </c>
      <c r="D123" s="31">
        <v>46288.875</v>
      </c>
      <c r="E123" s="31">
        <v>46289.25</v>
      </c>
      <c r="F123" s="30" t="s">
        <v>1200</v>
      </c>
    </row>
    <row r="124" spans="1:6" ht="46.5" x14ac:dyDescent="0.35">
      <c r="A124" s="29" t="s">
        <v>89</v>
      </c>
      <c r="B124" s="29" t="s">
        <v>6</v>
      </c>
      <c r="C124" s="30" t="s">
        <v>1153</v>
      </c>
      <c r="D124" s="31">
        <v>46288.833333333299</v>
      </c>
      <c r="E124" s="31">
        <v>46289.25</v>
      </c>
      <c r="F124" s="30" t="s">
        <v>1154</v>
      </c>
    </row>
    <row r="125" spans="1:6" ht="46.5" x14ac:dyDescent="0.35">
      <c r="A125" s="29" t="s">
        <v>89</v>
      </c>
      <c r="B125" s="29" t="s">
        <v>6</v>
      </c>
      <c r="C125" s="30" t="s">
        <v>1155</v>
      </c>
      <c r="D125" s="31">
        <v>46288.833333333299</v>
      </c>
      <c r="E125" s="31">
        <v>46289.25</v>
      </c>
      <c r="F125" s="30" t="s">
        <v>1156</v>
      </c>
    </row>
    <row r="126" spans="1:6" ht="46.5" x14ac:dyDescent="0.35">
      <c r="A126" s="29" t="s">
        <v>89</v>
      </c>
      <c r="B126" s="29" t="s">
        <v>2</v>
      </c>
      <c r="C126" s="30" t="s">
        <v>1157</v>
      </c>
      <c r="D126" s="31">
        <v>46288.833333333299</v>
      </c>
      <c r="E126" s="31">
        <v>46289.25</v>
      </c>
      <c r="F126" s="30" t="s">
        <v>1156</v>
      </c>
    </row>
    <row r="127" spans="1:6" ht="77.5" x14ac:dyDescent="0.35">
      <c r="A127" s="29" t="s">
        <v>89</v>
      </c>
      <c r="B127" s="29" t="s">
        <v>24</v>
      </c>
      <c r="C127" s="30" t="s">
        <v>1044</v>
      </c>
      <c r="D127" s="31">
        <v>46288.833333333299</v>
      </c>
      <c r="E127" s="31">
        <v>46289.25</v>
      </c>
      <c r="F127" s="30" t="s">
        <v>1045</v>
      </c>
    </row>
    <row r="128" spans="1:6" ht="77.5" x14ac:dyDescent="0.35">
      <c r="A128" s="29" t="s">
        <v>537</v>
      </c>
      <c r="B128" s="29" t="s">
        <v>24</v>
      </c>
      <c r="C128" s="30" t="s">
        <v>538</v>
      </c>
      <c r="D128" s="31">
        <v>46230.833333333299</v>
      </c>
      <c r="E128" s="31">
        <v>46403.25</v>
      </c>
      <c r="F128" s="30" t="s">
        <v>539</v>
      </c>
    </row>
    <row r="129" spans="1:6" ht="77.5" x14ac:dyDescent="0.35">
      <c r="A129" s="29" t="s">
        <v>943</v>
      </c>
      <c r="B129" s="29" t="s">
        <v>4</v>
      </c>
      <c r="C129" s="30" t="s">
        <v>944</v>
      </c>
      <c r="D129" s="31">
        <v>46288.833333333299</v>
      </c>
      <c r="E129" s="31">
        <v>46289.25</v>
      </c>
      <c r="F129" s="30" t="s">
        <v>945</v>
      </c>
    </row>
    <row r="130" spans="1:6" ht="77.5" x14ac:dyDescent="0.35">
      <c r="A130" s="29" t="s">
        <v>943</v>
      </c>
      <c r="B130" s="29" t="s">
        <v>5</v>
      </c>
      <c r="C130" s="30" t="s">
        <v>946</v>
      </c>
      <c r="D130" s="31">
        <v>46288.833333333299</v>
      </c>
      <c r="E130" s="31">
        <v>46289.25</v>
      </c>
      <c r="F130" s="30" t="s">
        <v>945</v>
      </c>
    </row>
    <row r="131" spans="1:6" ht="77.5" x14ac:dyDescent="0.35">
      <c r="A131" s="29" t="s">
        <v>273</v>
      </c>
      <c r="B131" s="29" t="s">
        <v>4</v>
      </c>
      <c r="C131" s="30" t="s">
        <v>1220</v>
      </c>
      <c r="D131" s="31">
        <v>46288.875</v>
      </c>
      <c r="E131" s="31">
        <v>46289.208333333299</v>
      </c>
      <c r="F131" s="30" t="s">
        <v>275</v>
      </c>
    </row>
    <row r="132" spans="1:6" ht="62" x14ac:dyDescent="0.35">
      <c r="A132" s="29" t="s">
        <v>273</v>
      </c>
      <c r="B132" s="29" t="s">
        <v>5</v>
      </c>
      <c r="C132" s="30" t="s">
        <v>274</v>
      </c>
      <c r="D132" s="31">
        <v>46288.875</v>
      </c>
      <c r="E132" s="31">
        <v>46289.208333333299</v>
      </c>
      <c r="F132" s="30" t="s">
        <v>275</v>
      </c>
    </row>
    <row r="133" spans="1:6" ht="62" x14ac:dyDescent="0.35">
      <c r="A133" s="29" t="s">
        <v>744</v>
      </c>
      <c r="B133" s="29" t="s">
        <v>2</v>
      </c>
      <c r="C133" s="30" t="s">
        <v>1226</v>
      </c>
      <c r="D133" s="31">
        <v>46288.916666666701</v>
      </c>
      <c r="E133" s="31">
        <v>46289.25</v>
      </c>
      <c r="F133" s="30" t="s">
        <v>1225</v>
      </c>
    </row>
    <row r="134" spans="1:6" ht="62" x14ac:dyDescent="0.35">
      <c r="A134" s="29" t="s">
        <v>744</v>
      </c>
      <c r="B134" s="29" t="s">
        <v>2</v>
      </c>
      <c r="C134" s="30" t="s">
        <v>1227</v>
      </c>
      <c r="D134" s="31">
        <v>46288.916666666701</v>
      </c>
      <c r="E134" s="31">
        <v>46289.25</v>
      </c>
      <c r="F134" s="30" t="s">
        <v>1225</v>
      </c>
    </row>
    <row r="135" spans="1:6" ht="46.5" x14ac:dyDescent="0.35">
      <c r="A135" s="29" t="s">
        <v>185</v>
      </c>
      <c r="B135" s="29" t="s">
        <v>5</v>
      </c>
      <c r="C135" s="30" t="s">
        <v>1186</v>
      </c>
      <c r="D135" s="31">
        <v>46288.833333333299</v>
      </c>
      <c r="E135" s="31">
        <v>46289.25</v>
      </c>
      <c r="F135" s="30" t="s">
        <v>1187</v>
      </c>
    </row>
    <row r="136" spans="1:6" ht="46.5" x14ac:dyDescent="0.35">
      <c r="A136" s="29" t="s">
        <v>185</v>
      </c>
      <c r="B136" s="29" t="s">
        <v>5</v>
      </c>
      <c r="C136" s="30" t="s">
        <v>1188</v>
      </c>
      <c r="D136" s="31">
        <v>46288.833333333299</v>
      </c>
      <c r="E136" s="31">
        <v>46289.25</v>
      </c>
      <c r="F136" s="30" t="s">
        <v>1187</v>
      </c>
    </row>
    <row r="137" spans="1:6" ht="46.5" x14ac:dyDescent="0.35">
      <c r="A137" s="29" t="s">
        <v>185</v>
      </c>
      <c r="B137" s="29" t="s">
        <v>5</v>
      </c>
      <c r="C137" s="30" t="s">
        <v>1189</v>
      </c>
      <c r="D137" s="31">
        <v>46288.833333333299</v>
      </c>
      <c r="E137" s="31">
        <v>46289.25</v>
      </c>
      <c r="F137" s="30" t="s">
        <v>1187</v>
      </c>
    </row>
    <row r="138" spans="1:6" ht="46.5" x14ac:dyDescent="0.35">
      <c r="A138" s="29" t="s">
        <v>185</v>
      </c>
      <c r="B138" s="29" t="s">
        <v>24</v>
      </c>
      <c r="C138" s="30" t="s">
        <v>1190</v>
      </c>
      <c r="D138" s="31">
        <v>46288.833333333299</v>
      </c>
      <c r="E138" s="31">
        <v>46289.25</v>
      </c>
      <c r="F138" s="30" t="s">
        <v>1187</v>
      </c>
    </row>
    <row r="139" spans="1:6" ht="46.5" x14ac:dyDescent="0.35">
      <c r="A139" s="29" t="s">
        <v>185</v>
      </c>
      <c r="B139" s="29" t="s">
        <v>4</v>
      </c>
      <c r="C139" s="30" t="s">
        <v>1191</v>
      </c>
      <c r="D139" s="31">
        <v>46288.833333333299</v>
      </c>
      <c r="E139" s="31">
        <v>46289.25</v>
      </c>
      <c r="F139" s="30" t="s">
        <v>1187</v>
      </c>
    </row>
    <row r="140" spans="1:6" ht="46.5" x14ac:dyDescent="0.35">
      <c r="A140" s="29" t="s">
        <v>185</v>
      </c>
      <c r="B140" s="29" t="s">
        <v>4</v>
      </c>
      <c r="C140" s="30" t="s">
        <v>1192</v>
      </c>
      <c r="D140" s="31">
        <v>46288.833333333299</v>
      </c>
      <c r="E140" s="31">
        <v>46289.25</v>
      </c>
      <c r="F140" s="30" t="s">
        <v>1187</v>
      </c>
    </row>
    <row r="141" spans="1:6" ht="46.5" x14ac:dyDescent="0.35">
      <c r="A141" s="29" t="s">
        <v>185</v>
      </c>
      <c r="B141" s="29" t="s">
        <v>4</v>
      </c>
      <c r="C141" s="30" t="s">
        <v>1193</v>
      </c>
      <c r="D141" s="31">
        <v>46288.833333333299</v>
      </c>
      <c r="E141" s="31">
        <v>46289.25</v>
      </c>
      <c r="F141" s="30" t="s">
        <v>1187</v>
      </c>
    </row>
    <row r="142" spans="1:6" ht="46.5" x14ac:dyDescent="0.35">
      <c r="A142" s="29" t="s">
        <v>166</v>
      </c>
      <c r="B142" s="29" t="s">
        <v>6</v>
      </c>
      <c r="C142" s="30" t="s">
        <v>167</v>
      </c>
      <c r="D142" s="31">
        <v>46237.833333333299</v>
      </c>
      <c r="E142" s="31">
        <v>46326.25</v>
      </c>
      <c r="F142" s="30" t="s">
        <v>168</v>
      </c>
    </row>
    <row r="143" spans="1:6" ht="46.5" x14ac:dyDescent="0.35">
      <c r="A143" s="29" t="s">
        <v>166</v>
      </c>
      <c r="B143" s="29" t="s">
        <v>2</v>
      </c>
      <c r="C143" s="30" t="s">
        <v>169</v>
      </c>
      <c r="D143" s="31">
        <v>46237.833333333299</v>
      </c>
      <c r="E143" s="31">
        <v>46326.25</v>
      </c>
      <c r="F143" s="30" t="s">
        <v>168</v>
      </c>
    </row>
    <row r="144" spans="1:6" ht="46.5" x14ac:dyDescent="0.35">
      <c r="A144" s="29" t="s">
        <v>134</v>
      </c>
      <c r="B144" s="29" t="s">
        <v>4</v>
      </c>
      <c r="C144" s="30" t="s">
        <v>1178</v>
      </c>
      <c r="D144" s="31">
        <v>46288.833333333299</v>
      </c>
      <c r="E144" s="31">
        <v>46289.25</v>
      </c>
      <c r="F144" s="30" t="s">
        <v>136</v>
      </c>
    </row>
    <row r="145" spans="1:6" ht="46.5" x14ac:dyDescent="0.35">
      <c r="A145" s="29" t="s">
        <v>134</v>
      </c>
      <c r="B145" s="29" t="s">
        <v>4</v>
      </c>
      <c r="C145" s="30" t="s">
        <v>1179</v>
      </c>
      <c r="D145" s="31">
        <v>46288.833333333299</v>
      </c>
      <c r="E145" s="31">
        <v>46289.25</v>
      </c>
      <c r="F145" s="30" t="s">
        <v>136</v>
      </c>
    </row>
    <row r="146" spans="1:6" ht="46.5" x14ac:dyDescent="0.35">
      <c r="A146" s="29" t="s">
        <v>134</v>
      </c>
      <c r="B146" s="29" t="s">
        <v>4</v>
      </c>
      <c r="C146" s="30" t="s">
        <v>1180</v>
      </c>
      <c r="D146" s="31">
        <v>46288.833333333299</v>
      </c>
      <c r="E146" s="31">
        <v>46289.25</v>
      </c>
      <c r="F146" s="30" t="s">
        <v>136</v>
      </c>
    </row>
    <row r="147" spans="1:6" ht="46.5" x14ac:dyDescent="0.35">
      <c r="A147" s="29" t="s">
        <v>134</v>
      </c>
      <c r="B147" s="29" t="s">
        <v>4</v>
      </c>
      <c r="C147" s="30" t="s">
        <v>1181</v>
      </c>
      <c r="D147" s="31">
        <v>46288.833333333299</v>
      </c>
      <c r="E147" s="31">
        <v>46289.25</v>
      </c>
      <c r="F147" s="30" t="s">
        <v>144</v>
      </c>
    </row>
    <row r="148" spans="1:6" ht="46.5" x14ac:dyDescent="0.35">
      <c r="A148" s="29" t="s">
        <v>134</v>
      </c>
      <c r="B148" s="29" t="s">
        <v>4</v>
      </c>
      <c r="C148" s="30" t="s">
        <v>1182</v>
      </c>
      <c r="D148" s="31">
        <v>46288.833333333299</v>
      </c>
      <c r="E148" s="31">
        <v>46289.25</v>
      </c>
      <c r="F148" s="30" t="s">
        <v>144</v>
      </c>
    </row>
    <row r="149" spans="1:6" ht="46.5" x14ac:dyDescent="0.35">
      <c r="A149" s="29" t="s">
        <v>134</v>
      </c>
      <c r="B149" s="29" t="s">
        <v>4</v>
      </c>
      <c r="C149" s="30" t="s">
        <v>1183</v>
      </c>
      <c r="D149" s="31">
        <v>46288.833333333299</v>
      </c>
      <c r="E149" s="31">
        <v>46289.25</v>
      </c>
      <c r="F149" s="30" t="s">
        <v>144</v>
      </c>
    </row>
    <row r="150" spans="1:6" ht="46.5" x14ac:dyDescent="0.35">
      <c r="A150" s="29" t="s">
        <v>134</v>
      </c>
      <c r="B150" s="29" t="s">
        <v>4</v>
      </c>
      <c r="C150" s="30" t="s">
        <v>1184</v>
      </c>
      <c r="D150" s="31">
        <v>46288.833333333299</v>
      </c>
      <c r="E150" s="31">
        <v>46289.25</v>
      </c>
      <c r="F150" s="30" t="s">
        <v>144</v>
      </c>
    </row>
    <row r="151" spans="1:6" ht="46.5" x14ac:dyDescent="0.35">
      <c r="A151" s="29" t="s">
        <v>134</v>
      </c>
      <c r="B151" s="29" t="s">
        <v>4</v>
      </c>
      <c r="C151" s="30" t="s">
        <v>1185</v>
      </c>
      <c r="D151" s="31">
        <v>46288.833333333299</v>
      </c>
      <c r="E151" s="31">
        <v>46289.25</v>
      </c>
      <c r="F151" s="30" t="s">
        <v>144</v>
      </c>
    </row>
    <row r="152" spans="1:6" ht="46.5" x14ac:dyDescent="0.35">
      <c r="A152" s="29" t="s">
        <v>903</v>
      </c>
      <c r="B152" s="29" t="s">
        <v>4</v>
      </c>
      <c r="C152" s="30" t="s">
        <v>904</v>
      </c>
      <c r="D152" s="31">
        <v>46288.833333333299</v>
      </c>
      <c r="E152" s="31">
        <v>46289.25</v>
      </c>
      <c r="F152" s="30" t="s">
        <v>905</v>
      </c>
    </row>
    <row r="153" spans="1:6" ht="46.5" x14ac:dyDescent="0.35">
      <c r="A153" s="29" t="s">
        <v>903</v>
      </c>
      <c r="B153" s="29" t="s">
        <v>5</v>
      </c>
      <c r="C153" s="30" t="s">
        <v>1196</v>
      </c>
      <c r="D153" s="31">
        <v>46288.875</v>
      </c>
      <c r="E153" s="31">
        <v>46289.25</v>
      </c>
      <c r="F153" s="30" t="s">
        <v>1197</v>
      </c>
    </row>
    <row r="154" spans="1:6" ht="46.5" x14ac:dyDescent="0.35">
      <c r="A154" s="29" t="s">
        <v>201</v>
      </c>
      <c r="B154" s="29" t="s">
        <v>5</v>
      </c>
      <c r="C154" s="30" t="s">
        <v>202</v>
      </c>
      <c r="D154" s="31">
        <v>46288.833333333299</v>
      </c>
      <c r="E154" s="31">
        <v>46289.25</v>
      </c>
      <c r="F154" s="30" t="s">
        <v>203</v>
      </c>
    </row>
    <row r="155" spans="1:6" ht="46.5" x14ac:dyDescent="0.35">
      <c r="A155" s="29" t="s">
        <v>201</v>
      </c>
      <c r="B155" s="29" t="s">
        <v>5</v>
      </c>
      <c r="C155" s="30" t="s">
        <v>204</v>
      </c>
      <c r="D155" s="31">
        <v>46288.833333333299</v>
      </c>
      <c r="E155" s="31">
        <v>46289.25</v>
      </c>
      <c r="F155" s="30" t="s">
        <v>203</v>
      </c>
    </row>
    <row r="156" spans="1:6" ht="46.5" x14ac:dyDescent="0.35">
      <c r="A156" s="29" t="s">
        <v>201</v>
      </c>
      <c r="B156" s="29" t="s">
        <v>5</v>
      </c>
      <c r="C156" s="30" t="s">
        <v>205</v>
      </c>
      <c r="D156" s="31">
        <v>46288.833333333299</v>
      </c>
      <c r="E156" s="31">
        <v>46289.25</v>
      </c>
      <c r="F156" s="30" t="s">
        <v>203</v>
      </c>
    </row>
    <row r="157" spans="1:6" ht="46.5" x14ac:dyDescent="0.35">
      <c r="A157" s="29" t="s">
        <v>201</v>
      </c>
      <c r="B157" s="29" t="s">
        <v>5</v>
      </c>
      <c r="C157" s="30" t="s">
        <v>206</v>
      </c>
      <c r="D157" s="31">
        <v>46288.833333333299</v>
      </c>
      <c r="E157" s="31">
        <v>46289.25</v>
      </c>
      <c r="F157" s="30" t="s">
        <v>203</v>
      </c>
    </row>
    <row r="158" spans="1:6" ht="46.5" x14ac:dyDescent="0.35">
      <c r="A158" s="29" t="s">
        <v>201</v>
      </c>
      <c r="B158" s="29" t="s">
        <v>5</v>
      </c>
      <c r="C158" s="30" t="s">
        <v>207</v>
      </c>
      <c r="D158" s="31">
        <v>46288.833333333299</v>
      </c>
      <c r="E158" s="31">
        <v>46289.25</v>
      </c>
      <c r="F158" s="30" t="s">
        <v>203</v>
      </c>
    </row>
    <row r="159" spans="1:6" ht="46.5" x14ac:dyDescent="0.35">
      <c r="A159" s="29" t="s">
        <v>55</v>
      </c>
      <c r="B159" s="29" t="s">
        <v>2</v>
      </c>
      <c r="C159" s="30" t="s">
        <v>56</v>
      </c>
      <c r="D159" s="31">
        <v>46288.875</v>
      </c>
      <c r="E159" s="31">
        <v>46289.208333333299</v>
      </c>
      <c r="F159" s="30" t="s">
        <v>57</v>
      </c>
    </row>
    <row r="160" spans="1:6" ht="46.5" x14ac:dyDescent="0.35">
      <c r="A160" s="29" t="s">
        <v>55</v>
      </c>
      <c r="B160" s="29" t="s">
        <v>2</v>
      </c>
      <c r="C160" s="30" t="s">
        <v>1151</v>
      </c>
      <c r="D160" s="31">
        <v>46288.916666666701</v>
      </c>
      <c r="E160" s="31">
        <v>46289.208333333299</v>
      </c>
      <c r="F160" s="30" t="s">
        <v>791</v>
      </c>
    </row>
    <row r="161" spans="1:6" ht="46.5" x14ac:dyDescent="0.35">
      <c r="A161" s="29" t="s">
        <v>55</v>
      </c>
      <c r="B161" s="29" t="s">
        <v>6</v>
      </c>
      <c r="C161" s="30" t="s">
        <v>1168</v>
      </c>
      <c r="D161" s="31">
        <v>46288.833333333299</v>
      </c>
      <c r="E161" s="31">
        <v>46289.25</v>
      </c>
      <c r="F161" s="30" t="s">
        <v>72</v>
      </c>
    </row>
    <row r="162" spans="1:6" ht="62" x14ac:dyDescent="0.35">
      <c r="A162" s="29" t="s">
        <v>55</v>
      </c>
      <c r="B162" s="29" t="s">
        <v>6</v>
      </c>
      <c r="C162" s="30" t="s">
        <v>1169</v>
      </c>
      <c r="D162" s="31">
        <v>46288.833333333299</v>
      </c>
      <c r="E162" s="31">
        <v>46289.25</v>
      </c>
      <c r="F162" s="30" t="s">
        <v>72</v>
      </c>
    </row>
    <row r="163" spans="1:6" ht="62" x14ac:dyDescent="0.35">
      <c r="A163" s="29" t="s">
        <v>55</v>
      </c>
      <c r="B163" s="29" t="s">
        <v>2</v>
      </c>
      <c r="C163" s="30" t="s">
        <v>1170</v>
      </c>
      <c r="D163" s="31">
        <v>46288.833333333299</v>
      </c>
      <c r="E163" s="31">
        <v>46289.25</v>
      </c>
      <c r="F163" s="30" t="s">
        <v>1171</v>
      </c>
    </row>
    <row r="164" spans="1:6" ht="62" x14ac:dyDescent="0.35">
      <c r="A164" s="29" t="s">
        <v>55</v>
      </c>
      <c r="B164" s="29" t="s">
        <v>6</v>
      </c>
      <c r="C164" s="30" t="s">
        <v>1172</v>
      </c>
      <c r="D164" s="31">
        <v>46288.833333333299</v>
      </c>
      <c r="E164" s="31">
        <v>46289.25</v>
      </c>
      <c r="F164" s="30" t="s">
        <v>1171</v>
      </c>
    </row>
    <row r="165" spans="1:6" ht="46.5" x14ac:dyDescent="0.35">
      <c r="A165" s="29" t="s">
        <v>55</v>
      </c>
      <c r="B165" s="29" t="s">
        <v>6</v>
      </c>
      <c r="C165" s="30" t="s">
        <v>1173</v>
      </c>
      <c r="D165" s="31">
        <v>46288.833333333299</v>
      </c>
      <c r="E165" s="31">
        <v>46289.25</v>
      </c>
      <c r="F165" s="30" t="s">
        <v>1174</v>
      </c>
    </row>
    <row r="166" spans="1:6" ht="46.5" x14ac:dyDescent="0.35">
      <c r="A166" s="29" t="s">
        <v>55</v>
      </c>
      <c r="B166" s="29" t="s">
        <v>6</v>
      </c>
      <c r="C166" s="30" t="s">
        <v>1177</v>
      </c>
      <c r="D166" s="31">
        <v>46288.833333333299</v>
      </c>
      <c r="E166" s="31">
        <v>46289.25</v>
      </c>
      <c r="F166" s="30" t="s">
        <v>1174</v>
      </c>
    </row>
    <row r="167" spans="1:6" ht="46.5" x14ac:dyDescent="0.35">
      <c r="A167" s="29" t="s">
        <v>55</v>
      </c>
      <c r="B167" s="29" t="s">
        <v>2</v>
      </c>
      <c r="C167" s="30" t="s">
        <v>891</v>
      </c>
      <c r="D167" s="31">
        <v>46288.854166666701</v>
      </c>
      <c r="E167" s="31">
        <v>46289.25</v>
      </c>
      <c r="F167" s="30" t="s">
        <v>892</v>
      </c>
    </row>
    <row r="168" spans="1:6" ht="46.5" x14ac:dyDescent="0.35">
      <c r="A168" s="29" t="s">
        <v>55</v>
      </c>
      <c r="B168" s="29" t="s">
        <v>2</v>
      </c>
      <c r="C168" s="30" t="s">
        <v>893</v>
      </c>
      <c r="D168" s="31">
        <v>46288.854166666701</v>
      </c>
      <c r="E168" s="31">
        <v>46289.25</v>
      </c>
      <c r="F168" s="30" t="s">
        <v>892</v>
      </c>
    </row>
    <row r="169" spans="1:6" ht="46.5" x14ac:dyDescent="0.35">
      <c r="A169" s="29" t="s">
        <v>55</v>
      </c>
      <c r="B169" s="29" t="s">
        <v>2</v>
      </c>
      <c r="C169" s="30" t="s">
        <v>894</v>
      </c>
      <c r="D169" s="31">
        <v>46288.854166666701</v>
      </c>
      <c r="E169" s="31">
        <v>46289.25</v>
      </c>
      <c r="F169" s="30" t="s">
        <v>892</v>
      </c>
    </row>
    <row r="170" spans="1:6" ht="46.5" x14ac:dyDescent="0.35">
      <c r="A170" s="29" t="s">
        <v>55</v>
      </c>
      <c r="B170" s="29" t="s">
        <v>2</v>
      </c>
      <c r="C170" s="30" t="s">
        <v>1194</v>
      </c>
      <c r="D170" s="31">
        <v>46288.833333333299</v>
      </c>
      <c r="E170" s="31">
        <v>46289.208333333299</v>
      </c>
      <c r="F170" s="30" t="s">
        <v>1195</v>
      </c>
    </row>
    <row r="171" spans="1:6" ht="46.5" x14ac:dyDescent="0.35">
      <c r="A171" s="29" t="s">
        <v>55</v>
      </c>
      <c r="B171" s="29" t="s">
        <v>2</v>
      </c>
      <c r="C171" s="30" t="s">
        <v>435</v>
      </c>
      <c r="D171" s="31">
        <v>46288.916666666701</v>
      </c>
      <c r="E171" s="31">
        <v>46289.229166666701</v>
      </c>
      <c r="F171" s="30" t="s">
        <v>436</v>
      </c>
    </row>
    <row r="172" spans="1:6" ht="46.5" x14ac:dyDescent="0.35">
      <c r="A172" s="29" t="s">
        <v>46</v>
      </c>
      <c r="B172" s="29" t="s">
        <v>2</v>
      </c>
      <c r="C172" s="30" t="s">
        <v>425</v>
      </c>
      <c r="D172" s="31">
        <v>46288.916666666701</v>
      </c>
      <c r="E172" s="31">
        <v>46289.229166666701</v>
      </c>
      <c r="F172" s="30" t="s">
        <v>426</v>
      </c>
    </row>
    <row r="173" spans="1:6" ht="46.5" x14ac:dyDescent="0.35">
      <c r="A173" s="29" t="s">
        <v>598</v>
      </c>
      <c r="B173" s="29" t="s">
        <v>2</v>
      </c>
      <c r="C173" s="30" t="s">
        <v>599</v>
      </c>
      <c r="D173" s="31">
        <v>46288.833333333299</v>
      </c>
      <c r="E173" s="31">
        <v>46289.25</v>
      </c>
      <c r="F173" s="30" t="s">
        <v>600</v>
      </c>
    </row>
    <row r="174" spans="1:6" ht="46.5" x14ac:dyDescent="0.35">
      <c r="A174" s="29" t="s">
        <v>128</v>
      </c>
      <c r="B174" s="29" t="s">
        <v>5</v>
      </c>
      <c r="C174" s="30" t="s">
        <v>129</v>
      </c>
      <c r="D174" s="31">
        <v>46288.833333333299</v>
      </c>
      <c r="E174" s="31">
        <v>46289.25</v>
      </c>
      <c r="F174" s="30" t="s">
        <v>130</v>
      </c>
    </row>
    <row r="175" spans="1:6" ht="46.5" x14ac:dyDescent="0.35">
      <c r="A175" s="29" t="s">
        <v>128</v>
      </c>
      <c r="B175" s="29" t="s">
        <v>5</v>
      </c>
      <c r="C175" s="30" t="s">
        <v>133</v>
      </c>
      <c r="D175" s="31">
        <v>46288.833333333299</v>
      </c>
      <c r="E175" s="31">
        <v>46289.25</v>
      </c>
      <c r="F175" s="30" t="s">
        <v>130</v>
      </c>
    </row>
    <row r="176" spans="1:6" ht="46.5" x14ac:dyDescent="0.35">
      <c r="A176" s="29" t="s">
        <v>131</v>
      </c>
      <c r="B176" s="29" t="s">
        <v>6</v>
      </c>
      <c r="C176" s="30" t="s">
        <v>132</v>
      </c>
      <c r="D176" s="31">
        <v>46288.833333333299</v>
      </c>
      <c r="E176" s="31">
        <v>46289.25</v>
      </c>
      <c r="F176" s="30" t="s">
        <v>130</v>
      </c>
    </row>
    <row r="177" spans="1:6" ht="46.5" x14ac:dyDescent="0.35">
      <c r="A177" s="29" t="s">
        <v>399</v>
      </c>
      <c r="B177" s="29" t="s">
        <v>4</v>
      </c>
      <c r="C177" s="30" t="s">
        <v>1113</v>
      </c>
      <c r="D177" s="31">
        <v>46288.833333333299</v>
      </c>
      <c r="E177" s="31">
        <v>46289.208333333299</v>
      </c>
      <c r="F177" s="30" t="s">
        <v>1255</v>
      </c>
    </row>
    <row r="178" spans="1:6" ht="46.5" x14ac:dyDescent="0.35">
      <c r="A178" s="29" t="s">
        <v>399</v>
      </c>
      <c r="B178" s="29" t="s">
        <v>4</v>
      </c>
      <c r="C178" s="30" t="s">
        <v>1256</v>
      </c>
      <c r="D178" s="31">
        <v>46288.833333333299</v>
      </c>
      <c r="E178" s="31">
        <v>46289.208333333299</v>
      </c>
      <c r="F178" s="30" t="s">
        <v>1255</v>
      </c>
    </row>
    <row r="179" spans="1:6" ht="46.5" x14ac:dyDescent="0.35">
      <c r="A179" s="29" t="s">
        <v>399</v>
      </c>
      <c r="B179" s="29" t="s">
        <v>4</v>
      </c>
      <c r="C179" s="30" t="s">
        <v>1257</v>
      </c>
      <c r="D179" s="31">
        <v>46288.833333333299</v>
      </c>
      <c r="E179" s="31">
        <v>46289.208333333299</v>
      </c>
      <c r="F179" s="30" t="s">
        <v>1255</v>
      </c>
    </row>
    <row r="180" spans="1:6" ht="46.5" x14ac:dyDescent="0.35">
      <c r="A180" s="29" t="s">
        <v>399</v>
      </c>
      <c r="B180" s="29" t="s">
        <v>5</v>
      </c>
      <c r="C180" s="30" t="s">
        <v>975</v>
      </c>
      <c r="D180" s="31">
        <v>46288.875</v>
      </c>
      <c r="E180" s="31">
        <v>46289.25</v>
      </c>
      <c r="F180" s="30" t="s">
        <v>976</v>
      </c>
    </row>
    <row r="181" spans="1:6" ht="46.5" x14ac:dyDescent="0.35">
      <c r="A181" s="29" t="s">
        <v>386</v>
      </c>
      <c r="B181" s="29" t="s">
        <v>5</v>
      </c>
      <c r="C181" s="30" t="s">
        <v>389</v>
      </c>
      <c r="D181" s="31">
        <v>46288.833333333299</v>
      </c>
      <c r="E181" s="31">
        <v>46289.25</v>
      </c>
      <c r="F181" s="30" t="s">
        <v>390</v>
      </c>
    </row>
    <row r="182" spans="1:6" ht="31" x14ac:dyDescent="0.35">
      <c r="A182" s="29" t="s">
        <v>386</v>
      </c>
      <c r="B182" s="29" t="s">
        <v>4</v>
      </c>
      <c r="C182" s="30" t="s">
        <v>1258</v>
      </c>
      <c r="D182" s="31">
        <v>46288.833333333299</v>
      </c>
      <c r="E182" s="31">
        <v>46289.25</v>
      </c>
      <c r="F182" s="30" t="s">
        <v>1259</v>
      </c>
    </row>
    <row r="183" spans="1:6" ht="46.5" x14ac:dyDescent="0.35">
      <c r="A183" s="29" t="s">
        <v>439</v>
      </c>
      <c r="B183" s="29" t="s">
        <v>6</v>
      </c>
      <c r="C183" s="30" t="s">
        <v>440</v>
      </c>
      <c r="D183" s="31">
        <v>46288.916666666701</v>
      </c>
      <c r="E183" s="31">
        <v>46289.229166666701</v>
      </c>
      <c r="F183" s="30" t="s">
        <v>441</v>
      </c>
    </row>
    <row r="184" spans="1:6" ht="46.5" x14ac:dyDescent="0.35">
      <c r="A184" s="29" t="s">
        <v>439</v>
      </c>
      <c r="B184" s="29" t="s">
        <v>6</v>
      </c>
      <c r="C184" s="30" t="s">
        <v>442</v>
      </c>
      <c r="D184" s="31">
        <v>46288.916666666701</v>
      </c>
      <c r="E184" s="31">
        <v>46289.229166666701</v>
      </c>
      <c r="F184" s="30" t="s">
        <v>441</v>
      </c>
    </row>
    <row r="185" spans="1:6" ht="46.5" x14ac:dyDescent="0.35">
      <c r="A185" s="29" t="s">
        <v>421</v>
      </c>
      <c r="B185" s="29" t="s">
        <v>7</v>
      </c>
      <c r="C185" s="30" t="s">
        <v>1266</v>
      </c>
      <c r="D185" s="31">
        <v>46288.916666666701</v>
      </c>
      <c r="E185" s="31">
        <v>46289.229166666701</v>
      </c>
      <c r="F185" s="30" t="s">
        <v>1267</v>
      </c>
    </row>
    <row r="186" spans="1:6" ht="62" x14ac:dyDescent="0.35">
      <c r="A186" s="29" t="s">
        <v>421</v>
      </c>
      <c r="B186" s="29" t="s">
        <v>7</v>
      </c>
      <c r="C186" s="30" t="s">
        <v>1268</v>
      </c>
      <c r="D186" s="31">
        <v>46288.916666666701</v>
      </c>
      <c r="E186" s="31">
        <v>46289.229166666701</v>
      </c>
      <c r="F186" s="30" t="s">
        <v>1267</v>
      </c>
    </row>
    <row r="187" spans="1:6" ht="31" x14ac:dyDescent="0.35">
      <c r="A187" s="29" t="s">
        <v>421</v>
      </c>
      <c r="B187" s="29" t="s">
        <v>8</v>
      </c>
      <c r="C187" s="30" t="s">
        <v>433</v>
      </c>
      <c r="D187" s="31">
        <v>46288.916666666701</v>
      </c>
      <c r="E187" s="31">
        <v>46289.229166666701</v>
      </c>
      <c r="F187" s="30" t="s">
        <v>434</v>
      </c>
    </row>
    <row r="188" spans="1:6" ht="31" x14ac:dyDescent="0.35">
      <c r="A188" s="29" t="s">
        <v>421</v>
      </c>
      <c r="B188" s="29" t="s">
        <v>7</v>
      </c>
      <c r="C188" s="30" t="s">
        <v>985</v>
      </c>
      <c r="D188" s="31">
        <v>46288.916666666701</v>
      </c>
      <c r="E188" s="31">
        <v>46289.229166666701</v>
      </c>
      <c r="F188" s="30" t="s">
        <v>986</v>
      </c>
    </row>
    <row r="189" spans="1:6" ht="46.5" x14ac:dyDescent="0.35">
      <c r="A189" s="29" t="s">
        <v>421</v>
      </c>
      <c r="B189" s="29" t="s">
        <v>7</v>
      </c>
      <c r="C189" s="30" t="s">
        <v>1119</v>
      </c>
      <c r="D189" s="31">
        <v>46288.916666666701</v>
      </c>
      <c r="E189" s="31">
        <v>46289.229166666701</v>
      </c>
      <c r="F189" s="30" t="s">
        <v>1120</v>
      </c>
    </row>
    <row r="190" spans="1:6" ht="46.5" x14ac:dyDescent="0.35">
      <c r="A190" s="29" t="s">
        <v>421</v>
      </c>
      <c r="B190" s="29" t="s">
        <v>7</v>
      </c>
      <c r="C190" s="30" t="s">
        <v>987</v>
      </c>
      <c r="D190" s="31">
        <v>46288.916666666701</v>
      </c>
      <c r="E190" s="31">
        <v>46289.229166666701</v>
      </c>
      <c r="F190" s="30" t="s">
        <v>988</v>
      </c>
    </row>
    <row r="191" spans="1:6" ht="46.5" x14ac:dyDescent="0.35">
      <c r="A191" s="29" t="s">
        <v>421</v>
      </c>
      <c r="B191" s="29" t="s">
        <v>8</v>
      </c>
      <c r="C191" s="30" t="s">
        <v>776</v>
      </c>
      <c r="D191" s="31">
        <v>46288.916666666701</v>
      </c>
      <c r="E191" s="31">
        <v>46289.229166666701</v>
      </c>
      <c r="F191" s="30" t="s">
        <v>777</v>
      </c>
    </row>
    <row r="192" spans="1:6" ht="46.5" x14ac:dyDescent="0.35">
      <c r="A192" s="29" t="s">
        <v>421</v>
      </c>
      <c r="B192" s="29" t="s">
        <v>8</v>
      </c>
      <c r="C192" s="30" t="s">
        <v>991</v>
      </c>
      <c r="D192" s="31">
        <v>46288.916666666701</v>
      </c>
      <c r="E192" s="31">
        <v>46289.229166666701</v>
      </c>
      <c r="F192" s="30" t="s">
        <v>992</v>
      </c>
    </row>
    <row r="193" spans="1:6" ht="46.5" x14ac:dyDescent="0.35">
      <c r="A193" s="29" t="s">
        <v>421</v>
      </c>
      <c r="B193" s="29" t="s">
        <v>8</v>
      </c>
      <c r="C193" s="30" t="s">
        <v>1273</v>
      </c>
      <c r="D193" s="31">
        <v>46288.958333333299</v>
      </c>
      <c r="E193" s="31">
        <v>46289.229166666701</v>
      </c>
      <c r="F193" s="30" t="s">
        <v>1274</v>
      </c>
    </row>
    <row r="194" spans="1:6" ht="46.5" x14ac:dyDescent="0.35">
      <c r="A194" s="29" t="s">
        <v>421</v>
      </c>
      <c r="B194" s="29" t="s">
        <v>24</v>
      </c>
      <c r="C194" s="30" t="s">
        <v>1126</v>
      </c>
      <c r="D194" s="31">
        <v>46288.916666666701</v>
      </c>
      <c r="E194" s="31">
        <v>46289.229166666701</v>
      </c>
      <c r="F194" s="30" t="s">
        <v>1127</v>
      </c>
    </row>
    <row r="195" spans="1:6" ht="46.5" x14ac:dyDescent="0.35">
      <c r="A195" s="29" t="s">
        <v>349</v>
      </c>
      <c r="B195" s="29" t="s">
        <v>4</v>
      </c>
      <c r="C195" s="30" t="s">
        <v>1246</v>
      </c>
      <c r="D195" s="31">
        <v>46288.875</v>
      </c>
      <c r="E195" s="31">
        <v>46289.25</v>
      </c>
      <c r="F195" s="30" t="s">
        <v>351</v>
      </c>
    </row>
    <row r="196" spans="1:6" ht="46.5" x14ac:dyDescent="0.35">
      <c r="A196" s="29" t="s">
        <v>349</v>
      </c>
      <c r="B196" s="29" t="s">
        <v>4</v>
      </c>
      <c r="C196" s="30" t="s">
        <v>1099</v>
      </c>
      <c r="D196" s="31">
        <v>46288.875</v>
      </c>
      <c r="E196" s="31">
        <v>46289.25</v>
      </c>
      <c r="F196" s="30" t="s">
        <v>1100</v>
      </c>
    </row>
    <row r="197" spans="1:6" ht="46.5" x14ac:dyDescent="0.35">
      <c r="A197" s="29" t="s">
        <v>349</v>
      </c>
      <c r="B197" s="29" t="s">
        <v>4</v>
      </c>
      <c r="C197" s="30" t="s">
        <v>1101</v>
      </c>
      <c r="D197" s="31">
        <v>46288.875</v>
      </c>
      <c r="E197" s="31">
        <v>46289.25</v>
      </c>
      <c r="F197" s="30" t="s">
        <v>1100</v>
      </c>
    </row>
    <row r="198" spans="1:6" ht="46.5" x14ac:dyDescent="0.35">
      <c r="A198" s="29" t="s">
        <v>349</v>
      </c>
      <c r="B198" s="29" t="s">
        <v>4</v>
      </c>
      <c r="C198" s="30" t="s">
        <v>1249</v>
      </c>
      <c r="D198" s="31">
        <v>46288.875</v>
      </c>
      <c r="E198" s="31">
        <v>46289.25</v>
      </c>
      <c r="F198" s="30" t="s">
        <v>1250</v>
      </c>
    </row>
    <row r="199" spans="1:6" ht="46.5" x14ac:dyDescent="0.35">
      <c r="A199" s="29" t="s">
        <v>349</v>
      </c>
      <c r="B199" s="29" t="s">
        <v>4</v>
      </c>
      <c r="C199" s="30" t="s">
        <v>1251</v>
      </c>
      <c r="D199" s="31">
        <v>46288.875</v>
      </c>
      <c r="E199" s="31">
        <v>46289.25</v>
      </c>
      <c r="F199" s="30" t="s">
        <v>1250</v>
      </c>
    </row>
    <row r="200" spans="1:6" ht="46.5" x14ac:dyDescent="0.35">
      <c r="A200" s="29" t="s">
        <v>324</v>
      </c>
      <c r="B200" s="29" t="s">
        <v>2</v>
      </c>
      <c r="C200" s="30" t="s">
        <v>325</v>
      </c>
      <c r="D200" s="31">
        <v>46237.25</v>
      </c>
      <c r="E200" s="31">
        <v>46692.25</v>
      </c>
      <c r="F200" s="30" t="s">
        <v>326</v>
      </c>
    </row>
    <row r="201" spans="1:6" ht="31" x14ac:dyDescent="0.35">
      <c r="A201" s="29" t="s">
        <v>373</v>
      </c>
      <c r="B201" s="29" t="s">
        <v>5</v>
      </c>
      <c r="C201" s="30" t="s">
        <v>1115</v>
      </c>
      <c r="D201" s="31">
        <v>46288.916666666701</v>
      </c>
      <c r="E201" s="31">
        <v>46289.229166666701</v>
      </c>
      <c r="F201" s="30" t="s">
        <v>1116</v>
      </c>
    </row>
    <row r="202" spans="1:6" ht="31" x14ac:dyDescent="0.35">
      <c r="A202" s="29" t="s">
        <v>373</v>
      </c>
      <c r="B202" s="29" t="s">
        <v>4</v>
      </c>
      <c r="C202" s="30" t="s">
        <v>1117</v>
      </c>
      <c r="D202" s="31">
        <v>46288.916666666701</v>
      </c>
      <c r="E202" s="31">
        <v>46289.229166666701</v>
      </c>
      <c r="F202" s="30" t="s">
        <v>1118</v>
      </c>
    </row>
    <row r="203" spans="1:6" ht="31" x14ac:dyDescent="0.35">
      <c r="A203" s="29" t="s">
        <v>373</v>
      </c>
      <c r="B203" s="29" t="s">
        <v>4</v>
      </c>
      <c r="C203" s="30" t="s">
        <v>1285</v>
      </c>
      <c r="D203" s="31">
        <v>46288.875</v>
      </c>
      <c r="E203" s="31">
        <v>46289.25</v>
      </c>
      <c r="F203" s="30" t="s">
        <v>1286</v>
      </c>
    </row>
    <row r="204" spans="1:6" ht="31" x14ac:dyDescent="0.35">
      <c r="A204" s="29" t="s">
        <v>67</v>
      </c>
      <c r="B204" s="29" t="s">
        <v>6</v>
      </c>
      <c r="C204" s="30" t="s">
        <v>859</v>
      </c>
      <c r="D204" s="31">
        <v>46288.927083333299</v>
      </c>
      <c r="E204" s="31">
        <v>46289.25</v>
      </c>
      <c r="F204" s="30" t="s">
        <v>860</v>
      </c>
    </row>
    <row r="205" spans="1:6" ht="31" x14ac:dyDescent="0.35">
      <c r="A205" s="29" t="s">
        <v>67</v>
      </c>
      <c r="B205" s="29" t="s">
        <v>2</v>
      </c>
      <c r="C205" s="30" t="s">
        <v>1158</v>
      </c>
      <c r="D205" s="31">
        <v>46288.927083333299</v>
      </c>
      <c r="E205" s="31">
        <v>46289.25</v>
      </c>
      <c r="F205" s="30" t="s">
        <v>1159</v>
      </c>
    </row>
    <row r="206" spans="1:6" ht="46.5" x14ac:dyDescent="0.35">
      <c r="A206" s="29" t="s">
        <v>67</v>
      </c>
      <c r="B206" s="29" t="s">
        <v>6</v>
      </c>
      <c r="C206" s="30" t="s">
        <v>68</v>
      </c>
      <c r="D206" s="31">
        <v>46288.927083333299</v>
      </c>
      <c r="E206" s="31">
        <v>46289</v>
      </c>
      <c r="F206" s="30" t="s">
        <v>1160</v>
      </c>
    </row>
    <row r="207" spans="1:6" ht="46.5" x14ac:dyDescent="0.35">
      <c r="A207" s="29" t="s">
        <v>67</v>
      </c>
      <c r="B207" s="29" t="s">
        <v>6</v>
      </c>
      <c r="C207" s="30" t="s">
        <v>70</v>
      </c>
      <c r="D207" s="31">
        <v>46288.927083333299</v>
      </c>
      <c r="E207" s="31">
        <v>46289.25</v>
      </c>
      <c r="F207" s="30" t="s">
        <v>1160</v>
      </c>
    </row>
    <row r="208" spans="1:6" ht="62" x14ac:dyDescent="0.35">
      <c r="A208" s="29" t="s">
        <v>67</v>
      </c>
      <c r="B208" s="29" t="s">
        <v>2</v>
      </c>
      <c r="C208" s="30" t="s">
        <v>1161</v>
      </c>
      <c r="D208" s="31">
        <v>46288.927083333299</v>
      </c>
      <c r="E208" s="31">
        <v>46289.25</v>
      </c>
      <c r="F208" s="30" t="s">
        <v>1162</v>
      </c>
    </row>
    <row r="209" spans="1:6" ht="46.5" x14ac:dyDescent="0.35">
      <c r="A209" s="29" t="s">
        <v>67</v>
      </c>
      <c r="B209" s="29" t="s">
        <v>2</v>
      </c>
      <c r="C209" s="30" t="s">
        <v>1163</v>
      </c>
      <c r="D209" s="31">
        <v>46288.927083333299</v>
      </c>
      <c r="E209" s="31">
        <v>46289.25</v>
      </c>
      <c r="F209" s="30" t="s">
        <v>1162</v>
      </c>
    </row>
    <row r="210" spans="1:6" ht="46.5" x14ac:dyDescent="0.35">
      <c r="A210" s="29" t="s">
        <v>67</v>
      </c>
      <c r="B210" s="29" t="s">
        <v>2</v>
      </c>
      <c r="C210" s="30" t="s">
        <v>1164</v>
      </c>
      <c r="D210" s="31">
        <v>46288.927083333299</v>
      </c>
      <c r="E210" s="31">
        <v>46289.25</v>
      </c>
      <c r="F210" s="30" t="s">
        <v>1165</v>
      </c>
    </row>
    <row r="211" spans="1:6" ht="46.5" x14ac:dyDescent="0.35">
      <c r="A211" s="29" t="s">
        <v>67</v>
      </c>
      <c r="B211" s="29" t="s">
        <v>2</v>
      </c>
      <c r="C211" s="30" t="s">
        <v>1166</v>
      </c>
      <c r="D211" s="31">
        <v>46288.927083333299</v>
      </c>
      <c r="E211" s="31">
        <v>46289.25</v>
      </c>
      <c r="F211" s="30" t="s">
        <v>1165</v>
      </c>
    </row>
    <row r="212" spans="1:6" ht="46.5" x14ac:dyDescent="0.35">
      <c r="A212" s="29" t="s">
        <v>67</v>
      </c>
      <c r="B212" s="29" t="s">
        <v>2</v>
      </c>
      <c r="C212" s="30" t="s">
        <v>1167</v>
      </c>
      <c r="D212" s="31">
        <v>46288.927083333299</v>
      </c>
      <c r="E212" s="31">
        <v>46289.25</v>
      </c>
      <c r="F212" s="30" t="s">
        <v>1165</v>
      </c>
    </row>
    <row r="213" spans="1:6" ht="46.5" x14ac:dyDescent="0.35">
      <c r="A213" s="29" t="s">
        <v>67</v>
      </c>
      <c r="B213" s="29" t="s">
        <v>5</v>
      </c>
      <c r="C213" s="30" t="s">
        <v>989</v>
      </c>
      <c r="D213" s="31">
        <v>46288.916666666701</v>
      </c>
      <c r="E213" s="31">
        <v>46289.229166666701</v>
      </c>
      <c r="F213" s="30" t="s">
        <v>990</v>
      </c>
    </row>
    <row r="214" spans="1:6" ht="46.5" x14ac:dyDescent="0.35">
      <c r="A214" s="29" t="s">
        <v>540</v>
      </c>
      <c r="B214" s="29" t="s">
        <v>2</v>
      </c>
      <c r="C214" s="30" t="s">
        <v>1011</v>
      </c>
      <c r="D214" s="31">
        <v>46288.875</v>
      </c>
      <c r="E214" s="31">
        <v>46289.25</v>
      </c>
      <c r="F214" s="30" t="s">
        <v>1010</v>
      </c>
    </row>
    <row r="215" spans="1:6" ht="46.5" x14ac:dyDescent="0.35">
      <c r="A215" s="29" t="s">
        <v>540</v>
      </c>
      <c r="B215" s="29" t="s">
        <v>6</v>
      </c>
      <c r="C215" s="30" t="s">
        <v>1012</v>
      </c>
      <c r="D215" s="31">
        <v>46288.875</v>
      </c>
      <c r="E215" s="31">
        <v>46289.25</v>
      </c>
      <c r="F215" s="30" t="s">
        <v>1010</v>
      </c>
    </row>
    <row r="216" spans="1:6" ht="46.5" x14ac:dyDescent="0.35">
      <c r="A216" s="29" t="s">
        <v>540</v>
      </c>
      <c r="B216" s="29" t="s">
        <v>2</v>
      </c>
      <c r="C216" s="30" t="s">
        <v>1294</v>
      </c>
      <c r="D216" s="31">
        <v>46288.875</v>
      </c>
      <c r="E216" s="31">
        <v>46289.25</v>
      </c>
      <c r="F216" s="30" t="s">
        <v>1295</v>
      </c>
    </row>
    <row r="217" spans="1:6" ht="46.5" x14ac:dyDescent="0.35">
      <c r="A217" s="29" t="s">
        <v>540</v>
      </c>
      <c r="B217" s="29" t="s">
        <v>2</v>
      </c>
      <c r="C217" s="30" t="s">
        <v>1296</v>
      </c>
      <c r="D217" s="31">
        <v>46288.875</v>
      </c>
      <c r="E217" s="31">
        <v>46289.25</v>
      </c>
      <c r="F217" s="30" t="s">
        <v>1022</v>
      </c>
    </row>
    <row r="218" spans="1:6" ht="46.5" x14ac:dyDescent="0.35">
      <c r="A218" s="29" t="s">
        <v>518</v>
      </c>
      <c r="B218" s="29" t="s">
        <v>5</v>
      </c>
      <c r="C218" s="30" t="s">
        <v>1135</v>
      </c>
      <c r="D218" s="31">
        <v>46288.833333333299</v>
      </c>
      <c r="E218" s="31">
        <v>46289.25</v>
      </c>
      <c r="F218" s="30" t="s">
        <v>1136</v>
      </c>
    </row>
    <row r="219" spans="1:6" ht="46.5" x14ac:dyDescent="0.35">
      <c r="A219" s="29" t="s">
        <v>495</v>
      </c>
      <c r="B219" s="29" t="s">
        <v>6</v>
      </c>
      <c r="C219" s="30" t="s">
        <v>1283</v>
      </c>
      <c r="D219" s="31">
        <v>46288.833333333299</v>
      </c>
      <c r="E219" s="31">
        <v>46289.25</v>
      </c>
      <c r="F219" s="30" t="s">
        <v>1284</v>
      </c>
    </row>
    <row r="220" spans="1:6" ht="46.5" x14ac:dyDescent="0.35">
      <c r="A220" s="29" t="s">
        <v>495</v>
      </c>
      <c r="B220" s="29" t="s">
        <v>6</v>
      </c>
      <c r="C220" s="30" t="s">
        <v>1288</v>
      </c>
      <c r="D220" s="31">
        <v>46288.875</v>
      </c>
      <c r="E220" s="31">
        <v>46289.25</v>
      </c>
      <c r="F220" s="30" t="s">
        <v>1016</v>
      </c>
    </row>
    <row r="221" spans="1:6" ht="46.5" x14ac:dyDescent="0.35">
      <c r="A221" s="29" t="s">
        <v>495</v>
      </c>
      <c r="B221" s="29" t="s">
        <v>24</v>
      </c>
      <c r="C221" s="30" t="s">
        <v>1289</v>
      </c>
      <c r="D221" s="31">
        <v>46288.875</v>
      </c>
      <c r="E221" s="31">
        <v>46289.25</v>
      </c>
      <c r="F221" s="30" t="s">
        <v>1016</v>
      </c>
    </row>
    <row r="222" spans="1:6" ht="46.5" x14ac:dyDescent="0.35">
      <c r="A222" s="29" t="s">
        <v>495</v>
      </c>
      <c r="B222" s="29" t="s">
        <v>6</v>
      </c>
      <c r="C222" s="30" t="s">
        <v>1290</v>
      </c>
      <c r="D222" s="31">
        <v>46288.875</v>
      </c>
      <c r="E222" s="31">
        <v>46289.25</v>
      </c>
      <c r="F222" s="30" t="s">
        <v>1016</v>
      </c>
    </row>
    <row r="223" spans="1:6" ht="31" x14ac:dyDescent="0.35">
      <c r="A223" s="29" t="s">
        <v>495</v>
      </c>
      <c r="B223" s="29" t="s">
        <v>2</v>
      </c>
      <c r="C223" s="30" t="s">
        <v>1292</v>
      </c>
      <c r="D223" s="31">
        <v>46288.875</v>
      </c>
      <c r="E223" s="31">
        <v>46289.25</v>
      </c>
      <c r="F223" s="30" t="s">
        <v>1293</v>
      </c>
    </row>
    <row r="224" spans="1:6" ht="31" x14ac:dyDescent="0.35">
      <c r="A224" s="29" t="s">
        <v>237</v>
      </c>
      <c r="B224" s="29" t="s">
        <v>2</v>
      </c>
      <c r="C224" s="30" t="s">
        <v>238</v>
      </c>
      <c r="D224" s="31">
        <v>46288.833333333299</v>
      </c>
      <c r="E224" s="31">
        <v>46289.25</v>
      </c>
      <c r="F224" s="30" t="s">
        <v>236</v>
      </c>
    </row>
    <row r="225" spans="1:6" ht="31" x14ac:dyDescent="0.35">
      <c r="A225" s="29" t="s">
        <v>237</v>
      </c>
      <c r="B225" s="29" t="s">
        <v>2</v>
      </c>
      <c r="C225" s="30" t="s">
        <v>239</v>
      </c>
      <c r="D225" s="31">
        <v>46288.833333333299</v>
      </c>
      <c r="E225" s="31">
        <v>46289.25</v>
      </c>
      <c r="F225" s="30" t="s">
        <v>236</v>
      </c>
    </row>
    <row r="226" spans="1:6" ht="46.5" x14ac:dyDescent="0.35">
      <c r="A226" s="29" t="s">
        <v>237</v>
      </c>
      <c r="B226" s="29" t="s">
        <v>2</v>
      </c>
      <c r="C226" s="30" t="s">
        <v>240</v>
      </c>
      <c r="D226" s="31">
        <v>46288.833333333299</v>
      </c>
      <c r="E226" s="31">
        <v>46289.25</v>
      </c>
      <c r="F226" s="30" t="s">
        <v>236</v>
      </c>
    </row>
    <row r="227" spans="1:6" ht="46.5" x14ac:dyDescent="0.35">
      <c r="A227" s="29" t="s">
        <v>237</v>
      </c>
      <c r="B227" s="29" t="s">
        <v>2</v>
      </c>
      <c r="C227" s="30" t="s">
        <v>241</v>
      </c>
      <c r="D227" s="31">
        <v>46288.833333333299</v>
      </c>
      <c r="E227" s="31">
        <v>46289.25</v>
      </c>
      <c r="F227" s="30" t="s">
        <v>236</v>
      </c>
    </row>
    <row r="228" spans="1:6" ht="46.5" x14ac:dyDescent="0.35">
      <c r="A228" s="29" t="s">
        <v>237</v>
      </c>
      <c r="B228" s="29" t="s">
        <v>2</v>
      </c>
      <c r="C228" s="30" t="s">
        <v>242</v>
      </c>
      <c r="D228" s="31">
        <v>46288.833333333299</v>
      </c>
      <c r="E228" s="31">
        <v>46289.25</v>
      </c>
      <c r="F228" s="30" t="s">
        <v>236</v>
      </c>
    </row>
    <row r="229" spans="1:6" ht="46.5" x14ac:dyDescent="0.35">
      <c r="A229" s="29" t="s">
        <v>237</v>
      </c>
      <c r="B229" s="29" t="s">
        <v>2</v>
      </c>
      <c r="C229" s="30" t="s">
        <v>243</v>
      </c>
      <c r="D229" s="31">
        <v>46288.833333333299</v>
      </c>
      <c r="E229" s="31">
        <v>46289.25</v>
      </c>
      <c r="F229" s="30" t="s">
        <v>236</v>
      </c>
    </row>
    <row r="230" spans="1:6" ht="62" x14ac:dyDescent="0.35">
      <c r="A230" s="29" t="s">
        <v>237</v>
      </c>
      <c r="B230" s="29" t="s">
        <v>6</v>
      </c>
      <c r="C230" s="30" t="s">
        <v>911</v>
      </c>
      <c r="D230" s="31">
        <v>46288.833333333299</v>
      </c>
      <c r="E230" s="31">
        <v>46289.25</v>
      </c>
      <c r="F230" s="30" t="s">
        <v>912</v>
      </c>
    </row>
    <row r="231" spans="1:6" ht="31" x14ac:dyDescent="0.35">
      <c r="A231" s="29" t="s">
        <v>237</v>
      </c>
      <c r="B231" s="29" t="s">
        <v>6</v>
      </c>
      <c r="C231" s="30" t="s">
        <v>913</v>
      </c>
      <c r="D231" s="31">
        <v>46288.833333333299</v>
      </c>
      <c r="E231" s="31">
        <v>46289.25</v>
      </c>
      <c r="F231" s="30" t="s">
        <v>912</v>
      </c>
    </row>
    <row r="232" spans="1:6" ht="31" x14ac:dyDescent="0.35">
      <c r="A232" s="29" t="s">
        <v>237</v>
      </c>
      <c r="B232" s="29" t="s">
        <v>6</v>
      </c>
      <c r="C232" s="30" t="s">
        <v>914</v>
      </c>
      <c r="D232" s="31">
        <v>46288.833333333299</v>
      </c>
      <c r="E232" s="31">
        <v>46289.25</v>
      </c>
      <c r="F232" s="30" t="s">
        <v>912</v>
      </c>
    </row>
    <row r="233" spans="1:6" ht="31" x14ac:dyDescent="0.35">
      <c r="A233" s="29" t="s">
        <v>237</v>
      </c>
      <c r="B233" s="29" t="s">
        <v>6</v>
      </c>
      <c r="C233" s="30" t="s">
        <v>1201</v>
      </c>
      <c r="D233" s="31">
        <v>46288.875</v>
      </c>
      <c r="E233" s="31">
        <v>46289.25</v>
      </c>
      <c r="F233" s="30" t="s">
        <v>1200</v>
      </c>
    </row>
    <row r="234" spans="1:6" ht="31" x14ac:dyDescent="0.35">
      <c r="A234" s="29" t="s">
        <v>237</v>
      </c>
      <c r="B234" s="29" t="s">
        <v>2</v>
      </c>
      <c r="C234" s="30" t="s">
        <v>1202</v>
      </c>
      <c r="D234" s="31">
        <v>46288.875</v>
      </c>
      <c r="E234" s="31">
        <v>46289.25</v>
      </c>
      <c r="F234" s="30" t="s">
        <v>1200</v>
      </c>
    </row>
    <row r="235" spans="1:6" ht="77.5" x14ac:dyDescent="0.35">
      <c r="A235" s="29" t="s">
        <v>237</v>
      </c>
      <c r="B235" s="29" t="s">
        <v>5</v>
      </c>
      <c r="C235" s="30" t="s">
        <v>278</v>
      </c>
      <c r="D235" s="31">
        <v>46288.833333333299</v>
      </c>
      <c r="E235" s="31">
        <v>46289.208333333299</v>
      </c>
      <c r="F235" s="30" t="s">
        <v>279</v>
      </c>
    </row>
    <row r="236" spans="1:6" ht="46.5" x14ac:dyDescent="0.35">
      <c r="A236" s="29" t="s">
        <v>234</v>
      </c>
      <c r="B236" s="29" t="s">
        <v>5</v>
      </c>
      <c r="C236" s="30" t="s">
        <v>235</v>
      </c>
      <c r="D236" s="31">
        <v>46288.833333333299</v>
      </c>
      <c r="E236" s="31">
        <v>46289.25</v>
      </c>
      <c r="F236" s="30" t="s">
        <v>236</v>
      </c>
    </row>
    <row r="237" spans="1:6" ht="46.5" x14ac:dyDescent="0.35">
      <c r="A237" s="29" t="s">
        <v>234</v>
      </c>
      <c r="B237" s="29" t="s">
        <v>4</v>
      </c>
      <c r="C237" s="30" t="s">
        <v>1203</v>
      </c>
      <c r="D237" s="31">
        <v>46288.875</v>
      </c>
      <c r="E237" s="31">
        <v>46289.25</v>
      </c>
      <c r="F237" s="30" t="s">
        <v>1200</v>
      </c>
    </row>
    <row r="238" spans="1:6" ht="46.5" x14ac:dyDescent="0.35">
      <c r="A238" s="29" t="s">
        <v>234</v>
      </c>
      <c r="B238" s="29" t="s">
        <v>4</v>
      </c>
      <c r="C238" s="30" t="s">
        <v>1204</v>
      </c>
      <c r="D238" s="31">
        <v>46288.875</v>
      </c>
      <c r="E238" s="31">
        <v>46289.25</v>
      </c>
      <c r="F238" s="30" t="s">
        <v>1200</v>
      </c>
    </row>
    <row r="239" spans="1:6" ht="31" x14ac:dyDescent="0.35">
      <c r="A239" s="29" t="s">
        <v>234</v>
      </c>
      <c r="B239" s="29" t="s">
        <v>5</v>
      </c>
      <c r="C239" s="30" t="s">
        <v>1217</v>
      </c>
      <c r="D239" s="31">
        <v>46288.875</v>
      </c>
      <c r="E239" s="31">
        <v>46289.25</v>
      </c>
      <c r="F239" s="30" t="s">
        <v>1218</v>
      </c>
    </row>
    <row r="240" spans="1:6" ht="46.5" x14ac:dyDescent="0.35">
      <c r="A240" s="29" t="s">
        <v>234</v>
      </c>
      <c r="B240" s="29" t="s">
        <v>5</v>
      </c>
      <c r="C240" s="30" t="s">
        <v>1219</v>
      </c>
      <c r="D240" s="31">
        <v>46288.875</v>
      </c>
      <c r="E240" s="31">
        <v>46289.25</v>
      </c>
      <c r="F240" s="30" t="s">
        <v>1218</v>
      </c>
    </row>
    <row r="241" spans="1:6" ht="46.5" x14ac:dyDescent="0.35">
      <c r="A241" s="29" t="s">
        <v>231</v>
      </c>
      <c r="B241" s="29" t="s">
        <v>6</v>
      </c>
      <c r="C241" s="30" t="s">
        <v>232</v>
      </c>
      <c r="D241" s="31">
        <v>45804.208333333299</v>
      </c>
      <c r="E241" s="31">
        <v>46418.208333333299</v>
      </c>
      <c r="F241" s="30" t="s">
        <v>233</v>
      </c>
    </row>
    <row r="242" spans="1:6" ht="46.5" x14ac:dyDescent="0.35">
      <c r="A242" s="29" t="s">
        <v>231</v>
      </c>
      <c r="B242" s="29" t="s">
        <v>2</v>
      </c>
      <c r="C242" s="30" t="s">
        <v>269</v>
      </c>
      <c r="D242" s="31">
        <v>46267.833333333299</v>
      </c>
      <c r="E242" s="31">
        <v>46323.25</v>
      </c>
      <c r="F242" s="30" t="s">
        <v>270</v>
      </c>
    </row>
    <row r="243" spans="1:6" ht="46.5" x14ac:dyDescent="0.35">
      <c r="A243" s="29" t="s">
        <v>93</v>
      </c>
      <c r="B243" s="29" t="s">
        <v>6</v>
      </c>
      <c r="C243" s="30" t="s">
        <v>94</v>
      </c>
      <c r="D243" s="31">
        <v>46288.833333333299</v>
      </c>
      <c r="E243" s="31">
        <v>46289.25</v>
      </c>
      <c r="F243" s="30" t="s">
        <v>95</v>
      </c>
    </row>
    <row r="244" spans="1:6" ht="31" x14ac:dyDescent="0.35">
      <c r="A244" s="29" t="s">
        <v>93</v>
      </c>
      <c r="B244" s="29" t="s">
        <v>6</v>
      </c>
      <c r="C244" s="30" t="s">
        <v>1208</v>
      </c>
      <c r="D244" s="31">
        <v>46288.958333333299</v>
      </c>
      <c r="E244" s="31">
        <v>46289.25</v>
      </c>
      <c r="F244" s="30" t="s">
        <v>1209</v>
      </c>
    </row>
    <row r="245" spans="1:6" ht="62" x14ac:dyDescent="0.35">
      <c r="A245" s="29" t="s">
        <v>93</v>
      </c>
      <c r="B245" s="29" t="s">
        <v>6</v>
      </c>
      <c r="C245" s="30" t="s">
        <v>1210</v>
      </c>
      <c r="D245" s="31">
        <v>46288.958333333299</v>
      </c>
      <c r="E245" s="31">
        <v>46289.25</v>
      </c>
      <c r="F245" s="30" t="s">
        <v>1209</v>
      </c>
    </row>
    <row r="246" spans="1:6" ht="62" x14ac:dyDescent="0.35">
      <c r="A246" s="29" t="s">
        <v>93</v>
      </c>
      <c r="B246" s="29" t="s">
        <v>6</v>
      </c>
      <c r="C246" s="30" t="s">
        <v>1085</v>
      </c>
      <c r="D246" s="31">
        <v>46288.916666666701</v>
      </c>
      <c r="E246" s="31">
        <v>46289.25</v>
      </c>
      <c r="F246" s="30" t="s">
        <v>1086</v>
      </c>
    </row>
    <row r="247" spans="1:6" ht="77.5" x14ac:dyDescent="0.35">
      <c r="A247" s="29" t="s">
        <v>93</v>
      </c>
      <c r="B247" s="29" t="s">
        <v>2</v>
      </c>
      <c r="C247" s="30" t="s">
        <v>1224</v>
      </c>
      <c r="D247" s="31">
        <v>46288.916666666701</v>
      </c>
      <c r="E247" s="31">
        <v>46289.25</v>
      </c>
      <c r="F247" s="30" t="s">
        <v>1225</v>
      </c>
    </row>
    <row r="248" spans="1:6" ht="62" x14ac:dyDescent="0.35">
      <c r="A248" s="29" t="s">
        <v>93</v>
      </c>
      <c r="B248" s="29" t="s">
        <v>2</v>
      </c>
      <c r="C248" s="30" t="s">
        <v>285</v>
      </c>
      <c r="D248" s="31">
        <v>46288.875</v>
      </c>
      <c r="E248" s="31">
        <v>46289.25</v>
      </c>
      <c r="F248" s="30" t="s">
        <v>1228</v>
      </c>
    </row>
    <row r="249" spans="1:6" ht="62" x14ac:dyDescent="0.35">
      <c r="A249" s="29" t="s">
        <v>93</v>
      </c>
      <c r="B249" s="29" t="s">
        <v>2</v>
      </c>
      <c r="C249" s="30" t="s">
        <v>732</v>
      </c>
      <c r="D249" s="31">
        <v>46288.875</v>
      </c>
      <c r="E249" s="31">
        <v>46289.25</v>
      </c>
      <c r="F249" s="30" t="s">
        <v>1228</v>
      </c>
    </row>
    <row r="250" spans="1:6" ht="77.5" x14ac:dyDescent="0.35">
      <c r="A250" s="29" t="s">
        <v>93</v>
      </c>
      <c r="B250" s="29" t="s">
        <v>6</v>
      </c>
      <c r="C250" s="30" t="s">
        <v>306</v>
      </c>
      <c r="D250" s="31">
        <v>46288.875</v>
      </c>
      <c r="E250" s="31">
        <v>46289.25</v>
      </c>
      <c r="F250" s="30" t="s">
        <v>307</v>
      </c>
    </row>
    <row r="251" spans="1:6" ht="46.5" x14ac:dyDescent="0.35">
      <c r="A251" s="29" t="s">
        <v>93</v>
      </c>
      <c r="B251" s="29" t="s">
        <v>6</v>
      </c>
      <c r="C251" s="30" t="s">
        <v>948</v>
      </c>
      <c r="D251" s="31">
        <v>46288.833333333299</v>
      </c>
      <c r="E251" s="31">
        <v>46289.25</v>
      </c>
      <c r="F251" s="30" t="s">
        <v>321</v>
      </c>
    </row>
    <row r="252" spans="1:6" ht="46.5" x14ac:dyDescent="0.35">
      <c r="A252" s="29" t="s">
        <v>93</v>
      </c>
      <c r="B252" s="29" t="s">
        <v>6</v>
      </c>
      <c r="C252" s="30" t="s">
        <v>1237</v>
      </c>
      <c r="D252" s="31">
        <v>46288.833333333299</v>
      </c>
      <c r="E252" s="31">
        <v>46289.25</v>
      </c>
      <c r="F252" s="30" t="s">
        <v>321</v>
      </c>
    </row>
    <row r="253" spans="1:6" ht="62" x14ac:dyDescent="0.35">
      <c r="A253" s="29" t="s">
        <v>93</v>
      </c>
      <c r="B253" s="29" t="s">
        <v>6</v>
      </c>
      <c r="C253" s="30" t="s">
        <v>1009</v>
      </c>
      <c r="D253" s="31">
        <v>46288.875</v>
      </c>
      <c r="E253" s="31">
        <v>46289.25</v>
      </c>
      <c r="F253" s="30" t="s">
        <v>1010</v>
      </c>
    </row>
    <row r="254" spans="1:6" ht="62" x14ac:dyDescent="0.35">
      <c r="A254" s="29" t="s">
        <v>250</v>
      </c>
      <c r="B254" s="29" t="s">
        <v>7</v>
      </c>
      <c r="C254" s="30" t="s">
        <v>1207</v>
      </c>
      <c r="D254" s="31">
        <v>46288.958333333299</v>
      </c>
      <c r="E254" s="31">
        <v>46289.25</v>
      </c>
      <c r="F254" s="30" t="s">
        <v>252</v>
      </c>
    </row>
    <row r="255" spans="1:6" ht="62" x14ac:dyDescent="0.35">
      <c r="A255" s="29" t="s">
        <v>250</v>
      </c>
      <c r="B255" s="29" t="s">
        <v>8</v>
      </c>
      <c r="C255" s="30" t="s">
        <v>259</v>
      </c>
      <c r="D255" s="31">
        <v>46288.875</v>
      </c>
      <c r="E255" s="31">
        <v>46289.25</v>
      </c>
      <c r="F255" s="30" t="s">
        <v>260</v>
      </c>
    </row>
    <row r="256" spans="1:6" ht="46.5" x14ac:dyDescent="0.35">
      <c r="A256" s="29" t="s">
        <v>250</v>
      </c>
      <c r="B256" s="29" t="s">
        <v>7</v>
      </c>
      <c r="C256" s="30" t="s">
        <v>261</v>
      </c>
      <c r="D256" s="31">
        <v>46288.875</v>
      </c>
      <c r="E256" s="31">
        <v>46289.25</v>
      </c>
      <c r="F256" s="30" t="s">
        <v>260</v>
      </c>
    </row>
    <row r="257" spans="1:6" ht="93" x14ac:dyDescent="0.35">
      <c r="A257" s="29" t="s">
        <v>250</v>
      </c>
      <c r="B257" s="29" t="s">
        <v>7</v>
      </c>
      <c r="C257" s="30" t="s">
        <v>271</v>
      </c>
      <c r="D257" s="31">
        <v>46288.875</v>
      </c>
      <c r="E257" s="31">
        <v>46289.25</v>
      </c>
      <c r="F257" s="30" t="s">
        <v>272</v>
      </c>
    </row>
    <row r="258" spans="1:6" ht="77.5" x14ac:dyDescent="0.35">
      <c r="A258" s="29" t="s">
        <v>1229</v>
      </c>
      <c r="B258" s="29" t="s">
        <v>4</v>
      </c>
      <c r="C258" s="30" t="s">
        <v>1230</v>
      </c>
      <c r="D258" s="31">
        <v>46288.875</v>
      </c>
      <c r="E258" s="31">
        <v>46289.25</v>
      </c>
      <c r="F258" s="30" t="s">
        <v>1231</v>
      </c>
    </row>
    <row r="259" spans="1:6" ht="77.5" x14ac:dyDescent="0.35">
      <c r="A259" s="29" t="s">
        <v>155</v>
      </c>
      <c r="B259" s="29" t="s">
        <v>6</v>
      </c>
      <c r="C259" s="30" t="s">
        <v>880</v>
      </c>
      <c r="D259" s="31">
        <v>46288.833333333299</v>
      </c>
      <c r="E259" s="31">
        <v>46289.25</v>
      </c>
      <c r="F259" s="30" t="s">
        <v>881</v>
      </c>
    </row>
    <row r="260" spans="1:6" ht="62" x14ac:dyDescent="0.35">
      <c r="A260" s="29" t="s">
        <v>155</v>
      </c>
      <c r="B260" s="29" t="s">
        <v>6</v>
      </c>
      <c r="C260" s="30" t="s">
        <v>882</v>
      </c>
      <c r="D260" s="31">
        <v>46288.833333333299</v>
      </c>
      <c r="E260" s="31">
        <v>46289.25</v>
      </c>
      <c r="F260" s="30" t="s">
        <v>881</v>
      </c>
    </row>
    <row r="261" spans="1:6" ht="77.5" x14ac:dyDescent="0.35">
      <c r="A261" s="29" t="s">
        <v>155</v>
      </c>
      <c r="B261" s="29" t="s">
        <v>6</v>
      </c>
      <c r="C261" s="30" t="s">
        <v>883</v>
      </c>
      <c r="D261" s="31">
        <v>46288.833333333299</v>
      </c>
      <c r="E261" s="31">
        <v>46289.25</v>
      </c>
      <c r="F261" s="30" t="s">
        <v>881</v>
      </c>
    </row>
    <row r="262" spans="1:6" ht="62" x14ac:dyDescent="0.35">
      <c r="A262" s="29" t="s">
        <v>155</v>
      </c>
      <c r="B262" s="29" t="s">
        <v>6</v>
      </c>
      <c r="C262" s="30" t="s">
        <v>884</v>
      </c>
      <c r="D262" s="31">
        <v>46288.833333333299</v>
      </c>
      <c r="E262" s="31">
        <v>46289.25</v>
      </c>
      <c r="F262" s="30" t="s">
        <v>881</v>
      </c>
    </row>
    <row r="263" spans="1:6" ht="62" x14ac:dyDescent="0.35">
      <c r="A263" s="29" t="s">
        <v>155</v>
      </c>
      <c r="B263" s="29" t="s">
        <v>6</v>
      </c>
      <c r="C263" s="30" t="s">
        <v>885</v>
      </c>
      <c r="D263" s="31">
        <v>46288.833333333299</v>
      </c>
      <c r="E263" s="31">
        <v>46289.25</v>
      </c>
      <c r="F263" s="30" t="s">
        <v>881</v>
      </c>
    </row>
    <row r="264" spans="1:6" ht="93" x14ac:dyDescent="0.35">
      <c r="A264" s="29" t="s">
        <v>155</v>
      </c>
      <c r="B264" s="29" t="s">
        <v>6</v>
      </c>
      <c r="C264" s="30" t="s">
        <v>886</v>
      </c>
      <c r="D264" s="31">
        <v>46288.833333333299</v>
      </c>
      <c r="E264" s="31">
        <v>46289.25</v>
      </c>
      <c r="F264" s="30" t="s">
        <v>881</v>
      </c>
    </row>
    <row r="265" spans="1:6" ht="62" x14ac:dyDescent="0.35">
      <c r="A265" s="29" t="s">
        <v>267</v>
      </c>
      <c r="B265" s="29" t="s">
        <v>2</v>
      </c>
      <c r="C265" s="30" t="s">
        <v>1205</v>
      </c>
      <c r="D265" s="31">
        <v>46288.875</v>
      </c>
      <c r="E265" s="31">
        <v>46289.25</v>
      </c>
      <c r="F265" s="30" t="s">
        <v>916</v>
      </c>
    </row>
    <row r="266" spans="1:6" ht="93" x14ac:dyDescent="0.35">
      <c r="A266" s="29" t="s">
        <v>267</v>
      </c>
      <c r="B266" s="29" t="s">
        <v>2</v>
      </c>
      <c r="C266" s="30" t="s">
        <v>1206</v>
      </c>
      <c r="D266" s="31">
        <v>46288.875</v>
      </c>
      <c r="E266" s="31">
        <v>46289.25</v>
      </c>
      <c r="F266" s="30" t="s">
        <v>916</v>
      </c>
    </row>
    <row r="267" spans="1:6" ht="77.5" x14ac:dyDescent="0.35">
      <c r="A267" s="29" t="s">
        <v>267</v>
      </c>
      <c r="B267" s="29" t="s">
        <v>2</v>
      </c>
      <c r="C267" s="30" t="s">
        <v>915</v>
      </c>
      <c r="D267" s="31">
        <v>46288.875</v>
      </c>
      <c r="E267" s="31">
        <v>46289.25</v>
      </c>
      <c r="F267" s="30" t="s">
        <v>916</v>
      </c>
    </row>
    <row r="268" spans="1:6" ht="46.5" x14ac:dyDescent="0.35">
      <c r="A268" s="29" t="s">
        <v>267</v>
      </c>
      <c r="B268" s="29" t="s">
        <v>6</v>
      </c>
      <c r="C268" s="30" t="s">
        <v>1087</v>
      </c>
      <c r="D268" s="31">
        <v>46288.916666666701</v>
      </c>
      <c r="E268" s="31">
        <v>46289.25</v>
      </c>
      <c r="F268" s="30" t="s">
        <v>1086</v>
      </c>
    </row>
    <row r="269" spans="1:6" ht="62" x14ac:dyDescent="0.35">
      <c r="A269" s="29" t="s">
        <v>267</v>
      </c>
      <c r="B269" s="29" t="s">
        <v>6</v>
      </c>
      <c r="C269" s="30" t="s">
        <v>1088</v>
      </c>
      <c r="D269" s="31">
        <v>46288.916666666701</v>
      </c>
      <c r="E269" s="31">
        <v>46289.25</v>
      </c>
      <c r="F269" s="30" t="s">
        <v>1086</v>
      </c>
    </row>
    <row r="270" spans="1:6" ht="124" x14ac:dyDescent="0.35">
      <c r="A270" s="29" t="s">
        <v>267</v>
      </c>
      <c r="B270" s="29" t="s">
        <v>6</v>
      </c>
      <c r="C270" s="30" t="s">
        <v>1221</v>
      </c>
      <c r="D270" s="31">
        <v>46288.875</v>
      </c>
      <c r="E270" s="31">
        <v>46289.208333333299</v>
      </c>
      <c r="F270" s="30" t="s">
        <v>1222</v>
      </c>
    </row>
    <row r="271" spans="1:6" ht="108.5" x14ac:dyDescent="0.35">
      <c r="A271" s="29" t="s">
        <v>267</v>
      </c>
      <c r="B271" s="29" t="s">
        <v>6</v>
      </c>
      <c r="C271" s="30" t="s">
        <v>1223</v>
      </c>
      <c r="D271" s="31">
        <v>46288.875</v>
      </c>
      <c r="E271" s="31">
        <v>46289.208333333299</v>
      </c>
      <c r="F271" s="30" t="s">
        <v>1222</v>
      </c>
    </row>
    <row r="272" spans="1:6" ht="46.5" x14ac:dyDescent="0.35">
      <c r="A272" s="29" t="s">
        <v>125</v>
      </c>
      <c r="B272" s="29" t="s">
        <v>4</v>
      </c>
      <c r="C272" s="30" t="s">
        <v>126</v>
      </c>
      <c r="D272" s="31">
        <v>46288.25</v>
      </c>
      <c r="E272" s="31">
        <v>46288.833333333299</v>
      </c>
      <c r="F272" s="30" t="s">
        <v>127</v>
      </c>
    </row>
    <row r="273" spans="1:6" ht="62" x14ac:dyDescent="0.35">
      <c r="A273" s="29" t="s">
        <v>125</v>
      </c>
      <c r="B273" s="29" t="s">
        <v>4</v>
      </c>
      <c r="C273" s="30" t="s">
        <v>126</v>
      </c>
      <c r="D273" s="31">
        <v>46289.25</v>
      </c>
      <c r="E273" s="31">
        <v>46289.833333333299</v>
      </c>
      <c r="F273" s="30" t="s">
        <v>127</v>
      </c>
    </row>
    <row r="274" spans="1:6" ht="46.5" x14ac:dyDescent="0.35">
      <c r="A274" s="29" t="s">
        <v>125</v>
      </c>
      <c r="B274" s="29" t="s">
        <v>5</v>
      </c>
      <c r="C274" s="30" t="s">
        <v>148</v>
      </c>
      <c r="D274" s="31">
        <v>46288.833333333299</v>
      </c>
      <c r="E274" s="31">
        <v>46289.25</v>
      </c>
      <c r="F274" s="30" t="s">
        <v>149</v>
      </c>
    </row>
    <row r="275" spans="1:6" ht="46.5" x14ac:dyDescent="0.35">
      <c r="A275" s="29" t="s">
        <v>125</v>
      </c>
      <c r="B275" s="29" t="s">
        <v>5</v>
      </c>
      <c r="C275" s="30" t="s">
        <v>150</v>
      </c>
      <c r="D275" s="31">
        <v>46288.833333333299</v>
      </c>
      <c r="E275" s="31">
        <v>46289.25</v>
      </c>
      <c r="F275" s="30" t="s">
        <v>149</v>
      </c>
    </row>
    <row r="276" spans="1:6" ht="77.5" x14ac:dyDescent="0.35">
      <c r="A276" s="29" t="s">
        <v>125</v>
      </c>
      <c r="B276" s="29" t="s">
        <v>5</v>
      </c>
      <c r="C276" s="30" t="s">
        <v>151</v>
      </c>
      <c r="D276" s="31">
        <v>46288.833333333299</v>
      </c>
      <c r="E276" s="31">
        <v>46289.25</v>
      </c>
      <c r="F276" s="30" t="s">
        <v>149</v>
      </c>
    </row>
    <row r="277" spans="1:6" ht="139.5" x14ac:dyDescent="0.35">
      <c r="A277" s="29" t="s">
        <v>125</v>
      </c>
      <c r="B277" s="29" t="s">
        <v>5</v>
      </c>
      <c r="C277" s="30" t="s">
        <v>1064</v>
      </c>
      <c r="D277" s="31">
        <v>46288.833333333299</v>
      </c>
      <c r="E277" s="31">
        <v>46289.25</v>
      </c>
      <c r="F277" s="30" t="s">
        <v>1065</v>
      </c>
    </row>
    <row r="278" spans="1:6" ht="77.5" x14ac:dyDescent="0.35">
      <c r="A278" s="29" t="s">
        <v>125</v>
      </c>
      <c r="B278" s="29" t="s">
        <v>5</v>
      </c>
      <c r="C278" s="30" t="s">
        <v>1213</v>
      </c>
      <c r="D278" s="31">
        <v>46288.875</v>
      </c>
      <c r="E278" s="31">
        <v>46289.25</v>
      </c>
      <c r="F278" s="30" t="s">
        <v>1214</v>
      </c>
    </row>
    <row r="279" spans="1:6" ht="46.5" x14ac:dyDescent="0.35">
      <c r="A279" s="29" t="s">
        <v>125</v>
      </c>
      <c r="B279" s="29" t="s">
        <v>5</v>
      </c>
      <c r="C279" s="30" t="s">
        <v>1215</v>
      </c>
      <c r="D279" s="31">
        <v>46288.875</v>
      </c>
      <c r="E279" s="31">
        <v>46289.25</v>
      </c>
      <c r="F279" s="30" t="s">
        <v>1214</v>
      </c>
    </row>
    <row r="280" spans="1:6" ht="46.5" x14ac:dyDescent="0.35">
      <c r="A280" s="29" t="s">
        <v>125</v>
      </c>
      <c r="B280" s="29" t="s">
        <v>5</v>
      </c>
      <c r="C280" s="30" t="s">
        <v>1216</v>
      </c>
      <c r="D280" s="31">
        <v>46288.875</v>
      </c>
      <c r="E280" s="31">
        <v>46289.25</v>
      </c>
      <c r="F280" s="30" t="s">
        <v>1214</v>
      </c>
    </row>
    <row r="281" spans="1:6" ht="77.5" x14ac:dyDescent="0.35">
      <c r="A281" s="29" t="s">
        <v>125</v>
      </c>
      <c r="B281" s="29" t="s">
        <v>5</v>
      </c>
      <c r="C281" s="30" t="s">
        <v>935</v>
      </c>
      <c r="D281" s="31">
        <v>46288.875</v>
      </c>
      <c r="E281" s="31">
        <v>46289.25</v>
      </c>
      <c r="F281" s="30" t="s">
        <v>936</v>
      </c>
    </row>
    <row r="282" spans="1:6" ht="77.5" x14ac:dyDescent="0.35">
      <c r="A282" s="29" t="s">
        <v>125</v>
      </c>
      <c r="B282" s="29" t="s">
        <v>4</v>
      </c>
      <c r="C282" s="30" t="s">
        <v>937</v>
      </c>
      <c r="D282" s="31">
        <v>46288.875</v>
      </c>
      <c r="E282" s="31">
        <v>46289.25</v>
      </c>
      <c r="F282" s="30" t="s">
        <v>936</v>
      </c>
    </row>
    <row r="283" spans="1:6" ht="62" x14ac:dyDescent="0.35">
      <c r="A283" s="29" t="s">
        <v>125</v>
      </c>
      <c r="B283" s="29" t="s">
        <v>5</v>
      </c>
      <c r="C283" s="30" t="s">
        <v>941</v>
      </c>
      <c r="D283" s="31">
        <v>46288.875</v>
      </c>
      <c r="E283" s="31">
        <v>46289.25</v>
      </c>
      <c r="F283" s="30" t="s">
        <v>942</v>
      </c>
    </row>
    <row r="284" spans="1:6" ht="108.5" x14ac:dyDescent="0.35">
      <c r="A284" s="29" t="s">
        <v>262</v>
      </c>
      <c r="B284" s="29" t="s">
        <v>5</v>
      </c>
      <c r="C284" s="30" t="s">
        <v>1211</v>
      </c>
      <c r="D284" s="31">
        <v>46288.875</v>
      </c>
      <c r="E284" s="31">
        <v>46289.25</v>
      </c>
      <c r="F284" s="30" t="s">
        <v>1212</v>
      </c>
    </row>
    <row r="285" spans="1:6" ht="108.5" x14ac:dyDescent="0.35">
      <c r="A285" s="29" t="s">
        <v>262</v>
      </c>
      <c r="B285" s="29" t="s">
        <v>5</v>
      </c>
      <c r="C285" s="30" t="s">
        <v>1081</v>
      </c>
      <c r="D285" s="31">
        <v>46288.875</v>
      </c>
      <c r="E285" s="31">
        <v>46289.208333333299</v>
      </c>
      <c r="F285" s="30" t="s">
        <v>1082</v>
      </c>
    </row>
    <row r="286" spans="1:6" ht="77.5" x14ac:dyDescent="0.35">
      <c r="A286" s="29" t="s">
        <v>262</v>
      </c>
      <c r="B286" s="29" t="s">
        <v>5</v>
      </c>
      <c r="C286" s="30" t="s">
        <v>1083</v>
      </c>
      <c r="D286" s="31">
        <v>46288.875</v>
      </c>
      <c r="E286" s="31">
        <v>46289.208333333299</v>
      </c>
      <c r="F286" s="30" t="s">
        <v>1082</v>
      </c>
    </row>
    <row r="287" spans="1:6" ht="77.5" x14ac:dyDescent="0.35">
      <c r="A287" s="29" t="s">
        <v>262</v>
      </c>
      <c r="B287" s="29" t="s">
        <v>5</v>
      </c>
      <c r="C287" s="30" t="s">
        <v>1084</v>
      </c>
      <c r="D287" s="31">
        <v>46288.875</v>
      </c>
      <c r="E287" s="31">
        <v>46289.208333333299</v>
      </c>
      <c r="F287" s="30" t="s">
        <v>1082</v>
      </c>
    </row>
    <row r="288" spans="1:6" ht="77.5" x14ac:dyDescent="0.35">
      <c r="A288" s="29" t="s">
        <v>262</v>
      </c>
      <c r="B288" s="29" t="s">
        <v>4</v>
      </c>
      <c r="C288" s="30" t="s">
        <v>1232</v>
      </c>
      <c r="D288" s="31">
        <v>46288.875</v>
      </c>
      <c r="E288" s="31">
        <v>46289.25</v>
      </c>
      <c r="F288" s="30" t="s">
        <v>1233</v>
      </c>
    </row>
    <row r="289" spans="1:6" ht="77.5" x14ac:dyDescent="0.35">
      <c r="A289" s="29" t="s">
        <v>262</v>
      </c>
      <c r="B289" s="29" t="s">
        <v>4</v>
      </c>
      <c r="C289" s="30" t="s">
        <v>1234</v>
      </c>
      <c r="D289" s="31">
        <v>46288.875</v>
      </c>
      <c r="E289" s="31">
        <v>46289.25</v>
      </c>
      <c r="F289" s="30" t="s">
        <v>1233</v>
      </c>
    </row>
    <row r="290" spans="1:6" ht="77.5" x14ac:dyDescent="0.35">
      <c r="A290" s="29" t="s">
        <v>262</v>
      </c>
      <c r="B290" s="29" t="s">
        <v>4</v>
      </c>
      <c r="C290" s="30" t="s">
        <v>621</v>
      </c>
      <c r="D290" s="31">
        <v>46288.875</v>
      </c>
      <c r="E290" s="31">
        <v>46289.25</v>
      </c>
      <c r="F290" s="30" t="s">
        <v>1233</v>
      </c>
    </row>
    <row r="291" spans="1:6" ht="77.5" x14ac:dyDescent="0.35">
      <c r="A291" s="29" t="s">
        <v>262</v>
      </c>
      <c r="B291" s="29" t="s">
        <v>4</v>
      </c>
      <c r="C291" s="30" t="s">
        <v>1235</v>
      </c>
      <c r="D291" s="31">
        <v>46288.875</v>
      </c>
      <c r="E291" s="31">
        <v>46289.25</v>
      </c>
      <c r="F291" s="30" t="s">
        <v>1233</v>
      </c>
    </row>
    <row r="292" spans="1:6" ht="77.5" x14ac:dyDescent="0.35">
      <c r="A292" s="29" t="s">
        <v>262</v>
      </c>
      <c r="B292" s="29" t="s">
        <v>4</v>
      </c>
      <c r="C292" s="30" t="s">
        <v>1236</v>
      </c>
      <c r="D292" s="31">
        <v>46288.875</v>
      </c>
      <c r="E292" s="31">
        <v>46289.25</v>
      </c>
      <c r="F292" s="30" t="s">
        <v>1233</v>
      </c>
    </row>
    <row r="293" spans="1:6" ht="77.5" x14ac:dyDescent="0.35">
      <c r="A293" s="29" t="s">
        <v>244</v>
      </c>
      <c r="B293" s="29" t="s">
        <v>4</v>
      </c>
      <c r="C293" s="30" t="s">
        <v>245</v>
      </c>
      <c r="D293" s="31">
        <v>46288.833333333299</v>
      </c>
      <c r="E293" s="31">
        <v>46289.25</v>
      </c>
      <c r="F293" s="30" t="s">
        <v>1079</v>
      </c>
    </row>
    <row r="294" spans="1:6" ht="77.5" x14ac:dyDescent="0.35">
      <c r="A294" s="29" t="s">
        <v>244</v>
      </c>
      <c r="B294" s="29" t="s">
        <v>4</v>
      </c>
      <c r="C294" s="30" t="s">
        <v>247</v>
      </c>
      <c r="D294" s="31">
        <v>46288.833333333299</v>
      </c>
      <c r="E294" s="31">
        <v>46289.25</v>
      </c>
      <c r="F294" s="30" t="s">
        <v>1079</v>
      </c>
    </row>
    <row r="295" spans="1:6" ht="93" x14ac:dyDescent="0.35">
      <c r="A295" s="29" t="s">
        <v>244</v>
      </c>
      <c r="B295" s="29" t="s">
        <v>5</v>
      </c>
      <c r="C295" s="30" t="s">
        <v>248</v>
      </c>
      <c r="D295" s="31">
        <v>46288.833333333299</v>
      </c>
      <c r="E295" s="31">
        <v>46289.25</v>
      </c>
      <c r="F295" s="30" t="s">
        <v>1079</v>
      </c>
    </row>
    <row r="296" spans="1:6" ht="62" x14ac:dyDescent="0.35">
      <c r="A296" s="29" t="s">
        <v>244</v>
      </c>
      <c r="B296" s="29" t="s">
        <v>5</v>
      </c>
      <c r="C296" s="30" t="s">
        <v>249</v>
      </c>
      <c r="D296" s="31">
        <v>46288.833333333299</v>
      </c>
      <c r="E296" s="31">
        <v>46289.25</v>
      </c>
      <c r="F296" s="30" t="s">
        <v>1079</v>
      </c>
    </row>
    <row r="297" spans="1:6" ht="77.5" x14ac:dyDescent="0.35">
      <c r="A297" s="29" t="s">
        <v>535</v>
      </c>
      <c r="B297" s="29" t="s">
        <v>6</v>
      </c>
      <c r="C297" s="30" t="s">
        <v>876</v>
      </c>
      <c r="D297" s="31">
        <v>46288.833333333299</v>
      </c>
      <c r="E297" s="31">
        <v>46289.25</v>
      </c>
      <c r="F297" s="30" t="s">
        <v>877</v>
      </c>
    </row>
    <row r="298" spans="1:6" ht="62" x14ac:dyDescent="0.35">
      <c r="A298" s="29" t="s">
        <v>535</v>
      </c>
      <c r="B298" s="29" t="s">
        <v>6</v>
      </c>
      <c r="C298" s="30" t="s">
        <v>878</v>
      </c>
      <c r="D298" s="31">
        <v>46288.833333333299</v>
      </c>
      <c r="E298" s="31">
        <v>46289.25</v>
      </c>
      <c r="F298" s="30" t="s">
        <v>877</v>
      </c>
    </row>
    <row r="299" spans="1:6" ht="77.5" x14ac:dyDescent="0.35">
      <c r="A299" s="32" t="s">
        <v>535</v>
      </c>
      <c r="B299" s="32" t="s">
        <v>6</v>
      </c>
      <c r="C299" s="33" t="s">
        <v>879</v>
      </c>
      <c r="D299" s="34">
        <v>46288.833333333299</v>
      </c>
      <c r="E299" s="34">
        <v>46289.25</v>
      </c>
      <c r="F299" s="33" t="s">
        <v>877</v>
      </c>
    </row>
    <row r="300" spans="1:6" x14ac:dyDescent="0.35">
      <c r="A300" s="29"/>
      <c r="B300" s="29"/>
      <c r="C300" s="30"/>
      <c r="D300" s="31"/>
      <c r="E300" s="31"/>
      <c r="F300" s="30"/>
    </row>
    <row r="301" spans="1:6" x14ac:dyDescent="0.35">
      <c r="A301" s="29"/>
      <c r="B301" s="29"/>
      <c r="C301" s="30"/>
      <c r="D301" s="31"/>
      <c r="E301" s="31"/>
      <c r="F301" s="30"/>
    </row>
    <row r="302" spans="1:6" x14ac:dyDescent="0.35">
      <c r="A302" s="32"/>
      <c r="B302" s="32"/>
      <c r="C302" s="33"/>
      <c r="D302" s="34"/>
      <c r="E302" s="34"/>
      <c r="F302" s="33"/>
    </row>
  </sheetData>
  <autoFilter ref="A2:F168" xr:uid="{AA130394-1D05-441B-B98F-42298AADC7B0}">
    <sortState xmlns:xlrd2="http://schemas.microsoft.com/office/spreadsheetml/2017/richdata2" ref="A3:F299">
      <sortCondition ref="A2:A168"/>
    </sortState>
  </autoFilter>
  <mergeCells count="1">
    <mergeCell ref="A1:F1"/>
  </mergeCells>
  <conditionalFormatting sqref="A300:F302">
    <cfRule type="expression" dxfId="8" priority="2">
      <formula>$J300="Over 12 hours"</formula>
    </cfRule>
  </conditionalFormatting>
  <conditionalFormatting sqref="A3:F299">
    <cfRule type="expression" dxfId="0" priority="1">
      <formula>$J3="Over 12 hours"</formula>
    </cfRule>
  </conditionalFormatting>
  <printOptions horizontalCentered="1"/>
  <pageMargins left="0.23622047244094491" right="0.23622047244094491" top="0.31496062992125984" bottom="0.47244094488188981" header="0.31496062992125984" footer="0.23622047244094491"/>
  <pageSetup paperSize="9" scale="83" fitToHeight="0" orientation="landscape" r:id="rId1"/>
  <headerFooter>
    <oddFooter>&amp;C&amp;11Printed on &amp;D&amp;R&amp;"Calibri,Regular"&amp;11Page &amp;P of &amp;N</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4E120-D949-45C0-A7C3-7203B28D8B16}">
  <sheetPr>
    <tabColor theme="5"/>
  </sheetPr>
  <dimension ref="A1:K283"/>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4.23046875" style="3" customWidth="1"/>
    <col min="4" max="4" width="16.69140625" style="3" customWidth="1"/>
    <col min="5" max="5" width="17.69140625" style="13" customWidth="1"/>
    <col min="6" max="6" width="47" style="13" customWidth="1"/>
    <col min="7" max="11" width="0" hidden="1" customWidth="1"/>
    <col min="12" max="16384" width="8.765625" hidden="1"/>
  </cols>
  <sheetData>
    <row r="1" spans="1:6" ht="32.5" x14ac:dyDescent="0.35">
      <c r="A1" s="35" t="str">
        <f>"Daily closure report: "&amp;'Front page'!A5</f>
        <v>Daily closure report: Thursday, 24 September</v>
      </c>
      <c r="B1" s="35"/>
      <c r="C1" s="35"/>
      <c r="D1" s="35"/>
      <c r="E1" s="35"/>
      <c r="F1" s="35"/>
    </row>
    <row r="2" spans="1:6" s="5" customFormat="1" ht="28" x14ac:dyDescent="0.35">
      <c r="A2" s="12" t="s">
        <v>9</v>
      </c>
      <c r="B2" s="12" t="s">
        <v>1</v>
      </c>
      <c r="C2" s="12" t="s">
        <v>0</v>
      </c>
      <c r="D2" s="11" t="s">
        <v>11</v>
      </c>
      <c r="E2" s="11" t="s">
        <v>12</v>
      </c>
      <c r="F2" s="12" t="s">
        <v>10</v>
      </c>
    </row>
    <row r="3" spans="1:6" s="4" customFormat="1" ht="62" x14ac:dyDescent="0.35">
      <c r="A3" s="26" t="s">
        <v>38</v>
      </c>
      <c r="B3" s="26" t="s">
        <v>6</v>
      </c>
      <c r="C3" s="26" t="s">
        <v>39</v>
      </c>
      <c r="D3" s="28">
        <v>46289.833333333299</v>
      </c>
      <c r="E3" s="28">
        <v>46290.208333333299</v>
      </c>
      <c r="F3" s="26" t="s">
        <v>40</v>
      </c>
    </row>
    <row r="4" spans="1:6" s="4" customFormat="1" ht="62" x14ac:dyDescent="0.35">
      <c r="A4" s="26" t="s">
        <v>38</v>
      </c>
      <c r="B4" s="26" t="s">
        <v>2</v>
      </c>
      <c r="C4" s="26" t="s">
        <v>844</v>
      </c>
      <c r="D4" s="28">
        <v>46289.875</v>
      </c>
      <c r="E4" s="28">
        <v>46290.208333333299</v>
      </c>
      <c r="F4" s="26" t="s">
        <v>40</v>
      </c>
    </row>
    <row r="5" spans="1:6" s="4" customFormat="1" ht="77.5" x14ac:dyDescent="0.35">
      <c r="A5" s="26" t="s">
        <v>38</v>
      </c>
      <c r="B5" s="26" t="s">
        <v>2</v>
      </c>
      <c r="C5" s="26" t="s">
        <v>847</v>
      </c>
      <c r="D5" s="28">
        <v>46289.875</v>
      </c>
      <c r="E5" s="28">
        <v>46290.208333333299</v>
      </c>
      <c r="F5" s="26" t="s">
        <v>848</v>
      </c>
    </row>
    <row r="6" spans="1:6" s="4" customFormat="1" ht="77.5" x14ac:dyDescent="0.35">
      <c r="A6" s="26" t="s">
        <v>38</v>
      </c>
      <c r="B6" s="26" t="s">
        <v>2</v>
      </c>
      <c r="C6" s="26" t="s">
        <v>849</v>
      </c>
      <c r="D6" s="28">
        <v>46289.875</v>
      </c>
      <c r="E6" s="28">
        <v>46290.208333333299</v>
      </c>
      <c r="F6" s="26" t="s">
        <v>848</v>
      </c>
    </row>
    <row r="7" spans="1:6" s="4" customFormat="1" ht="46.5" x14ac:dyDescent="0.35">
      <c r="A7" s="26" t="s">
        <v>38</v>
      </c>
      <c r="B7" s="26" t="s">
        <v>24</v>
      </c>
      <c r="C7" s="26" t="s">
        <v>49</v>
      </c>
      <c r="D7" s="28">
        <v>45847.208333333299</v>
      </c>
      <c r="E7" s="28">
        <v>46507.999305555597</v>
      </c>
      <c r="F7" s="26" t="s">
        <v>50</v>
      </c>
    </row>
    <row r="8" spans="1:6" s="4" customFormat="1" ht="62" x14ac:dyDescent="0.35">
      <c r="A8" s="26" t="s">
        <v>38</v>
      </c>
      <c r="B8" s="26" t="s">
        <v>6</v>
      </c>
      <c r="C8" s="26" t="s">
        <v>1031</v>
      </c>
      <c r="D8" s="28">
        <v>46289.833333333299</v>
      </c>
      <c r="E8" s="28">
        <v>46290.25</v>
      </c>
      <c r="F8" s="26" t="s">
        <v>580</v>
      </c>
    </row>
    <row r="9" spans="1:6" s="4" customFormat="1" ht="46.5" x14ac:dyDescent="0.35">
      <c r="A9" s="26" t="s">
        <v>38</v>
      </c>
      <c r="B9" s="26" t="s">
        <v>2</v>
      </c>
      <c r="C9" s="26" t="s">
        <v>1032</v>
      </c>
      <c r="D9" s="28">
        <v>46289.833333333299</v>
      </c>
      <c r="E9" s="28">
        <v>46290.25</v>
      </c>
      <c r="F9" s="26" t="s">
        <v>580</v>
      </c>
    </row>
    <row r="10" spans="1:6" s="4" customFormat="1" ht="46.5" x14ac:dyDescent="0.35">
      <c r="A10" s="26" t="s">
        <v>38</v>
      </c>
      <c r="B10" s="26" t="s">
        <v>2</v>
      </c>
      <c r="C10" s="26" t="s">
        <v>856</v>
      </c>
      <c r="D10" s="28">
        <v>46289.875</v>
      </c>
      <c r="E10" s="28">
        <v>46290.208333333299</v>
      </c>
      <c r="F10" s="26" t="s">
        <v>857</v>
      </c>
    </row>
    <row r="11" spans="1:6" s="4" customFormat="1" ht="46.5" x14ac:dyDescent="0.35">
      <c r="A11" s="26" t="s">
        <v>38</v>
      </c>
      <c r="B11" s="26" t="s">
        <v>2</v>
      </c>
      <c r="C11" s="26" t="s">
        <v>858</v>
      </c>
      <c r="D11" s="28">
        <v>46289.875</v>
      </c>
      <c r="E11" s="28">
        <v>46290.208333333299</v>
      </c>
      <c r="F11" s="26" t="s">
        <v>857</v>
      </c>
    </row>
    <row r="12" spans="1:6" s="3" customFormat="1" ht="46.5" x14ac:dyDescent="0.35">
      <c r="A12" s="26" t="s">
        <v>38</v>
      </c>
      <c r="B12" s="26" t="s">
        <v>2</v>
      </c>
      <c r="C12" s="26" t="s">
        <v>96</v>
      </c>
      <c r="D12" s="28">
        <v>46286.541666666701</v>
      </c>
      <c r="E12" s="28">
        <v>46291.25</v>
      </c>
      <c r="F12" s="26" t="s">
        <v>97</v>
      </c>
    </row>
    <row r="13" spans="1:6" s="3" customFormat="1" ht="46.5" x14ac:dyDescent="0.35">
      <c r="A13" s="26" t="s">
        <v>38</v>
      </c>
      <c r="B13" s="26" t="s">
        <v>2</v>
      </c>
      <c r="C13" s="26" t="s">
        <v>98</v>
      </c>
      <c r="D13" s="28">
        <v>46289.833333333299</v>
      </c>
      <c r="E13" s="28">
        <v>46290.25</v>
      </c>
      <c r="F13" s="26" t="s">
        <v>97</v>
      </c>
    </row>
    <row r="14" spans="1:6" s="3" customFormat="1" ht="77.5" x14ac:dyDescent="0.35">
      <c r="A14" s="26" t="s">
        <v>38</v>
      </c>
      <c r="B14" s="26" t="s">
        <v>2</v>
      </c>
      <c r="C14" s="26" t="s">
        <v>99</v>
      </c>
      <c r="D14" s="28">
        <v>46289.833333333299</v>
      </c>
      <c r="E14" s="28">
        <v>46290.25</v>
      </c>
      <c r="F14" s="26" t="s">
        <v>97</v>
      </c>
    </row>
    <row r="15" spans="1:6" s="3" customFormat="1" ht="77.5" x14ac:dyDescent="0.35">
      <c r="A15" s="26" t="s">
        <v>38</v>
      </c>
      <c r="B15" s="26" t="s">
        <v>2</v>
      </c>
      <c r="C15" s="26" t="s">
        <v>100</v>
      </c>
      <c r="D15" s="28">
        <v>46289.833333333299</v>
      </c>
      <c r="E15" s="28">
        <v>46290.25</v>
      </c>
      <c r="F15" s="26" t="s">
        <v>97</v>
      </c>
    </row>
    <row r="16" spans="1:6" s="3" customFormat="1" ht="77.5" x14ac:dyDescent="0.35">
      <c r="A16" s="26" t="s">
        <v>38</v>
      </c>
      <c r="B16" s="26" t="s">
        <v>2</v>
      </c>
      <c r="C16" s="26" t="s">
        <v>101</v>
      </c>
      <c r="D16" s="28">
        <v>46289.833333333299</v>
      </c>
      <c r="E16" s="28">
        <v>46290.25</v>
      </c>
      <c r="F16" s="26" t="s">
        <v>97</v>
      </c>
    </row>
    <row r="17" spans="1:6" s="3" customFormat="1" ht="46.5" x14ac:dyDescent="0.35">
      <c r="A17" s="26" t="s">
        <v>38</v>
      </c>
      <c r="B17" s="26" t="s">
        <v>2</v>
      </c>
      <c r="C17" s="26" t="s">
        <v>102</v>
      </c>
      <c r="D17" s="28">
        <v>46289.833333333299</v>
      </c>
      <c r="E17" s="28">
        <v>46290.25</v>
      </c>
      <c r="F17" s="26" t="s">
        <v>97</v>
      </c>
    </row>
    <row r="18" spans="1:6" s="3" customFormat="1" ht="62" x14ac:dyDescent="0.35">
      <c r="A18" s="26" t="s">
        <v>38</v>
      </c>
      <c r="B18" s="26" t="s">
        <v>2</v>
      </c>
      <c r="C18" s="26" t="s">
        <v>103</v>
      </c>
      <c r="D18" s="28">
        <v>46289.833333333299</v>
      </c>
      <c r="E18" s="28">
        <v>46290.25</v>
      </c>
      <c r="F18" s="26" t="s">
        <v>97</v>
      </c>
    </row>
    <row r="19" spans="1:6" s="4" customFormat="1" ht="62" x14ac:dyDescent="0.35">
      <c r="A19" s="26" t="s">
        <v>38</v>
      </c>
      <c r="B19" s="26" t="s">
        <v>2</v>
      </c>
      <c r="C19" s="26" t="s">
        <v>104</v>
      </c>
      <c r="D19" s="28">
        <v>46289.833333333299</v>
      </c>
      <c r="E19" s="28">
        <v>46290.25</v>
      </c>
      <c r="F19" s="26" t="s">
        <v>97</v>
      </c>
    </row>
    <row r="20" spans="1:6" s="4" customFormat="1" ht="62" x14ac:dyDescent="0.35">
      <c r="A20" s="26" t="s">
        <v>38</v>
      </c>
      <c r="B20" s="26" t="s">
        <v>2</v>
      </c>
      <c r="C20" s="26" t="s">
        <v>105</v>
      </c>
      <c r="D20" s="28">
        <v>46289.833333333299</v>
      </c>
      <c r="E20" s="28">
        <v>46290.25</v>
      </c>
      <c r="F20" s="26" t="s">
        <v>97</v>
      </c>
    </row>
    <row r="21" spans="1:6" s="4" customFormat="1" ht="77.5" x14ac:dyDescent="0.35">
      <c r="A21" s="26" t="s">
        <v>38</v>
      </c>
      <c r="B21" s="26" t="s">
        <v>2</v>
      </c>
      <c r="C21" s="26" t="s">
        <v>106</v>
      </c>
      <c r="D21" s="28">
        <v>46289.833333333299</v>
      </c>
      <c r="E21" s="28">
        <v>46290.25</v>
      </c>
      <c r="F21" s="26" t="s">
        <v>97</v>
      </c>
    </row>
    <row r="22" spans="1:6" s="4" customFormat="1" ht="46.5" x14ac:dyDescent="0.35">
      <c r="A22" s="26" t="s">
        <v>38</v>
      </c>
      <c r="B22" s="26" t="s">
        <v>2</v>
      </c>
      <c r="C22" s="26" t="s">
        <v>107</v>
      </c>
      <c r="D22" s="28">
        <v>46289.833333333299</v>
      </c>
      <c r="E22" s="28">
        <v>46290.25</v>
      </c>
      <c r="F22" s="26" t="s">
        <v>97</v>
      </c>
    </row>
    <row r="23" spans="1:6" s="4" customFormat="1" ht="62" x14ac:dyDescent="0.35">
      <c r="A23" s="26" t="s">
        <v>38</v>
      </c>
      <c r="B23" s="26" t="s">
        <v>2</v>
      </c>
      <c r="C23" s="26" t="s">
        <v>108</v>
      </c>
      <c r="D23" s="28">
        <v>46289.833333333299</v>
      </c>
      <c r="E23" s="28">
        <v>46290.25</v>
      </c>
      <c r="F23" s="26" t="s">
        <v>97</v>
      </c>
    </row>
    <row r="24" spans="1:6" s="4" customFormat="1" ht="62" x14ac:dyDescent="0.35">
      <c r="A24" s="26" t="s">
        <v>38</v>
      </c>
      <c r="B24" s="26" t="s">
        <v>2</v>
      </c>
      <c r="C24" s="26" t="s">
        <v>110</v>
      </c>
      <c r="D24" s="28">
        <v>46289.833333333299</v>
      </c>
      <c r="E24" s="28">
        <v>46290.25</v>
      </c>
      <c r="F24" s="26" t="s">
        <v>97</v>
      </c>
    </row>
    <row r="25" spans="1:6" s="4" customFormat="1" ht="46.5" x14ac:dyDescent="0.35">
      <c r="A25" s="26" t="s">
        <v>38</v>
      </c>
      <c r="B25" s="26" t="s">
        <v>2</v>
      </c>
      <c r="C25" s="26" t="s">
        <v>111</v>
      </c>
      <c r="D25" s="28">
        <v>46289.833333333299</v>
      </c>
      <c r="E25" s="28">
        <v>46290.25</v>
      </c>
      <c r="F25" s="26" t="s">
        <v>97</v>
      </c>
    </row>
    <row r="26" spans="1:6" s="4" customFormat="1" ht="46.5" x14ac:dyDescent="0.35">
      <c r="A26" s="26" t="s">
        <v>38</v>
      </c>
      <c r="B26" s="26" t="s">
        <v>2</v>
      </c>
      <c r="C26" s="26" t="s">
        <v>112</v>
      </c>
      <c r="D26" s="28">
        <v>46289.833333333299</v>
      </c>
      <c r="E26" s="28">
        <v>46290.25</v>
      </c>
      <c r="F26" s="26" t="s">
        <v>97</v>
      </c>
    </row>
    <row r="27" spans="1:6" s="4" customFormat="1" ht="46.5" x14ac:dyDescent="0.35">
      <c r="A27" s="26" t="s">
        <v>38</v>
      </c>
      <c r="B27" s="26" t="s">
        <v>2</v>
      </c>
      <c r="C27" s="26" t="s">
        <v>113</v>
      </c>
      <c r="D27" s="28">
        <v>46289.833333333299</v>
      </c>
      <c r="E27" s="28">
        <v>46290.25</v>
      </c>
      <c r="F27" s="26" t="s">
        <v>97</v>
      </c>
    </row>
    <row r="28" spans="1:6" s="4" customFormat="1" ht="62" x14ac:dyDescent="0.35">
      <c r="A28" s="26" t="s">
        <v>38</v>
      </c>
      <c r="B28" s="26" t="s">
        <v>2</v>
      </c>
      <c r="C28" s="26" t="s">
        <v>114</v>
      </c>
      <c r="D28" s="28">
        <v>46289.833333333299</v>
      </c>
      <c r="E28" s="28">
        <v>46290.25</v>
      </c>
      <c r="F28" s="26" t="s">
        <v>97</v>
      </c>
    </row>
    <row r="29" spans="1:6" s="4" customFormat="1" ht="62" x14ac:dyDescent="0.35">
      <c r="A29" s="26" t="s">
        <v>38</v>
      </c>
      <c r="B29" s="26" t="s">
        <v>2</v>
      </c>
      <c r="C29" s="26" t="s">
        <v>115</v>
      </c>
      <c r="D29" s="28">
        <v>46289.833333333299</v>
      </c>
      <c r="E29" s="28">
        <v>46290.25</v>
      </c>
      <c r="F29" s="26" t="s">
        <v>97</v>
      </c>
    </row>
    <row r="30" spans="1:6" s="4" customFormat="1" ht="31" x14ac:dyDescent="0.35">
      <c r="A30" s="26" t="s">
        <v>38</v>
      </c>
      <c r="B30" s="26" t="s">
        <v>6</v>
      </c>
      <c r="C30" s="26" t="s">
        <v>1049</v>
      </c>
      <c r="D30" s="28">
        <v>46289.833333333299</v>
      </c>
      <c r="E30" s="28">
        <v>46290.208333333299</v>
      </c>
      <c r="F30" s="26" t="s">
        <v>1050</v>
      </c>
    </row>
    <row r="31" spans="1:6" s="4" customFormat="1" ht="93" x14ac:dyDescent="0.35">
      <c r="A31" s="26" t="s">
        <v>38</v>
      </c>
      <c r="B31" s="26" t="s">
        <v>2</v>
      </c>
      <c r="C31" s="26" t="s">
        <v>208</v>
      </c>
      <c r="D31" s="28">
        <v>46289.833333333299</v>
      </c>
      <c r="E31" s="28">
        <v>46290.25</v>
      </c>
      <c r="F31" s="26" t="s">
        <v>209</v>
      </c>
    </row>
    <row r="32" spans="1:6" s="4" customFormat="1" ht="93" x14ac:dyDescent="0.35">
      <c r="A32" s="26" t="s">
        <v>38</v>
      </c>
      <c r="B32" s="26" t="s">
        <v>2</v>
      </c>
      <c r="C32" s="26" t="s">
        <v>210</v>
      </c>
      <c r="D32" s="28">
        <v>46289.833333333299</v>
      </c>
      <c r="E32" s="28">
        <v>46290.25</v>
      </c>
      <c r="F32" s="26" t="s">
        <v>209</v>
      </c>
    </row>
    <row r="33" spans="1:6" s="4" customFormat="1" ht="93" x14ac:dyDescent="0.35">
      <c r="A33" s="26" t="s">
        <v>62</v>
      </c>
      <c r="B33" s="26" t="s">
        <v>2</v>
      </c>
      <c r="C33" s="26" t="s">
        <v>895</v>
      </c>
      <c r="D33" s="28">
        <v>46289.854166666701</v>
      </c>
      <c r="E33" s="28">
        <v>46290.25</v>
      </c>
      <c r="F33" s="26" t="s">
        <v>892</v>
      </c>
    </row>
    <row r="34" spans="1:6" s="4" customFormat="1" ht="93" x14ac:dyDescent="0.35">
      <c r="A34" s="26" t="s">
        <v>62</v>
      </c>
      <c r="B34" s="26" t="s">
        <v>2</v>
      </c>
      <c r="C34" s="26" t="s">
        <v>896</v>
      </c>
      <c r="D34" s="28">
        <v>46289.854166666701</v>
      </c>
      <c r="E34" s="28">
        <v>46290.25</v>
      </c>
      <c r="F34" s="26" t="s">
        <v>892</v>
      </c>
    </row>
    <row r="35" spans="1:6" s="4" customFormat="1" ht="93" x14ac:dyDescent="0.35">
      <c r="A35" s="26" t="s">
        <v>62</v>
      </c>
      <c r="B35" s="26" t="s">
        <v>2</v>
      </c>
      <c r="C35" s="26" t="s">
        <v>1068</v>
      </c>
      <c r="D35" s="28">
        <v>46289.875</v>
      </c>
      <c r="E35" s="28">
        <v>46290.25</v>
      </c>
      <c r="F35" s="26" t="s">
        <v>1069</v>
      </c>
    </row>
    <row r="36" spans="1:6" s="4" customFormat="1" ht="93" x14ac:dyDescent="0.35">
      <c r="A36" s="26" t="s">
        <v>62</v>
      </c>
      <c r="B36" s="26" t="s">
        <v>2</v>
      </c>
      <c r="C36" s="26" t="s">
        <v>1070</v>
      </c>
      <c r="D36" s="28">
        <v>46289.875</v>
      </c>
      <c r="E36" s="28">
        <v>46290.25</v>
      </c>
      <c r="F36" s="26" t="s">
        <v>1069</v>
      </c>
    </row>
    <row r="37" spans="1:6" s="4" customFormat="1" ht="93" x14ac:dyDescent="0.35">
      <c r="A37" s="26" t="s">
        <v>62</v>
      </c>
      <c r="B37" s="26" t="s">
        <v>2</v>
      </c>
      <c r="C37" s="26" t="s">
        <v>1071</v>
      </c>
      <c r="D37" s="28">
        <v>46289.875</v>
      </c>
      <c r="E37" s="28">
        <v>46290.25</v>
      </c>
      <c r="F37" s="26" t="s">
        <v>1069</v>
      </c>
    </row>
    <row r="38" spans="1:6" s="4" customFormat="1" ht="93" x14ac:dyDescent="0.35">
      <c r="A38" s="26" t="s">
        <v>62</v>
      </c>
      <c r="B38" s="26" t="s">
        <v>2</v>
      </c>
      <c r="C38" s="26" t="s">
        <v>1076</v>
      </c>
      <c r="D38" s="28">
        <v>46289.833333333299</v>
      </c>
      <c r="E38" s="28">
        <v>46290.25</v>
      </c>
      <c r="F38" s="26" t="s">
        <v>195</v>
      </c>
    </row>
    <row r="39" spans="1:6" s="4" customFormat="1" ht="93" x14ac:dyDescent="0.35">
      <c r="A39" s="26" t="s">
        <v>62</v>
      </c>
      <c r="B39" s="26" t="s">
        <v>24</v>
      </c>
      <c r="C39" s="26" t="s">
        <v>1077</v>
      </c>
      <c r="D39" s="28">
        <v>46289.833333333299</v>
      </c>
      <c r="E39" s="28">
        <v>46290.25</v>
      </c>
      <c r="F39" s="26" t="s">
        <v>195</v>
      </c>
    </row>
    <row r="40" spans="1:6" s="4" customFormat="1" ht="93" x14ac:dyDescent="0.35">
      <c r="A40" s="26" t="s">
        <v>62</v>
      </c>
      <c r="B40" s="26" t="s">
        <v>6</v>
      </c>
      <c r="C40" s="26" t="s">
        <v>1078</v>
      </c>
      <c r="D40" s="28">
        <v>46289.833333333299</v>
      </c>
      <c r="E40" s="28">
        <v>46290.25</v>
      </c>
      <c r="F40" s="26" t="s">
        <v>195</v>
      </c>
    </row>
    <row r="41" spans="1:6" s="4" customFormat="1" ht="93" x14ac:dyDescent="0.35">
      <c r="A41" s="26" t="s">
        <v>62</v>
      </c>
      <c r="B41" s="26" t="s">
        <v>2</v>
      </c>
      <c r="C41" s="26" t="s">
        <v>906</v>
      </c>
      <c r="D41" s="28">
        <v>46289.833333333299</v>
      </c>
      <c r="E41" s="28">
        <v>46290.25</v>
      </c>
      <c r="F41" s="26" t="s">
        <v>907</v>
      </c>
    </row>
    <row r="42" spans="1:6" s="4" customFormat="1" ht="93" x14ac:dyDescent="0.35">
      <c r="A42" s="26" t="s">
        <v>17</v>
      </c>
      <c r="B42" s="26" t="s">
        <v>6</v>
      </c>
      <c r="C42" s="26" t="s">
        <v>842</v>
      </c>
      <c r="D42" s="28">
        <v>46289.833333333299</v>
      </c>
      <c r="E42" s="28">
        <v>46290.25</v>
      </c>
      <c r="F42" s="26" t="s">
        <v>19</v>
      </c>
    </row>
    <row r="43" spans="1:6" s="4" customFormat="1" ht="93" x14ac:dyDescent="0.35">
      <c r="A43" s="26" t="s">
        <v>20</v>
      </c>
      <c r="B43" s="26" t="s">
        <v>2</v>
      </c>
      <c r="C43" s="26" t="s">
        <v>21</v>
      </c>
      <c r="D43" s="28">
        <v>46289.875</v>
      </c>
      <c r="E43" s="28">
        <v>46290.208333333299</v>
      </c>
      <c r="F43" s="26" t="s">
        <v>22</v>
      </c>
    </row>
    <row r="44" spans="1:6" s="4" customFormat="1" ht="93" x14ac:dyDescent="0.35">
      <c r="A44" s="26" t="s">
        <v>20</v>
      </c>
      <c r="B44" s="26" t="s">
        <v>6</v>
      </c>
      <c r="C44" s="26" t="s">
        <v>845</v>
      </c>
      <c r="D44" s="28">
        <v>46289.875</v>
      </c>
      <c r="E44" s="28">
        <v>46290.208333333299</v>
      </c>
      <c r="F44" s="26" t="s">
        <v>846</v>
      </c>
    </row>
    <row r="45" spans="1:6" s="4" customFormat="1" ht="93" x14ac:dyDescent="0.35">
      <c r="A45" s="26" t="s">
        <v>29</v>
      </c>
      <c r="B45" s="26" t="s">
        <v>5</v>
      </c>
      <c r="C45" s="26" t="s">
        <v>30</v>
      </c>
      <c r="D45" s="28">
        <v>46289.833333333299</v>
      </c>
      <c r="E45" s="28">
        <v>46290.25</v>
      </c>
      <c r="F45" s="26" t="s">
        <v>31</v>
      </c>
    </row>
    <row r="46" spans="1:6" s="4" customFormat="1" ht="93" x14ac:dyDescent="0.35">
      <c r="A46" s="26" t="s">
        <v>29</v>
      </c>
      <c r="B46" s="26" t="s">
        <v>4</v>
      </c>
      <c r="C46" s="26" t="s">
        <v>32</v>
      </c>
      <c r="D46" s="28">
        <v>46289.833333333299</v>
      </c>
      <c r="E46" s="28">
        <v>46290.25</v>
      </c>
      <c r="F46" s="26" t="s">
        <v>33</v>
      </c>
    </row>
    <row r="47" spans="1:6" s="4" customFormat="1" ht="77.5" x14ac:dyDescent="0.35">
      <c r="A47" s="26" t="s">
        <v>29</v>
      </c>
      <c r="B47" s="26" t="s">
        <v>5</v>
      </c>
      <c r="C47" s="26" t="s">
        <v>1028</v>
      </c>
      <c r="D47" s="28">
        <v>46289.833333333299</v>
      </c>
      <c r="E47" s="28">
        <v>46290.25</v>
      </c>
      <c r="F47" s="26" t="s">
        <v>851</v>
      </c>
    </row>
    <row r="48" spans="1:6" s="4" customFormat="1" ht="93" x14ac:dyDescent="0.35">
      <c r="A48" s="26" t="s">
        <v>29</v>
      </c>
      <c r="B48" s="26" t="s">
        <v>5</v>
      </c>
      <c r="C48" s="26" t="s">
        <v>1029</v>
      </c>
      <c r="D48" s="28">
        <v>46289.833333333299</v>
      </c>
      <c r="E48" s="28">
        <v>46290.250694444403</v>
      </c>
      <c r="F48" s="26" t="s">
        <v>851</v>
      </c>
    </row>
    <row r="49" spans="1:6" s="4" customFormat="1" ht="93" x14ac:dyDescent="0.35">
      <c r="A49" s="26" t="s">
        <v>29</v>
      </c>
      <c r="B49" s="26" t="s">
        <v>5</v>
      </c>
      <c r="C49" s="26" t="s">
        <v>1033</v>
      </c>
      <c r="D49" s="28">
        <v>46289.833333333299</v>
      </c>
      <c r="E49" s="28">
        <v>46290.25</v>
      </c>
      <c r="F49" s="26" t="s">
        <v>1034</v>
      </c>
    </row>
    <row r="50" spans="1:6" s="4" customFormat="1" ht="93" x14ac:dyDescent="0.35">
      <c r="A50" s="26" t="s">
        <v>29</v>
      </c>
      <c r="B50" s="26" t="s">
        <v>5</v>
      </c>
      <c r="C50" s="26" t="s">
        <v>868</v>
      </c>
      <c r="D50" s="28">
        <v>46286.541666666701</v>
      </c>
      <c r="E50" s="28">
        <v>46291.25</v>
      </c>
      <c r="F50" s="26" t="s">
        <v>77</v>
      </c>
    </row>
    <row r="51" spans="1:6" s="4" customFormat="1" ht="93" x14ac:dyDescent="0.35">
      <c r="A51" s="26" t="s">
        <v>29</v>
      </c>
      <c r="B51" s="26" t="s">
        <v>5</v>
      </c>
      <c r="C51" s="26" t="s">
        <v>869</v>
      </c>
      <c r="D51" s="28">
        <v>46289.833333333299</v>
      </c>
      <c r="E51" s="28">
        <v>46290.25</v>
      </c>
      <c r="F51" s="26" t="s">
        <v>77</v>
      </c>
    </row>
    <row r="52" spans="1:6" s="4" customFormat="1" ht="93" x14ac:dyDescent="0.35">
      <c r="A52" s="26" t="s">
        <v>29</v>
      </c>
      <c r="B52" s="26" t="s">
        <v>5</v>
      </c>
      <c r="C52" s="26" t="s">
        <v>870</v>
      </c>
      <c r="D52" s="28">
        <v>46289.833333333299</v>
      </c>
      <c r="E52" s="28">
        <v>46290.25</v>
      </c>
      <c r="F52" s="26" t="s">
        <v>77</v>
      </c>
    </row>
    <row r="53" spans="1:6" s="4" customFormat="1" ht="93" x14ac:dyDescent="0.35">
      <c r="A53" s="26" t="s">
        <v>29</v>
      </c>
      <c r="B53" s="26" t="s">
        <v>5</v>
      </c>
      <c r="C53" s="26" t="s">
        <v>871</v>
      </c>
      <c r="D53" s="28">
        <v>46289.833333333299</v>
      </c>
      <c r="E53" s="28">
        <v>46290.25</v>
      </c>
      <c r="F53" s="26" t="s">
        <v>77</v>
      </c>
    </row>
    <row r="54" spans="1:6" s="4" customFormat="1" ht="93" x14ac:dyDescent="0.35">
      <c r="A54" s="26" t="s">
        <v>29</v>
      </c>
      <c r="B54" s="26" t="s">
        <v>5</v>
      </c>
      <c r="C54" s="26" t="s">
        <v>872</v>
      </c>
      <c r="D54" s="28">
        <v>46289.833333333299</v>
      </c>
      <c r="E54" s="28">
        <v>46290.25</v>
      </c>
      <c r="F54" s="26" t="s">
        <v>77</v>
      </c>
    </row>
    <row r="55" spans="1:6" s="4" customFormat="1" ht="93" x14ac:dyDescent="0.35">
      <c r="A55" s="26" t="s">
        <v>29</v>
      </c>
      <c r="B55" s="26" t="s">
        <v>5</v>
      </c>
      <c r="C55" s="26" t="s">
        <v>873</v>
      </c>
      <c r="D55" s="28">
        <v>46289.833333333299</v>
      </c>
      <c r="E55" s="28">
        <v>46290.25</v>
      </c>
      <c r="F55" s="26" t="s">
        <v>77</v>
      </c>
    </row>
    <row r="56" spans="1:6" s="4" customFormat="1" ht="93" x14ac:dyDescent="0.35">
      <c r="A56" s="26" t="s">
        <v>29</v>
      </c>
      <c r="B56" s="26" t="s">
        <v>5</v>
      </c>
      <c r="C56" s="26" t="s">
        <v>874</v>
      </c>
      <c r="D56" s="28">
        <v>46289.833333333299</v>
      </c>
      <c r="E56" s="28">
        <v>46290.25</v>
      </c>
      <c r="F56" s="26" t="s">
        <v>77</v>
      </c>
    </row>
    <row r="57" spans="1:6" s="4" customFormat="1" ht="93" x14ac:dyDescent="0.35">
      <c r="A57" s="26" t="s">
        <v>29</v>
      </c>
      <c r="B57" s="26" t="s">
        <v>5</v>
      </c>
      <c r="C57" s="26" t="s">
        <v>875</v>
      </c>
      <c r="D57" s="28">
        <v>46289.833333333299</v>
      </c>
      <c r="E57" s="28">
        <v>46290.25</v>
      </c>
      <c r="F57" s="26" t="s">
        <v>77</v>
      </c>
    </row>
    <row r="58" spans="1:6" s="4" customFormat="1" ht="93" x14ac:dyDescent="0.35">
      <c r="A58" s="26" t="s">
        <v>29</v>
      </c>
      <c r="B58" s="26" t="s">
        <v>5</v>
      </c>
      <c r="C58" s="26" t="s">
        <v>1046</v>
      </c>
      <c r="D58" s="28">
        <v>46289.833333333299</v>
      </c>
      <c r="E58" s="28">
        <v>46290.25</v>
      </c>
      <c r="F58" s="26" t="s">
        <v>1047</v>
      </c>
    </row>
    <row r="59" spans="1:6" s="4" customFormat="1" ht="93" x14ac:dyDescent="0.35">
      <c r="A59" s="26" t="s">
        <v>29</v>
      </c>
      <c r="B59" s="26" t="s">
        <v>5</v>
      </c>
      <c r="C59" s="26" t="s">
        <v>1048</v>
      </c>
      <c r="D59" s="28">
        <v>46289.833333333299</v>
      </c>
      <c r="E59" s="28">
        <v>46290.25</v>
      </c>
      <c r="F59" s="26" t="s">
        <v>1047</v>
      </c>
    </row>
    <row r="60" spans="1:6" s="4" customFormat="1" ht="93" x14ac:dyDescent="0.35">
      <c r="A60" s="26" t="s">
        <v>173</v>
      </c>
      <c r="B60" s="26" t="s">
        <v>5</v>
      </c>
      <c r="C60" s="26" t="s">
        <v>174</v>
      </c>
      <c r="D60" s="28">
        <v>46289.833333333299</v>
      </c>
      <c r="E60" s="28">
        <v>46290.25</v>
      </c>
      <c r="F60" s="26" t="s">
        <v>175</v>
      </c>
    </row>
    <row r="61" spans="1:6" s="4" customFormat="1" ht="93" x14ac:dyDescent="0.35">
      <c r="A61" s="26" t="s">
        <v>173</v>
      </c>
      <c r="B61" s="26" t="s">
        <v>5</v>
      </c>
      <c r="C61" s="26" t="s">
        <v>176</v>
      </c>
      <c r="D61" s="28">
        <v>46289.833333333299</v>
      </c>
      <c r="E61" s="28">
        <v>46290.25</v>
      </c>
      <c r="F61" s="26" t="s">
        <v>175</v>
      </c>
    </row>
    <row r="62" spans="1:6" s="4" customFormat="1" ht="93" x14ac:dyDescent="0.35">
      <c r="A62" s="26" t="s">
        <v>173</v>
      </c>
      <c r="B62" s="26" t="s">
        <v>5</v>
      </c>
      <c r="C62" s="26" t="s">
        <v>177</v>
      </c>
      <c r="D62" s="28">
        <v>46289.833333333299</v>
      </c>
      <c r="E62" s="28">
        <v>46290.25</v>
      </c>
      <c r="F62" s="26" t="s">
        <v>175</v>
      </c>
    </row>
    <row r="63" spans="1:6" s="4" customFormat="1" ht="93" x14ac:dyDescent="0.35">
      <c r="A63" s="26" t="s">
        <v>1061</v>
      </c>
      <c r="B63" s="26" t="s">
        <v>2</v>
      </c>
      <c r="C63" s="26" t="s">
        <v>1062</v>
      </c>
      <c r="D63" s="28">
        <v>46289.833333333299</v>
      </c>
      <c r="E63" s="28">
        <v>46290.25</v>
      </c>
      <c r="F63" s="26" t="s">
        <v>162</v>
      </c>
    </row>
    <row r="64" spans="1:6" s="4" customFormat="1" ht="93" x14ac:dyDescent="0.35">
      <c r="A64" s="26" t="s">
        <v>1061</v>
      </c>
      <c r="B64" s="26" t="s">
        <v>6</v>
      </c>
      <c r="C64" s="26" t="s">
        <v>1063</v>
      </c>
      <c r="D64" s="28">
        <v>46289.833333333299</v>
      </c>
      <c r="E64" s="28">
        <v>46290.25</v>
      </c>
      <c r="F64" s="26" t="s">
        <v>162</v>
      </c>
    </row>
    <row r="65" spans="1:6" s="4" customFormat="1" ht="93" x14ac:dyDescent="0.35">
      <c r="A65" s="26" t="s">
        <v>217</v>
      </c>
      <c r="B65" s="26" t="s">
        <v>4</v>
      </c>
      <c r="C65" s="26" t="s">
        <v>612</v>
      </c>
      <c r="D65" s="28">
        <v>46083.999305555597</v>
      </c>
      <c r="E65" s="28">
        <v>46293.999305555597</v>
      </c>
      <c r="F65" s="26" t="s">
        <v>219</v>
      </c>
    </row>
    <row r="66" spans="1:6" s="4" customFormat="1" ht="93" x14ac:dyDescent="0.35">
      <c r="A66" s="26" t="s">
        <v>217</v>
      </c>
      <c r="B66" s="26" t="s">
        <v>5</v>
      </c>
      <c r="C66" s="26" t="s">
        <v>613</v>
      </c>
      <c r="D66" s="28">
        <v>46083.999305555597</v>
      </c>
      <c r="E66" s="28">
        <v>46293.999305555597</v>
      </c>
      <c r="F66" s="26" t="s">
        <v>219</v>
      </c>
    </row>
    <row r="67" spans="1:6" s="4" customFormat="1" ht="93" x14ac:dyDescent="0.35">
      <c r="A67" s="26" t="s">
        <v>220</v>
      </c>
      <c r="B67" s="26" t="s">
        <v>2</v>
      </c>
      <c r="C67" s="26" t="s">
        <v>908</v>
      </c>
      <c r="D67" s="28">
        <v>46289.833333333299</v>
      </c>
      <c r="E67" s="28">
        <v>46290.25</v>
      </c>
      <c r="F67" s="26" t="s">
        <v>909</v>
      </c>
    </row>
    <row r="68" spans="1:6" s="4" customFormat="1" ht="77.5" x14ac:dyDescent="0.35">
      <c r="A68" s="26" t="s">
        <v>220</v>
      </c>
      <c r="B68" s="26" t="s">
        <v>6</v>
      </c>
      <c r="C68" s="26" t="s">
        <v>221</v>
      </c>
      <c r="D68" s="28">
        <v>46289.833333333299</v>
      </c>
      <c r="E68" s="28">
        <v>46290.25</v>
      </c>
      <c r="F68" s="26" t="s">
        <v>222</v>
      </c>
    </row>
    <row r="69" spans="1:6" s="4" customFormat="1" ht="77.5" x14ac:dyDescent="0.35">
      <c r="A69" s="26" t="s">
        <v>220</v>
      </c>
      <c r="B69" s="26" t="s">
        <v>2</v>
      </c>
      <c r="C69" s="26" t="s">
        <v>223</v>
      </c>
      <c r="D69" s="28">
        <v>46289.833333333299</v>
      </c>
      <c r="E69" s="28">
        <v>46290.25</v>
      </c>
      <c r="F69" s="26" t="s">
        <v>224</v>
      </c>
    </row>
    <row r="70" spans="1:6" s="4" customFormat="1" ht="77.5" x14ac:dyDescent="0.35">
      <c r="A70" s="26" t="s">
        <v>220</v>
      </c>
      <c r="B70" s="26" t="s">
        <v>6</v>
      </c>
      <c r="C70" s="26" t="s">
        <v>225</v>
      </c>
      <c r="D70" s="28">
        <v>46289.833333333299</v>
      </c>
      <c r="E70" s="28">
        <v>46290.25</v>
      </c>
      <c r="F70" s="26" t="s">
        <v>224</v>
      </c>
    </row>
    <row r="71" spans="1:6" s="4" customFormat="1" ht="77.5" x14ac:dyDescent="0.35">
      <c r="A71" s="26" t="s">
        <v>220</v>
      </c>
      <c r="B71" s="26" t="s">
        <v>2</v>
      </c>
      <c r="C71" s="26" t="s">
        <v>226</v>
      </c>
      <c r="D71" s="28">
        <v>46289.833333333299</v>
      </c>
      <c r="E71" s="28">
        <v>46290.25</v>
      </c>
      <c r="F71" s="26" t="s">
        <v>227</v>
      </c>
    </row>
    <row r="72" spans="1:6" s="4" customFormat="1" ht="77.5" x14ac:dyDescent="0.35">
      <c r="A72" s="26" t="s">
        <v>220</v>
      </c>
      <c r="B72" s="26" t="s">
        <v>2</v>
      </c>
      <c r="C72" s="26" t="s">
        <v>910</v>
      </c>
      <c r="D72" s="28">
        <v>46289.833333333299</v>
      </c>
      <c r="E72" s="28">
        <v>46290.25</v>
      </c>
      <c r="F72" s="26" t="s">
        <v>229</v>
      </c>
    </row>
    <row r="73" spans="1:6" s="4" customFormat="1" ht="77.5" x14ac:dyDescent="0.35">
      <c r="A73" s="26" t="s">
        <v>377</v>
      </c>
      <c r="B73" s="26" t="s">
        <v>6</v>
      </c>
      <c r="C73" s="26" t="s">
        <v>968</v>
      </c>
      <c r="D73" s="28">
        <v>46289.833333333299</v>
      </c>
      <c r="E73" s="28">
        <v>46290.25</v>
      </c>
      <c r="F73" s="26" t="s">
        <v>969</v>
      </c>
    </row>
    <row r="74" spans="1:6" s="4" customFormat="1" ht="108.5" x14ac:dyDescent="0.35">
      <c r="A74" s="26" t="s">
        <v>377</v>
      </c>
      <c r="B74" s="26" t="s">
        <v>2</v>
      </c>
      <c r="C74" s="26" t="s">
        <v>970</v>
      </c>
      <c r="D74" s="28">
        <v>46289.833333333299</v>
      </c>
      <c r="E74" s="28">
        <v>46290.25</v>
      </c>
      <c r="F74" s="26" t="s">
        <v>969</v>
      </c>
    </row>
    <row r="75" spans="1:6" s="4" customFormat="1" ht="108.5" x14ac:dyDescent="0.35">
      <c r="A75" s="26" t="s">
        <v>377</v>
      </c>
      <c r="B75" s="26" t="s">
        <v>4</v>
      </c>
      <c r="C75" s="26" t="s">
        <v>1108</v>
      </c>
      <c r="D75" s="28">
        <v>46289.833333333299</v>
      </c>
      <c r="E75" s="28">
        <v>46290.25</v>
      </c>
      <c r="F75" s="26" t="s">
        <v>1109</v>
      </c>
    </row>
    <row r="76" spans="1:6" s="4" customFormat="1" ht="108.5" x14ac:dyDescent="0.35">
      <c r="A76" s="26" t="s">
        <v>377</v>
      </c>
      <c r="B76" s="26" t="s">
        <v>5</v>
      </c>
      <c r="C76" s="26" t="s">
        <v>1110</v>
      </c>
      <c r="D76" s="28">
        <v>46289.833333333299</v>
      </c>
      <c r="E76" s="28">
        <v>46290.25</v>
      </c>
      <c r="F76" s="26" t="s">
        <v>1109</v>
      </c>
    </row>
    <row r="77" spans="1:6" s="4" customFormat="1" ht="77.5" x14ac:dyDescent="0.35">
      <c r="A77" s="26" t="s">
        <v>377</v>
      </c>
      <c r="B77" s="26" t="s">
        <v>5</v>
      </c>
      <c r="C77" s="26" t="s">
        <v>1111</v>
      </c>
      <c r="D77" s="28">
        <v>46289.875</v>
      </c>
      <c r="E77" s="28">
        <v>46290.25</v>
      </c>
      <c r="F77" s="26" t="s">
        <v>1112</v>
      </c>
    </row>
    <row r="78" spans="1:6" s="4" customFormat="1" ht="77.5" x14ac:dyDescent="0.35">
      <c r="A78" s="26" t="s">
        <v>382</v>
      </c>
      <c r="B78" s="26" t="s">
        <v>4</v>
      </c>
      <c r="C78" s="26" t="s">
        <v>383</v>
      </c>
      <c r="D78" s="28">
        <v>46289.833333333299</v>
      </c>
      <c r="E78" s="28">
        <v>46290.208333333299</v>
      </c>
      <c r="F78" s="26" t="s">
        <v>384</v>
      </c>
    </row>
    <row r="79" spans="1:6" s="4" customFormat="1" ht="77.5" x14ac:dyDescent="0.35">
      <c r="A79" s="26" t="s">
        <v>382</v>
      </c>
      <c r="B79" s="26" t="s">
        <v>4</v>
      </c>
      <c r="C79" s="26" t="s">
        <v>385</v>
      </c>
      <c r="D79" s="28">
        <v>46289.833333333299</v>
      </c>
      <c r="E79" s="28">
        <v>46290.208333333299</v>
      </c>
      <c r="F79" s="26" t="s">
        <v>384</v>
      </c>
    </row>
    <row r="80" spans="1:6" s="4" customFormat="1" ht="77.5" x14ac:dyDescent="0.35">
      <c r="A80" s="26" t="s">
        <v>403</v>
      </c>
      <c r="B80" s="26" t="s">
        <v>5</v>
      </c>
      <c r="C80" s="26" t="s">
        <v>406</v>
      </c>
      <c r="D80" s="28">
        <v>46289.833333333299</v>
      </c>
      <c r="E80" s="28">
        <v>46290.25</v>
      </c>
      <c r="F80" s="26" t="s">
        <v>984</v>
      </c>
    </row>
    <row r="81" spans="1:6" s="4" customFormat="1" ht="77.5" x14ac:dyDescent="0.35">
      <c r="A81" s="26" t="s">
        <v>658</v>
      </c>
      <c r="B81" s="26" t="s">
        <v>6</v>
      </c>
      <c r="C81" s="26" t="s">
        <v>824</v>
      </c>
      <c r="D81" s="28">
        <v>46289.833333333299</v>
      </c>
      <c r="E81" s="28">
        <v>46290.25</v>
      </c>
      <c r="F81" s="26" t="s">
        <v>825</v>
      </c>
    </row>
    <row r="82" spans="1:6" s="4" customFormat="1" ht="77.5" x14ac:dyDescent="0.35">
      <c r="A82" s="26" t="s">
        <v>658</v>
      </c>
      <c r="B82" s="26" t="s">
        <v>24</v>
      </c>
      <c r="C82" s="26" t="s">
        <v>980</v>
      </c>
      <c r="D82" s="28">
        <v>46289.833333333299</v>
      </c>
      <c r="E82" s="28">
        <v>46290.25</v>
      </c>
      <c r="F82" s="26" t="s">
        <v>981</v>
      </c>
    </row>
    <row r="83" spans="1:6" s="4" customFormat="1" ht="77.5" x14ac:dyDescent="0.35">
      <c r="A83" s="26" t="s">
        <v>396</v>
      </c>
      <c r="B83" s="26" t="s">
        <v>2</v>
      </c>
      <c r="C83" s="26" t="s">
        <v>397</v>
      </c>
      <c r="D83" s="28">
        <v>46289.833333333299</v>
      </c>
      <c r="E83" s="28">
        <v>46290.25</v>
      </c>
      <c r="F83" s="26" t="s">
        <v>398</v>
      </c>
    </row>
    <row r="84" spans="1:6" s="4" customFormat="1" ht="77.5" x14ac:dyDescent="0.35">
      <c r="A84" s="26" t="s">
        <v>396</v>
      </c>
      <c r="B84" s="26" t="s">
        <v>4</v>
      </c>
      <c r="C84" s="26" t="s">
        <v>410</v>
      </c>
      <c r="D84" s="28">
        <v>46289.875</v>
      </c>
      <c r="E84" s="28">
        <v>46290.25</v>
      </c>
      <c r="F84" s="26" t="s">
        <v>411</v>
      </c>
    </row>
    <row r="85" spans="1:6" s="4" customFormat="1" ht="77.5" x14ac:dyDescent="0.35">
      <c r="A85" s="26" t="s">
        <v>396</v>
      </c>
      <c r="B85" s="26" t="s">
        <v>24</v>
      </c>
      <c r="C85" s="26" t="s">
        <v>415</v>
      </c>
      <c r="D85" s="28">
        <v>46289.875</v>
      </c>
      <c r="E85" s="28">
        <v>46290.25</v>
      </c>
      <c r="F85" s="26" t="s">
        <v>416</v>
      </c>
    </row>
    <row r="86" spans="1:6" s="4" customFormat="1" ht="77.5" x14ac:dyDescent="0.35">
      <c r="A86" s="26" t="s">
        <v>396</v>
      </c>
      <c r="B86" s="26" t="s">
        <v>6</v>
      </c>
      <c r="C86" s="26" t="s">
        <v>977</v>
      </c>
      <c r="D86" s="28">
        <v>46289.833333333299</v>
      </c>
      <c r="E86" s="28">
        <v>46290.25</v>
      </c>
      <c r="F86" s="26" t="s">
        <v>978</v>
      </c>
    </row>
    <row r="87" spans="1:6" s="4" customFormat="1" ht="77.5" x14ac:dyDescent="0.35">
      <c r="A87" s="26" t="s">
        <v>396</v>
      </c>
      <c r="B87" s="26" t="s">
        <v>6</v>
      </c>
      <c r="C87" s="26" t="s">
        <v>979</v>
      </c>
      <c r="D87" s="28">
        <v>46289.833333333299</v>
      </c>
      <c r="E87" s="28">
        <v>46290.25</v>
      </c>
      <c r="F87" s="26" t="s">
        <v>978</v>
      </c>
    </row>
    <row r="88" spans="1:6" s="4" customFormat="1" ht="77.5" x14ac:dyDescent="0.35">
      <c r="A88" s="26" t="s">
        <v>429</v>
      </c>
      <c r="B88" s="26" t="s">
        <v>2</v>
      </c>
      <c r="C88" s="26" t="s">
        <v>430</v>
      </c>
      <c r="D88" s="28">
        <v>46289.875</v>
      </c>
      <c r="E88" s="28">
        <v>46290.229166666701</v>
      </c>
      <c r="F88" s="26" t="s">
        <v>431</v>
      </c>
    </row>
    <row r="89" spans="1:6" s="4" customFormat="1" ht="93" x14ac:dyDescent="0.35">
      <c r="A89" s="26" t="s">
        <v>429</v>
      </c>
      <c r="B89" s="26" t="s">
        <v>2</v>
      </c>
      <c r="C89" s="26" t="s">
        <v>432</v>
      </c>
      <c r="D89" s="28">
        <v>46289.875</v>
      </c>
      <c r="E89" s="28">
        <v>46290.229166666701</v>
      </c>
      <c r="F89" s="26" t="s">
        <v>431</v>
      </c>
    </row>
    <row r="90" spans="1:6" s="4" customFormat="1" ht="93" x14ac:dyDescent="0.35">
      <c r="A90" s="26" t="s">
        <v>330</v>
      </c>
      <c r="B90" s="26" t="s">
        <v>2</v>
      </c>
      <c r="C90" s="26" t="s">
        <v>951</v>
      </c>
      <c r="D90" s="28">
        <v>46289.875</v>
      </c>
      <c r="E90" s="28">
        <v>46290.25</v>
      </c>
      <c r="F90" s="26" t="s">
        <v>952</v>
      </c>
    </row>
    <row r="91" spans="1:6" s="4" customFormat="1" ht="93" x14ac:dyDescent="0.35">
      <c r="A91" s="26" t="s">
        <v>330</v>
      </c>
      <c r="B91" s="26" t="s">
        <v>2</v>
      </c>
      <c r="C91" s="26" t="s">
        <v>953</v>
      </c>
      <c r="D91" s="28">
        <v>46289.875</v>
      </c>
      <c r="E91" s="28">
        <v>46290.25</v>
      </c>
      <c r="F91" s="26" t="s">
        <v>952</v>
      </c>
    </row>
    <row r="92" spans="1:6" s="4" customFormat="1" ht="77.5" x14ac:dyDescent="0.35">
      <c r="A92" s="26" t="s">
        <v>467</v>
      </c>
      <c r="B92" s="26" t="s">
        <v>4</v>
      </c>
      <c r="C92" s="26" t="s">
        <v>468</v>
      </c>
      <c r="D92" s="28">
        <v>46289.833333333299</v>
      </c>
      <c r="E92" s="28">
        <v>46290.25</v>
      </c>
      <c r="F92" s="26" t="s">
        <v>469</v>
      </c>
    </row>
    <row r="93" spans="1:6" s="4" customFormat="1" ht="77.5" x14ac:dyDescent="0.35">
      <c r="A93" s="26" t="s">
        <v>467</v>
      </c>
      <c r="B93" s="26" t="s">
        <v>4</v>
      </c>
      <c r="C93" s="26" t="s">
        <v>473</v>
      </c>
      <c r="D93" s="28">
        <v>46272.25</v>
      </c>
      <c r="E93" s="28">
        <v>46341.833333333299</v>
      </c>
      <c r="F93" s="26" t="s">
        <v>474</v>
      </c>
    </row>
    <row r="94" spans="1:6" s="4" customFormat="1" ht="77.5" x14ac:dyDescent="0.35">
      <c r="A94" s="26" t="s">
        <v>467</v>
      </c>
      <c r="B94" s="26" t="s">
        <v>5</v>
      </c>
      <c r="C94" s="26" t="s">
        <v>1001</v>
      </c>
      <c r="D94" s="28">
        <v>46289.833333333299</v>
      </c>
      <c r="E94" s="28">
        <v>46290.25</v>
      </c>
      <c r="F94" s="26" t="s">
        <v>1002</v>
      </c>
    </row>
    <row r="95" spans="1:6" s="4" customFormat="1" ht="77.5" x14ac:dyDescent="0.35">
      <c r="A95" s="26" t="s">
        <v>467</v>
      </c>
      <c r="B95" s="26" t="s">
        <v>5</v>
      </c>
      <c r="C95" s="26" t="s">
        <v>1128</v>
      </c>
      <c r="D95" s="28">
        <v>46289.833333333299</v>
      </c>
      <c r="E95" s="28">
        <v>46290.25</v>
      </c>
      <c r="F95" s="26" t="s">
        <v>1129</v>
      </c>
    </row>
    <row r="96" spans="1:6" s="4" customFormat="1" ht="77.5" x14ac:dyDescent="0.35">
      <c r="A96" s="26" t="s">
        <v>467</v>
      </c>
      <c r="B96" s="26" t="s">
        <v>5</v>
      </c>
      <c r="C96" s="26" t="s">
        <v>1130</v>
      </c>
      <c r="D96" s="28">
        <v>46289.833333333299</v>
      </c>
      <c r="E96" s="28">
        <v>46290.25</v>
      </c>
      <c r="F96" s="26" t="s">
        <v>1129</v>
      </c>
    </row>
    <row r="97" spans="1:6" s="4" customFormat="1" ht="77.5" x14ac:dyDescent="0.35">
      <c r="A97" s="26" t="s">
        <v>340</v>
      </c>
      <c r="B97" s="26" t="s">
        <v>4</v>
      </c>
      <c r="C97" s="26" t="s">
        <v>1090</v>
      </c>
      <c r="D97" s="28">
        <v>46289.875</v>
      </c>
      <c r="E97" s="28">
        <v>46290.25</v>
      </c>
      <c r="F97" s="26" t="s">
        <v>1091</v>
      </c>
    </row>
    <row r="98" spans="1:6" s="4" customFormat="1" ht="93" x14ac:dyDescent="0.35">
      <c r="A98" s="26" t="s">
        <v>340</v>
      </c>
      <c r="B98" s="26" t="s">
        <v>5</v>
      </c>
      <c r="C98" s="26" t="s">
        <v>341</v>
      </c>
      <c r="D98" s="28">
        <v>46289.875</v>
      </c>
      <c r="E98" s="28">
        <v>46290.25</v>
      </c>
      <c r="F98" s="26" t="s">
        <v>342</v>
      </c>
    </row>
    <row r="99" spans="1:6" s="4" customFormat="1" ht="93" x14ac:dyDescent="0.35">
      <c r="A99" s="26" t="s">
        <v>340</v>
      </c>
      <c r="B99" s="26" t="s">
        <v>4</v>
      </c>
      <c r="C99" s="26" t="s">
        <v>343</v>
      </c>
      <c r="D99" s="28">
        <v>46289.875</v>
      </c>
      <c r="E99" s="28">
        <v>46290.25</v>
      </c>
      <c r="F99" s="26" t="s">
        <v>342</v>
      </c>
    </row>
    <row r="100" spans="1:6" s="5" customFormat="1" ht="93" x14ac:dyDescent="0.35">
      <c r="A100" s="26" t="s">
        <v>340</v>
      </c>
      <c r="B100" s="26" t="s">
        <v>5</v>
      </c>
      <c r="C100" s="26" t="s">
        <v>1003</v>
      </c>
      <c r="D100" s="28">
        <v>46289.833333333299</v>
      </c>
      <c r="E100" s="28">
        <v>46290.25</v>
      </c>
      <c r="F100" s="26" t="s">
        <v>1004</v>
      </c>
    </row>
    <row r="101" spans="1:6" s="5" customFormat="1" ht="93" x14ac:dyDescent="0.35">
      <c r="A101" s="26" t="s">
        <v>333</v>
      </c>
      <c r="B101" s="26" t="s">
        <v>4</v>
      </c>
      <c r="C101" s="26" t="s">
        <v>1092</v>
      </c>
      <c r="D101" s="28">
        <v>46289.875</v>
      </c>
      <c r="E101" s="28">
        <v>46290.25</v>
      </c>
      <c r="F101" s="26" t="s">
        <v>1093</v>
      </c>
    </row>
    <row r="102" spans="1:6" s="5" customFormat="1" ht="77.5" x14ac:dyDescent="0.35">
      <c r="A102" s="26" t="s">
        <v>333</v>
      </c>
      <c r="B102" s="26" t="s">
        <v>4</v>
      </c>
      <c r="C102" s="26" t="s">
        <v>1094</v>
      </c>
      <c r="D102" s="28">
        <v>46289.875</v>
      </c>
      <c r="E102" s="28">
        <v>46290.25</v>
      </c>
      <c r="F102" s="26" t="s">
        <v>1093</v>
      </c>
    </row>
    <row r="103" spans="1:6" s="5" customFormat="1" ht="46.5" x14ac:dyDescent="0.35">
      <c r="A103" s="26" t="s">
        <v>333</v>
      </c>
      <c r="B103" s="26" t="s">
        <v>4</v>
      </c>
      <c r="C103" s="26" t="s">
        <v>1095</v>
      </c>
      <c r="D103" s="28">
        <v>46289.875</v>
      </c>
      <c r="E103" s="28">
        <v>46290.25</v>
      </c>
      <c r="F103" s="26" t="s">
        <v>1093</v>
      </c>
    </row>
    <row r="104" spans="1:6" s="5" customFormat="1" ht="93" x14ac:dyDescent="0.35">
      <c r="A104" s="26" t="s">
        <v>327</v>
      </c>
      <c r="B104" s="26" t="s">
        <v>2</v>
      </c>
      <c r="C104" s="26" t="s">
        <v>328</v>
      </c>
      <c r="D104" s="28">
        <v>46289.875</v>
      </c>
      <c r="E104" s="28">
        <v>46290.25</v>
      </c>
      <c r="F104" s="26" t="s">
        <v>329</v>
      </c>
    </row>
    <row r="105" spans="1:6" s="5" customFormat="1" ht="93" x14ac:dyDescent="0.35">
      <c r="A105" s="26" t="s">
        <v>327</v>
      </c>
      <c r="B105" s="26" t="s">
        <v>6</v>
      </c>
      <c r="C105" s="26" t="s">
        <v>338</v>
      </c>
      <c r="D105" s="28">
        <v>46289.875</v>
      </c>
      <c r="E105" s="28">
        <v>46290.25</v>
      </c>
      <c r="F105" s="26" t="s">
        <v>339</v>
      </c>
    </row>
    <row r="106" spans="1:6" s="5" customFormat="1" ht="93" x14ac:dyDescent="0.35">
      <c r="A106" s="26" t="s">
        <v>327</v>
      </c>
      <c r="B106" s="26" t="s">
        <v>6</v>
      </c>
      <c r="C106" s="26" t="s">
        <v>364</v>
      </c>
      <c r="D106" s="28">
        <v>46289.875</v>
      </c>
      <c r="E106" s="28">
        <v>46290.25</v>
      </c>
      <c r="F106" s="26" t="s">
        <v>365</v>
      </c>
    </row>
    <row r="107" spans="1:6" s="5" customFormat="1" ht="93" x14ac:dyDescent="0.35">
      <c r="A107" s="26" t="s">
        <v>327</v>
      </c>
      <c r="B107" s="26" t="s">
        <v>6</v>
      </c>
      <c r="C107" s="26" t="s">
        <v>1102</v>
      </c>
      <c r="D107" s="28">
        <v>46289.875</v>
      </c>
      <c r="E107" s="28">
        <v>46290.25</v>
      </c>
      <c r="F107" s="26" t="s">
        <v>1103</v>
      </c>
    </row>
    <row r="108" spans="1:6" s="5" customFormat="1" ht="93" x14ac:dyDescent="0.35">
      <c r="A108" s="26" t="s">
        <v>327</v>
      </c>
      <c r="B108" s="26" t="s">
        <v>6</v>
      </c>
      <c r="C108" s="26" t="s">
        <v>1104</v>
      </c>
      <c r="D108" s="28">
        <v>46289.875</v>
      </c>
      <c r="E108" s="28">
        <v>46290.25</v>
      </c>
      <c r="F108" s="26" t="s">
        <v>1103</v>
      </c>
    </row>
    <row r="109" spans="1:6" s="5" customFormat="1" ht="77.5" x14ac:dyDescent="0.35">
      <c r="A109" s="26" t="s">
        <v>489</v>
      </c>
      <c r="B109" s="26" t="s">
        <v>24</v>
      </c>
      <c r="C109" s="26" t="s">
        <v>490</v>
      </c>
      <c r="D109" s="28">
        <v>46289.833333333299</v>
      </c>
      <c r="E109" s="28">
        <v>46290.25</v>
      </c>
      <c r="F109" s="26" t="s">
        <v>491</v>
      </c>
    </row>
    <row r="110" spans="1:6" s="5" customFormat="1" ht="77.5" x14ac:dyDescent="0.35">
      <c r="A110" s="26" t="s">
        <v>470</v>
      </c>
      <c r="B110" s="26" t="s">
        <v>4</v>
      </c>
      <c r="C110" s="26" t="s">
        <v>475</v>
      </c>
      <c r="D110" s="28">
        <v>46289.8125</v>
      </c>
      <c r="E110" s="28">
        <v>46290.25</v>
      </c>
      <c r="F110" s="26" t="s">
        <v>476</v>
      </c>
    </row>
    <row r="111" spans="1:6" s="5" customFormat="1" ht="77.5" x14ac:dyDescent="0.35">
      <c r="A111" s="26" t="s">
        <v>470</v>
      </c>
      <c r="B111" s="26" t="s">
        <v>5</v>
      </c>
      <c r="C111" s="26" t="s">
        <v>477</v>
      </c>
      <c r="D111" s="28">
        <v>46289.8125</v>
      </c>
      <c r="E111" s="28">
        <v>46290.25</v>
      </c>
      <c r="F111" s="26" t="s">
        <v>478</v>
      </c>
    </row>
    <row r="112" spans="1:6" s="5" customFormat="1" ht="77.5" x14ac:dyDescent="0.35">
      <c r="A112" s="26" t="s">
        <v>470</v>
      </c>
      <c r="B112" s="26" t="s">
        <v>5</v>
      </c>
      <c r="C112" s="26" t="s">
        <v>471</v>
      </c>
      <c r="D112" s="28">
        <v>46289.875</v>
      </c>
      <c r="E112" s="28">
        <v>46290.25</v>
      </c>
      <c r="F112" s="26" t="s">
        <v>472</v>
      </c>
    </row>
    <row r="113" spans="1:6" s="5" customFormat="1" ht="77.5" x14ac:dyDescent="0.35">
      <c r="A113" s="26" t="s">
        <v>470</v>
      </c>
      <c r="B113" s="26" t="s">
        <v>4</v>
      </c>
      <c r="C113" s="26" t="s">
        <v>479</v>
      </c>
      <c r="D113" s="28">
        <v>46289.833333333299</v>
      </c>
      <c r="E113" s="28">
        <v>46290.25</v>
      </c>
      <c r="F113" s="26" t="s">
        <v>480</v>
      </c>
    </row>
    <row r="114" spans="1:6" s="5" customFormat="1" ht="62" x14ac:dyDescent="0.35">
      <c r="A114" s="26" t="s">
        <v>470</v>
      </c>
      <c r="B114" s="26" t="s">
        <v>5</v>
      </c>
      <c r="C114" s="26" t="s">
        <v>481</v>
      </c>
      <c r="D114" s="28">
        <v>46289.833333333299</v>
      </c>
      <c r="E114" s="28">
        <v>46290.25</v>
      </c>
      <c r="F114" s="26" t="s">
        <v>482</v>
      </c>
    </row>
    <row r="115" spans="1:6" s="5" customFormat="1" ht="77.5" x14ac:dyDescent="0.35">
      <c r="A115" s="26" t="s">
        <v>470</v>
      </c>
      <c r="B115" s="26" t="s">
        <v>5</v>
      </c>
      <c r="C115" s="26" t="s">
        <v>483</v>
      </c>
      <c r="D115" s="28">
        <v>46289.875</v>
      </c>
      <c r="E115" s="28">
        <v>46290.25</v>
      </c>
      <c r="F115" s="26" t="s">
        <v>484</v>
      </c>
    </row>
    <row r="116" spans="1:6" s="5" customFormat="1" ht="77.5" x14ac:dyDescent="0.35">
      <c r="A116" s="26" t="s">
        <v>470</v>
      </c>
      <c r="B116" s="26" t="s">
        <v>6</v>
      </c>
      <c r="C116" s="26" t="s">
        <v>521</v>
      </c>
      <c r="D116" s="28">
        <v>46202.875</v>
      </c>
      <c r="E116" s="28">
        <v>46508.208333333299</v>
      </c>
      <c r="F116" s="26" t="s">
        <v>522</v>
      </c>
    </row>
    <row r="117" spans="1:6" s="5" customFormat="1" ht="77.5" x14ac:dyDescent="0.35">
      <c r="A117" s="26" t="s">
        <v>470</v>
      </c>
      <c r="B117" s="26" t="s">
        <v>2</v>
      </c>
      <c r="C117" s="26" t="s">
        <v>523</v>
      </c>
      <c r="D117" s="28">
        <v>46266.333333333299</v>
      </c>
      <c r="E117" s="28">
        <v>46507</v>
      </c>
      <c r="F117" s="26" t="s">
        <v>522</v>
      </c>
    </row>
    <row r="118" spans="1:6" s="5" customFormat="1" ht="93" x14ac:dyDescent="0.35">
      <c r="A118" s="26" t="s">
        <v>702</v>
      </c>
      <c r="B118" s="26" t="s">
        <v>5</v>
      </c>
      <c r="C118" s="26" t="s">
        <v>703</v>
      </c>
      <c r="D118" s="28">
        <v>46289.833333333299</v>
      </c>
      <c r="E118" s="28">
        <v>46290.25</v>
      </c>
      <c r="F118" s="26" t="s">
        <v>704</v>
      </c>
    </row>
    <row r="119" spans="1:6" s="5" customFormat="1" ht="93" x14ac:dyDescent="0.35">
      <c r="A119" s="26" t="s">
        <v>492</v>
      </c>
      <c r="B119" s="26" t="s">
        <v>6</v>
      </c>
      <c r="C119" s="26" t="s">
        <v>1131</v>
      </c>
      <c r="D119" s="28">
        <v>46289.875</v>
      </c>
      <c r="E119" s="28">
        <v>46290.25</v>
      </c>
      <c r="F119" s="26" t="s">
        <v>1132</v>
      </c>
    </row>
    <row r="120" spans="1:6" s="5" customFormat="1" ht="93" x14ac:dyDescent="0.35">
      <c r="A120" s="26" t="s">
        <v>492</v>
      </c>
      <c r="B120" s="26" t="s">
        <v>2</v>
      </c>
      <c r="C120" s="26" t="s">
        <v>1133</v>
      </c>
      <c r="D120" s="28">
        <v>46289.875</v>
      </c>
      <c r="E120" s="28">
        <v>46290.25</v>
      </c>
      <c r="F120" s="26" t="s">
        <v>1134</v>
      </c>
    </row>
    <row r="121" spans="1:6" s="5" customFormat="1" ht="62" x14ac:dyDescent="0.35">
      <c r="A121" s="26" t="s">
        <v>708</v>
      </c>
      <c r="B121" s="26" t="s">
        <v>4</v>
      </c>
      <c r="C121" s="26" t="s">
        <v>1027</v>
      </c>
      <c r="D121" s="28">
        <v>46289.833333333299</v>
      </c>
      <c r="E121" s="28">
        <v>46290.208333333299</v>
      </c>
      <c r="F121" s="26" t="s">
        <v>848</v>
      </c>
    </row>
    <row r="122" spans="1:6" s="5" customFormat="1" ht="46.5" x14ac:dyDescent="0.35">
      <c r="A122" s="26" t="s">
        <v>545</v>
      </c>
      <c r="B122" s="26" t="s">
        <v>7</v>
      </c>
      <c r="C122" s="26" t="s">
        <v>546</v>
      </c>
      <c r="D122" s="28">
        <v>46217.625</v>
      </c>
      <c r="E122" s="28">
        <v>46387.875</v>
      </c>
      <c r="F122" s="26" t="s">
        <v>547</v>
      </c>
    </row>
    <row r="123" spans="1:6" s="5" customFormat="1" ht="46.5" x14ac:dyDescent="0.35">
      <c r="A123" s="26" t="s">
        <v>73</v>
      </c>
      <c r="B123" s="26" t="s">
        <v>6</v>
      </c>
      <c r="C123" s="26" t="s">
        <v>1041</v>
      </c>
      <c r="D123" s="28">
        <v>46289.541666666701</v>
      </c>
      <c r="E123" s="28">
        <v>46290.25</v>
      </c>
      <c r="F123" s="26" t="s">
        <v>1042</v>
      </c>
    </row>
    <row r="124" spans="1:6" s="5" customFormat="1" ht="46.5" x14ac:dyDescent="0.35">
      <c r="A124" s="26" t="s">
        <v>73</v>
      </c>
      <c r="B124" s="26" t="s">
        <v>6</v>
      </c>
      <c r="C124" s="26" t="s">
        <v>1043</v>
      </c>
      <c r="D124" s="28">
        <v>46289.833333333299</v>
      </c>
      <c r="E124" s="28">
        <v>46290.25</v>
      </c>
      <c r="F124" s="26" t="s">
        <v>1042</v>
      </c>
    </row>
    <row r="125" spans="1:6" s="5" customFormat="1" ht="77.5" x14ac:dyDescent="0.35">
      <c r="A125" s="26" t="s">
        <v>73</v>
      </c>
      <c r="B125" s="26" t="s">
        <v>6</v>
      </c>
      <c r="C125" s="26" t="s">
        <v>543</v>
      </c>
      <c r="D125" s="28">
        <v>46289.833333333299</v>
      </c>
      <c r="E125" s="28">
        <v>46290.25</v>
      </c>
      <c r="F125" s="26" t="s">
        <v>544</v>
      </c>
    </row>
    <row r="126" spans="1:6" s="5" customFormat="1" ht="77.5" x14ac:dyDescent="0.35">
      <c r="A126" s="26" t="s">
        <v>73</v>
      </c>
      <c r="B126" s="26" t="s">
        <v>2</v>
      </c>
      <c r="C126" s="26" t="s">
        <v>1019</v>
      </c>
      <c r="D126" s="28">
        <v>46289.875</v>
      </c>
      <c r="E126" s="28">
        <v>46290.25</v>
      </c>
      <c r="F126" s="26" t="s">
        <v>1020</v>
      </c>
    </row>
    <row r="127" spans="1:6" s="5" customFormat="1" ht="77.5" x14ac:dyDescent="0.35">
      <c r="A127" s="26" t="s">
        <v>23</v>
      </c>
      <c r="B127" s="26" t="s">
        <v>24</v>
      </c>
      <c r="C127" s="26" t="s">
        <v>25</v>
      </c>
      <c r="D127" s="28">
        <v>46289.833333333299</v>
      </c>
      <c r="E127" s="28">
        <v>46290.25</v>
      </c>
      <c r="F127" s="26" t="s">
        <v>26</v>
      </c>
    </row>
    <row r="128" spans="1:6" s="5" customFormat="1" ht="77.5" x14ac:dyDescent="0.35">
      <c r="A128" s="26" t="s">
        <v>23</v>
      </c>
      <c r="B128" s="26" t="s">
        <v>24</v>
      </c>
      <c r="C128" s="26" t="s">
        <v>27</v>
      </c>
      <c r="D128" s="28">
        <v>46289.833333333299</v>
      </c>
      <c r="E128" s="28">
        <v>46290.25</v>
      </c>
      <c r="F128" s="26" t="s">
        <v>28</v>
      </c>
    </row>
    <row r="129" spans="1:6" s="5" customFormat="1" ht="77.5" x14ac:dyDescent="0.35">
      <c r="A129" s="26" t="s">
        <v>23</v>
      </c>
      <c r="B129" s="26" t="s">
        <v>4</v>
      </c>
      <c r="C129" s="26" t="s">
        <v>843</v>
      </c>
      <c r="D129" s="28">
        <v>46289.833333333299</v>
      </c>
      <c r="E129" s="28">
        <v>46290.25</v>
      </c>
      <c r="F129" s="26" t="s">
        <v>567</v>
      </c>
    </row>
    <row r="130" spans="1:6" s="5" customFormat="1" ht="62" x14ac:dyDescent="0.35">
      <c r="A130" s="26" t="s">
        <v>89</v>
      </c>
      <c r="B130" s="26" t="s">
        <v>24</v>
      </c>
      <c r="C130" s="26" t="s">
        <v>1044</v>
      </c>
      <c r="D130" s="28">
        <v>46289.833333333299</v>
      </c>
      <c r="E130" s="28">
        <v>46290.25</v>
      </c>
      <c r="F130" s="26" t="s">
        <v>1045</v>
      </c>
    </row>
    <row r="131" spans="1:6" s="5" customFormat="1" ht="62" x14ac:dyDescent="0.35">
      <c r="A131" s="26" t="s">
        <v>89</v>
      </c>
      <c r="B131" s="26" t="s">
        <v>4</v>
      </c>
      <c r="C131" s="26" t="s">
        <v>1139</v>
      </c>
      <c r="D131" s="28">
        <v>46289.875</v>
      </c>
      <c r="E131" s="28">
        <v>46290.25</v>
      </c>
      <c r="F131" s="26" t="s">
        <v>1140</v>
      </c>
    </row>
    <row r="132" spans="1:6" s="5" customFormat="1" ht="62" x14ac:dyDescent="0.35">
      <c r="A132" s="26" t="s">
        <v>529</v>
      </c>
      <c r="B132" s="26" t="s">
        <v>4</v>
      </c>
      <c r="C132" s="26" t="s">
        <v>1141</v>
      </c>
      <c r="D132" s="28">
        <v>46289.875</v>
      </c>
      <c r="E132" s="28">
        <v>46290.25</v>
      </c>
      <c r="F132" s="26" t="s">
        <v>1142</v>
      </c>
    </row>
    <row r="133" spans="1:6" ht="46.5" x14ac:dyDescent="0.35">
      <c r="A133" s="26" t="s">
        <v>529</v>
      </c>
      <c r="B133" s="26" t="s">
        <v>5</v>
      </c>
      <c r="C133" s="26" t="s">
        <v>1145</v>
      </c>
      <c r="D133" s="28">
        <v>46289.833333333299</v>
      </c>
      <c r="E133" s="28">
        <v>46290.208333333299</v>
      </c>
      <c r="F133" s="26" t="s">
        <v>1146</v>
      </c>
    </row>
    <row r="134" spans="1:6" ht="46.5" x14ac:dyDescent="0.35">
      <c r="A134" s="26" t="s">
        <v>537</v>
      </c>
      <c r="B134" s="26" t="s">
        <v>24</v>
      </c>
      <c r="C134" s="26" t="s">
        <v>538</v>
      </c>
      <c r="D134" s="28">
        <v>46230.833333333299</v>
      </c>
      <c r="E134" s="28">
        <v>46403.25</v>
      </c>
      <c r="F134" s="26" t="s">
        <v>539</v>
      </c>
    </row>
    <row r="135" spans="1:6" ht="46.5" x14ac:dyDescent="0.35">
      <c r="A135" s="26" t="s">
        <v>943</v>
      </c>
      <c r="B135" s="26" t="s">
        <v>4</v>
      </c>
      <c r="C135" s="26" t="s">
        <v>944</v>
      </c>
      <c r="D135" s="28">
        <v>46289.833333333299</v>
      </c>
      <c r="E135" s="28">
        <v>46290.25</v>
      </c>
      <c r="F135" s="26" t="s">
        <v>945</v>
      </c>
    </row>
    <row r="136" spans="1:6" ht="46.5" x14ac:dyDescent="0.35">
      <c r="A136" s="26" t="s">
        <v>943</v>
      </c>
      <c r="B136" s="26" t="s">
        <v>5</v>
      </c>
      <c r="C136" s="26" t="s">
        <v>946</v>
      </c>
      <c r="D136" s="28">
        <v>46289.833333333299</v>
      </c>
      <c r="E136" s="28">
        <v>46290.25</v>
      </c>
      <c r="F136" s="26" t="s">
        <v>945</v>
      </c>
    </row>
    <row r="137" spans="1:6" ht="46.5" x14ac:dyDescent="0.35">
      <c r="A137" s="26" t="s">
        <v>273</v>
      </c>
      <c r="B137" s="26" t="s">
        <v>5</v>
      </c>
      <c r="C137" s="26" t="s">
        <v>274</v>
      </c>
      <c r="D137" s="28">
        <v>46289.875</v>
      </c>
      <c r="E137" s="28">
        <v>46290.208333333299</v>
      </c>
      <c r="F137" s="26" t="s">
        <v>275</v>
      </c>
    </row>
    <row r="138" spans="1:6" ht="46.5" x14ac:dyDescent="0.35">
      <c r="A138" s="26" t="s">
        <v>744</v>
      </c>
      <c r="B138" s="26" t="s">
        <v>2</v>
      </c>
      <c r="C138" s="26" t="s">
        <v>928</v>
      </c>
      <c r="D138" s="28">
        <v>46289.875</v>
      </c>
      <c r="E138" s="28">
        <v>46290.25</v>
      </c>
      <c r="F138" s="26" t="s">
        <v>277</v>
      </c>
    </row>
    <row r="139" spans="1:6" ht="46.5" x14ac:dyDescent="0.35">
      <c r="A139" s="26" t="s">
        <v>185</v>
      </c>
      <c r="B139" s="26" t="s">
        <v>24</v>
      </c>
      <c r="C139" s="26" t="s">
        <v>1074</v>
      </c>
      <c r="D139" s="28">
        <v>46289.916666666701</v>
      </c>
      <c r="E139" s="28">
        <v>46290.25</v>
      </c>
      <c r="F139" s="26" t="s">
        <v>1073</v>
      </c>
    </row>
    <row r="140" spans="1:6" ht="46.5" x14ac:dyDescent="0.35">
      <c r="A140" s="26" t="s">
        <v>166</v>
      </c>
      <c r="B140" s="26" t="s">
        <v>6</v>
      </c>
      <c r="C140" s="26" t="s">
        <v>167</v>
      </c>
      <c r="D140" s="28">
        <v>46237.833333333299</v>
      </c>
      <c r="E140" s="28">
        <v>46326.25</v>
      </c>
      <c r="F140" s="26" t="s">
        <v>168</v>
      </c>
    </row>
    <row r="141" spans="1:6" ht="46.5" x14ac:dyDescent="0.35">
      <c r="A141" s="26" t="s">
        <v>166</v>
      </c>
      <c r="B141" s="26" t="s">
        <v>2</v>
      </c>
      <c r="C141" s="26" t="s">
        <v>169</v>
      </c>
      <c r="D141" s="28">
        <v>46237.833333333299</v>
      </c>
      <c r="E141" s="28">
        <v>46326.25</v>
      </c>
      <c r="F141" s="26" t="s">
        <v>168</v>
      </c>
    </row>
    <row r="142" spans="1:6" ht="46.5" x14ac:dyDescent="0.35">
      <c r="A142" s="26" t="s">
        <v>134</v>
      </c>
      <c r="B142" s="26" t="s">
        <v>5</v>
      </c>
      <c r="C142" s="26" t="s">
        <v>135</v>
      </c>
      <c r="D142" s="28">
        <v>46289.833333333299</v>
      </c>
      <c r="E142" s="28">
        <v>46290.25</v>
      </c>
      <c r="F142" s="26" t="s">
        <v>136</v>
      </c>
    </row>
    <row r="143" spans="1:6" ht="46.5" x14ac:dyDescent="0.35">
      <c r="A143" s="26" t="s">
        <v>134</v>
      </c>
      <c r="B143" s="26" t="s">
        <v>5</v>
      </c>
      <c r="C143" s="26" t="s">
        <v>137</v>
      </c>
      <c r="D143" s="28">
        <v>46289.833333333299</v>
      </c>
      <c r="E143" s="28">
        <v>46290.25</v>
      </c>
      <c r="F143" s="26" t="s">
        <v>136</v>
      </c>
    </row>
    <row r="144" spans="1:6" ht="46.5" x14ac:dyDescent="0.35">
      <c r="A144" s="26" t="s">
        <v>134</v>
      </c>
      <c r="B144" s="26" t="s">
        <v>5</v>
      </c>
      <c r="C144" s="26" t="s">
        <v>143</v>
      </c>
      <c r="D144" s="28">
        <v>46289.833333333299</v>
      </c>
      <c r="E144" s="28">
        <v>46290.25</v>
      </c>
      <c r="F144" s="26" t="s">
        <v>144</v>
      </c>
    </row>
    <row r="145" spans="1:6" ht="46.5" x14ac:dyDescent="0.35">
      <c r="A145" s="26" t="s">
        <v>134</v>
      </c>
      <c r="B145" s="26" t="s">
        <v>5</v>
      </c>
      <c r="C145" s="26" t="s">
        <v>145</v>
      </c>
      <c r="D145" s="28">
        <v>46289.833333333299</v>
      </c>
      <c r="E145" s="28">
        <v>46290.25</v>
      </c>
      <c r="F145" s="26" t="s">
        <v>144</v>
      </c>
    </row>
    <row r="146" spans="1:6" ht="46.5" x14ac:dyDescent="0.35">
      <c r="A146" s="26" t="s">
        <v>134</v>
      </c>
      <c r="B146" s="26" t="s">
        <v>5</v>
      </c>
      <c r="C146" s="26" t="s">
        <v>146</v>
      </c>
      <c r="D146" s="28">
        <v>46289.833333333299</v>
      </c>
      <c r="E146" s="28">
        <v>46290.25</v>
      </c>
      <c r="F146" s="26" t="s">
        <v>144</v>
      </c>
    </row>
    <row r="147" spans="1:6" ht="46.5" x14ac:dyDescent="0.35">
      <c r="A147" s="26" t="s">
        <v>134</v>
      </c>
      <c r="B147" s="26" t="s">
        <v>5</v>
      </c>
      <c r="C147" s="26" t="s">
        <v>147</v>
      </c>
      <c r="D147" s="28">
        <v>46289.833333333299</v>
      </c>
      <c r="E147" s="28">
        <v>46290.25</v>
      </c>
      <c r="F147" s="26" t="s">
        <v>144</v>
      </c>
    </row>
    <row r="148" spans="1:6" ht="46.5" x14ac:dyDescent="0.35">
      <c r="A148" s="26" t="s">
        <v>134</v>
      </c>
      <c r="B148" s="26" t="s">
        <v>5</v>
      </c>
      <c r="C148" s="26" t="s">
        <v>137</v>
      </c>
      <c r="D148" s="28">
        <v>46289.833333333299</v>
      </c>
      <c r="E148" s="28">
        <v>46290.25</v>
      </c>
      <c r="F148" s="26" t="s">
        <v>144</v>
      </c>
    </row>
    <row r="149" spans="1:6" ht="46.5" x14ac:dyDescent="0.35">
      <c r="A149" s="26" t="s">
        <v>903</v>
      </c>
      <c r="B149" s="26" t="s">
        <v>5</v>
      </c>
      <c r="C149" s="26" t="s">
        <v>1058</v>
      </c>
      <c r="D149" s="28">
        <v>46289.833333333299</v>
      </c>
      <c r="E149" s="28">
        <v>46290.25</v>
      </c>
      <c r="F149" s="26" t="s">
        <v>1059</v>
      </c>
    </row>
    <row r="150" spans="1:6" ht="46.5" x14ac:dyDescent="0.35">
      <c r="A150" s="26" t="s">
        <v>903</v>
      </c>
      <c r="B150" s="26" t="s">
        <v>5</v>
      </c>
      <c r="C150" s="26" t="s">
        <v>1060</v>
      </c>
      <c r="D150" s="28">
        <v>46289.833333333299</v>
      </c>
      <c r="E150" s="28">
        <v>46290.25</v>
      </c>
      <c r="F150" s="26" t="s">
        <v>1059</v>
      </c>
    </row>
    <row r="151" spans="1:6" ht="46.5" x14ac:dyDescent="0.35">
      <c r="A151" s="26" t="s">
        <v>903</v>
      </c>
      <c r="B151" s="26" t="s">
        <v>4</v>
      </c>
      <c r="C151" s="26" t="s">
        <v>904</v>
      </c>
      <c r="D151" s="28">
        <v>46289.833333333299</v>
      </c>
      <c r="E151" s="28">
        <v>46290.25</v>
      </c>
      <c r="F151" s="26" t="s">
        <v>905</v>
      </c>
    </row>
    <row r="152" spans="1:6" ht="46.5" x14ac:dyDescent="0.35">
      <c r="A152" s="26" t="s">
        <v>201</v>
      </c>
      <c r="B152" s="26" t="s">
        <v>5</v>
      </c>
      <c r="C152" s="26" t="s">
        <v>202</v>
      </c>
      <c r="D152" s="28">
        <v>46289.833333333299</v>
      </c>
      <c r="E152" s="28">
        <v>46290.25</v>
      </c>
      <c r="F152" s="26" t="s">
        <v>203</v>
      </c>
    </row>
    <row r="153" spans="1:6" ht="46.5" x14ac:dyDescent="0.35">
      <c r="A153" s="26" t="s">
        <v>201</v>
      </c>
      <c r="B153" s="26" t="s">
        <v>5</v>
      </c>
      <c r="C153" s="26" t="s">
        <v>204</v>
      </c>
      <c r="D153" s="28">
        <v>46289.833333333299</v>
      </c>
      <c r="E153" s="28">
        <v>46290.25</v>
      </c>
      <c r="F153" s="26" t="s">
        <v>203</v>
      </c>
    </row>
    <row r="154" spans="1:6" ht="46.5" x14ac:dyDescent="0.35">
      <c r="A154" s="26" t="s">
        <v>201</v>
      </c>
      <c r="B154" s="26" t="s">
        <v>5</v>
      </c>
      <c r="C154" s="26" t="s">
        <v>205</v>
      </c>
      <c r="D154" s="28">
        <v>46289.833333333299</v>
      </c>
      <c r="E154" s="28">
        <v>46290.25</v>
      </c>
      <c r="F154" s="26" t="s">
        <v>203</v>
      </c>
    </row>
    <row r="155" spans="1:6" ht="46.5" x14ac:dyDescent="0.35">
      <c r="A155" s="26" t="s">
        <v>201</v>
      </c>
      <c r="B155" s="26" t="s">
        <v>5</v>
      </c>
      <c r="C155" s="26" t="s">
        <v>206</v>
      </c>
      <c r="D155" s="28">
        <v>46289.833333333299</v>
      </c>
      <c r="E155" s="28">
        <v>46290.25</v>
      </c>
      <c r="F155" s="26" t="s">
        <v>203</v>
      </c>
    </row>
    <row r="156" spans="1:6" ht="46.5" x14ac:dyDescent="0.35">
      <c r="A156" s="26" t="s">
        <v>201</v>
      </c>
      <c r="B156" s="26" t="s">
        <v>5</v>
      </c>
      <c r="C156" s="26" t="s">
        <v>207</v>
      </c>
      <c r="D156" s="28">
        <v>46289.833333333299</v>
      </c>
      <c r="E156" s="28">
        <v>46290.25</v>
      </c>
      <c r="F156" s="26" t="s">
        <v>203</v>
      </c>
    </row>
    <row r="157" spans="1:6" ht="46.5" x14ac:dyDescent="0.35">
      <c r="A157" s="26" t="s">
        <v>55</v>
      </c>
      <c r="B157" s="26" t="s">
        <v>2</v>
      </c>
      <c r="C157" s="26" t="s">
        <v>56</v>
      </c>
      <c r="D157" s="28">
        <v>46289.875</v>
      </c>
      <c r="E157" s="28">
        <v>46290.208333333299</v>
      </c>
      <c r="F157" s="26" t="s">
        <v>57</v>
      </c>
    </row>
    <row r="158" spans="1:6" ht="46.5" x14ac:dyDescent="0.35">
      <c r="A158" s="26" t="s">
        <v>55</v>
      </c>
      <c r="B158" s="26" t="s">
        <v>2</v>
      </c>
      <c r="C158" s="26" t="s">
        <v>1030</v>
      </c>
      <c r="D158" s="28">
        <v>46289.916666666701</v>
      </c>
      <c r="E158" s="28">
        <v>46290.208333333299</v>
      </c>
      <c r="F158" s="26" t="s">
        <v>791</v>
      </c>
    </row>
    <row r="159" spans="1:6" ht="46.5" x14ac:dyDescent="0.35">
      <c r="A159" s="26" t="s">
        <v>55</v>
      </c>
      <c r="B159" s="26" t="s">
        <v>2</v>
      </c>
      <c r="C159" s="26" t="s">
        <v>1039</v>
      </c>
      <c r="D159" s="28">
        <v>46289.833333333299</v>
      </c>
      <c r="E159" s="28">
        <v>46290.25</v>
      </c>
      <c r="F159" s="26" t="s">
        <v>72</v>
      </c>
    </row>
    <row r="160" spans="1:6" ht="46.5" x14ac:dyDescent="0.35">
      <c r="A160" s="26" t="s">
        <v>55</v>
      </c>
      <c r="B160" s="26" t="s">
        <v>2</v>
      </c>
      <c r="C160" s="26" t="s">
        <v>1040</v>
      </c>
      <c r="D160" s="28">
        <v>46289.833333333299</v>
      </c>
      <c r="E160" s="28">
        <v>46290.25</v>
      </c>
      <c r="F160" s="26" t="s">
        <v>72</v>
      </c>
    </row>
    <row r="161" spans="1:6" ht="46.5" x14ac:dyDescent="0.35">
      <c r="A161" s="26" t="s">
        <v>55</v>
      </c>
      <c r="B161" s="26" t="s">
        <v>6</v>
      </c>
      <c r="C161" s="26" t="s">
        <v>1054</v>
      </c>
      <c r="D161" s="28">
        <v>46289.833333333299</v>
      </c>
      <c r="E161" s="28">
        <v>46290.25</v>
      </c>
      <c r="F161" s="26" t="s">
        <v>1055</v>
      </c>
    </row>
    <row r="162" spans="1:6" ht="46.5" x14ac:dyDescent="0.35">
      <c r="A162" s="26" t="s">
        <v>55</v>
      </c>
      <c r="B162" s="26" t="s">
        <v>6</v>
      </c>
      <c r="C162" s="26" t="s">
        <v>1056</v>
      </c>
      <c r="D162" s="28">
        <v>46289.833333333299</v>
      </c>
      <c r="E162" s="28">
        <v>46290.25</v>
      </c>
      <c r="F162" s="26" t="s">
        <v>1055</v>
      </c>
    </row>
    <row r="163" spans="1:6" ht="46.5" x14ac:dyDescent="0.35">
      <c r="A163" s="26" t="s">
        <v>55</v>
      </c>
      <c r="B163" s="26" t="s">
        <v>6</v>
      </c>
      <c r="C163" s="26" t="s">
        <v>1057</v>
      </c>
      <c r="D163" s="28">
        <v>46289.833333333299</v>
      </c>
      <c r="E163" s="28">
        <v>46290.25</v>
      </c>
      <c r="F163" s="26" t="s">
        <v>1055</v>
      </c>
    </row>
    <row r="164" spans="1:6" ht="46.5" x14ac:dyDescent="0.35">
      <c r="A164" s="26" t="s">
        <v>55</v>
      </c>
      <c r="B164" s="26" t="s">
        <v>2</v>
      </c>
      <c r="C164" s="26" t="s">
        <v>891</v>
      </c>
      <c r="D164" s="28">
        <v>46289.854166666701</v>
      </c>
      <c r="E164" s="28">
        <v>46290.25</v>
      </c>
      <c r="F164" s="26" t="s">
        <v>892</v>
      </c>
    </row>
    <row r="165" spans="1:6" ht="46.5" x14ac:dyDescent="0.35">
      <c r="A165" s="26" t="s">
        <v>55</v>
      </c>
      <c r="B165" s="26" t="s">
        <v>2</v>
      </c>
      <c r="C165" s="26" t="s">
        <v>893</v>
      </c>
      <c r="D165" s="28">
        <v>46289.854166666701</v>
      </c>
      <c r="E165" s="28">
        <v>46290.25</v>
      </c>
      <c r="F165" s="26" t="s">
        <v>892</v>
      </c>
    </row>
    <row r="166" spans="1:6" ht="46.5" x14ac:dyDescent="0.35">
      <c r="A166" s="26" t="s">
        <v>55</v>
      </c>
      <c r="B166" s="26" t="s">
        <v>2</v>
      </c>
      <c r="C166" s="26" t="s">
        <v>894</v>
      </c>
      <c r="D166" s="28">
        <v>46289.854166666701</v>
      </c>
      <c r="E166" s="28">
        <v>46290.25</v>
      </c>
      <c r="F166" s="26" t="s">
        <v>892</v>
      </c>
    </row>
    <row r="167" spans="1:6" ht="46.5" x14ac:dyDescent="0.35">
      <c r="A167" s="26" t="s">
        <v>55</v>
      </c>
      <c r="B167" s="26" t="s">
        <v>2</v>
      </c>
      <c r="C167" s="26" t="s">
        <v>1072</v>
      </c>
      <c r="D167" s="28">
        <v>46289.916666666701</v>
      </c>
      <c r="E167" s="28">
        <v>46290.25</v>
      </c>
      <c r="F167" s="26" t="s">
        <v>1073</v>
      </c>
    </row>
    <row r="168" spans="1:6" ht="46.5" x14ac:dyDescent="0.35">
      <c r="A168" s="26" t="s">
        <v>55</v>
      </c>
      <c r="B168" s="26" t="s">
        <v>6</v>
      </c>
      <c r="C168" s="26" t="s">
        <v>1075</v>
      </c>
      <c r="D168" s="28">
        <v>46289.916666666701</v>
      </c>
      <c r="E168" s="28">
        <v>46290.25</v>
      </c>
      <c r="F168" s="26" t="s">
        <v>1073</v>
      </c>
    </row>
    <row r="169" spans="1:6" ht="31" x14ac:dyDescent="0.35">
      <c r="A169" s="26" t="s">
        <v>55</v>
      </c>
      <c r="B169" s="26" t="s">
        <v>2</v>
      </c>
      <c r="C169" s="26" t="s">
        <v>435</v>
      </c>
      <c r="D169" s="28">
        <v>46289.916666666701</v>
      </c>
      <c r="E169" s="28">
        <v>46290.229166666701</v>
      </c>
      <c r="F169" s="26" t="s">
        <v>436</v>
      </c>
    </row>
    <row r="170" spans="1:6" ht="46.5" x14ac:dyDescent="0.35">
      <c r="A170" s="26" t="s">
        <v>46</v>
      </c>
      <c r="B170" s="26" t="s">
        <v>6</v>
      </c>
      <c r="C170" s="26" t="s">
        <v>1025</v>
      </c>
      <c r="D170" s="28">
        <v>46289.875</v>
      </c>
      <c r="E170" s="28">
        <v>46290.208333333299</v>
      </c>
      <c r="F170" s="26" t="s">
        <v>1026</v>
      </c>
    </row>
    <row r="171" spans="1:6" ht="46.5" x14ac:dyDescent="0.35">
      <c r="A171" s="26" t="s">
        <v>46</v>
      </c>
      <c r="B171" s="26" t="s">
        <v>2</v>
      </c>
      <c r="C171" s="26" t="s">
        <v>425</v>
      </c>
      <c r="D171" s="28">
        <v>46289.916666666701</v>
      </c>
      <c r="E171" s="28">
        <v>46290.229166666701</v>
      </c>
      <c r="F171" s="26" t="s">
        <v>426</v>
      </c>
    </row>
    <row r="172" spans="1:6" ht="62" x14ac:dyDescent="0.35">
      <c r="A172" s="26" t="s">
        <v>598</v>
      </c>
      <c r="B172" s="26" t="s">
        <v>2</v>
      </c>
      <c r="C172" s="26" t="s">
        <v>599</v>
      </c>
      <c r="D172" s="28">
        <v>46289.833333333299</v>
      </c>
      <c r="E172" s="28">
        <v>46290.25</v>
      </c>
      <c r="F172" s="26" t="s">
        <v>600</v>
      </c>
    </row>
    <row r="173" spans="1:6" ht="62" x14ac:dyDescent="0.35">
      <c r="A173" s="26" t="s">
        <v>128</v>
      </c>
      <c r="B173" s="26" t="s">
        <v>5</v>
      </c>
      <c r="C173" s="26" t="s">
        <v>129</v>
      </c>
      <c r="D173" s="28">
        <v>46289.833333333299</v>
      </c>
      <c r="E173" s="28">
        <v>46290.25</v>
      </c>
      <c r="F173" s="26" t="s">
        <v>130</v>
      </c>
    </row>
    <row r="174" spans="1:6" ht="62" x14ac:dyDescent="0.35">
      <c r="A174" s="26" t="s">
        <v>128</v>
      </c>
      <c r="B174" s="26" t="s">
        <v>5</v>
      </c>
      <c r="C174" s="26" t="s">
        <v>133</v>
      </c>
      <c r="D174" s="28">
        <v>46289.833333333299</v>
      </c>
      <c r="E174" s="28">
        <v>46290.25</v>
      </c>
      <c r="F174" s="26" t="s">
        <v>130</v>
      </c>
    </row>
    <row r="175" spans="1:6" ht="62" x14ac:dyDescent="0.35">
      <c r="A175" s="26" t="s">
        <v>131</v>
      </c>
      <c r="B175" s="26" t="s">
        <v>6</v>
      </c>
      <c r="C175" s="26" t="s">
        <v>132</v>
      </c>
      <c r="D175" s="28">
        <v>46289.833333333299</v>
      </c>
      <c r="E175" s="28">
        <v>46290.25</v>
      </c>
      <c r="F175" s="26" t="s">
        <v>130</v>
      </c>
    </row>
    <row r="176" spans="1:6" ht="46.5" x14ac:dyDescent="0.35">
      <c r="A176" s="26" t="s">
        <v>399</v>
      </c>
      <c r="B176" s="26" t="s">
        <v>5</v>
      </c>
      <c r="C176" s="26" t="s">
        <v>975</v>
      </c>
      <c r="D176" s="28">
        <v>46289.875</v>
      </c>
      <c r="E176" s="28">
        <v>46290.25</v>
      </c>
      <c r="F176" s="26" t="s">
        <v>976</v>
      </c>
    </row>
    <row r="177" spans="1:6" ht="46.5" x14ac:dyDescent="0.35">
      <c r="A177" s="26" t="s">
        <v>399</v>
      </c>
      <c r="B177" s="26" t="s">
        <v>4</v>
      </c>
      <c r="C177" s="26" t="s">
        <v>1113</v>
      </c>
      <c r="D177" s="28">
        <v>46289.833333333299</v>
      </c>
      <c r="E177" s="28">
        <v>46290.166666666701</v>
      </c>
      <c r="F177" s="26" t="s">
        <v>1114</v>
      </c>
    </row>
    <row r="178" spans="1:6" ht="46.5" x14ac:dyDescent="0.35">
      <c r="A178" s="26" t="s">
        <v>386</v>
      </c>
      <c r="B178" s="26" t="s">
        <v>5</v>
      </c>
      <c r="C178" s="26" t="s">
        <v>389</v>
      </c>
      <c r="D178" s="28">
        <v>46289.833333333299</v>
      </c>
      <c r="E178" s="28">
        <v>46290.25</v>
      </c>
      <c r="F178" s="26" t="s">
        <v>390</v>
      </c>
    </row>
    <row r="179" spans="1:6" ht="46.5" x14ac:dyDescent="0.35">
      <c r="A179" s="26" t="s">
        <v>386</v>
      </c>
      <c r="B179" s="26" t="s">
        <v>5</v>
      </c>
      <c r="C179" s="26" t="s">
        <v>1105</v>
      </c>
      <c r="D179" s="28">
        <v>46289.833333333299</v>
      </c>
      <c r="E179" s="28">
        <v>46290.208333333299</v>
      </c>
      <c r="F179" s="26" t="s">
        <v>1106</v>
      </c>
    </row>
    <row r="180" spans="1:6" ht="46.5" x14ac:dyDescent="0.35">
      <c r="A180" s="26" t="s">
        <v>386</v>
      </c>
      <c r="B180" s="26" t="s">
        <v>5</v>
      </c>
      <c r="C180" s="26" t="s">
        <v>1107</v>
      </c>
      <c r="D180" s="28">
        <v>46289.833333333299</v>
      </c>
      <c r="E180" s="28">
        <v>46290.208333333299</v>
      </c>
      <c r="F180" s="26" t="s">
        <v>1106</v>
      </c>
    </row>
    <row r="181" spans="1:6" ht="46.5" x14ac:dyDescent="0.35">
      <c r="A181" s="26" t="s">
        <v>439</v>
      </c>
      <c r="B181" s="26" t="s">
        <v>6</v>
      </c>
      <c r="C181" s="26" t="s">
        <v>440</v>
      </c>
      <c r="D181" s="28">
        <v>46289.916666666701</v>
      </c>
      <c r="E181" s="28">
        <v>46290.229166666701</v>
      </c>
      <c r="F181" s="26" t="s">
        <v>441</v>
      </c>
    </row>
    <row r="182" spans="1:6" ht="46.5" x14ac:dyDescent="0.35">
      <c r="A182" s="26" t="s">
        <v>439</v>
      </c>
      <c r="B182" s="26" t="s">
        <v>6</v>
      </c>
      <c r="C182" s="26" t="s">
        <v>442</v>
      </c>
      <c r="D182" s="28">
        <v>46289.916666666701</v>
      </c>
      <c r="E182" s="28">
        <v>46290.229166666701</v>
      </c>
      <c r="F182" s="26" t="s">
        <v>441</v>
      </c>
    </row>
    <row r="183" spans="1:6" ht="46.5" x14ac:dyDescent="0.35">
      <c r="A183" s="26" t="s">
        <v>421</v>
      </c>
      <c r="B183" s="26" t="s">
        <v>8</v>
      </c>
      <c r="C183" s="26" t="s">
        <v>433</v>
      </c>
      <c r="D183" s="28">
        <v>46289.916666666701</v>
      </c>
      <c r="E183" s="28">
        <v>46290.229166666701</v>
      </c>
      <c r="F183" s="26" t="s">
        <v>434</v>
      </c>
    </row>
    <row r="184" spans="1:6" ht="46.5" x14ac:dyDescent="0.35">
      <c r="A184" s="26" t="s">
        <v>421</v>
      </c>
      <c r="B184" s="26" t="s">
        <v>7</v>
      </c>
      <c r="C184" s="26" t="s">
        <v>985</v>
      </c>
      <c r="D184" s="28">
        <v>46289.916666666701</v>
      </c>
      <c r="E184" s="28">
        <v>46290.229166666701</v>
      </c>
      <c r="F184" s="26" t="s">
        <v>986</v>
      </c>
    </row>
    <row r="185" spans="1:6" ht="62" x14ac:dyDescent="0.35">
      <c r="A185" s="26" t="s">
        <v>421</v>
      </c>
      <c r="B185" s="26" t="s">
        <v>7</v>
      </c>
      <c r="C185" s="26" t="s">
        <v>1119</v>
      </c>
      <c r="D185" s="28">
        <v>46289.916666666701</v>
      </c>
      <c r="E185" s="28">
        <v>46290.229166666701</v>
      </c>
      <c r="F185" s="26" t="s">
        <v>1120</v>
      </c>
    </row>
    <row r="186" spans="1:6" ht="62" x14ac:dyDescent="0.35">
      <c r="A186" s="26" t="s">
        <v>421</v>
      </c>
      <c r="B186" s="26" t="s">
        <v>8</v>
      </c>
      <c r="C186" s="26" t="s">
        <v>1121</v>
      </c>
      <c r="D186" s="28">
        <v>46289.916666666701</v>
      </c>
      <c r="E186" s="28">
        <v>46290.229166666701</v>
      </c>
      <c r="F186" s="26" t="s">
        <v>1122</v>
      </c>
    </row>
    <row r="187" spans="1:6" ht="62" x14ac:dyDescent="0.35">
      <c r="A187" s="26" t="s">
        <v>421</v>
      </c>
      <c r="B187" s="26" t="s">
        <v>8</v>
      </c>
      <c r="C187" s="26" t="s">
        <v>1123</v>
      </c>
      <c r="D187" s="28">
        <v>46289.916666666701</v>
      </c>
      <c r="E187" s="28">
        <v>46290.229166666701</v>
      </c>
      <c r="F187" s="26" t="s">
        <v>1122</v>
      </c>
    </row>
    <row r="188" spans="1:6" ht="62" x14ac:dyDescent="0.35">
      <c r="A188" s="26" t="s">
        <v>421</v>
      </c>
      <c r="B188" s="26" t="s">
        <v>7</v>
      </c>
      <c r="C188" s="26" t="s">
        <v>987</v>
      </c>
      <c r="D188" s="28">
        <v>46289.916666666701</v>
      </c>
      <c r="E188" s="28">
        <v>46290.229166666701</v>
      </c>
      <c r="F188" s="26" t="s">
        <v>988</v>
      </c>
    </row>
    <row r="189" spans="1:6" ht="46.5" x14ac:dyDescent="0.35">
      <c r="A189" s="26" t="s">
        <v>421</v>
      </c>
      <c r="B189" s="26" t="s">
        <v>8</v>
      </c>
      <c r="C189" s="26" t="s">
        <v>776</v>
      </c>
      <c r="D189" s="28">
        <v>46289.916666666701</v>
      </c>
      <c r="E189" s="28">
        <v>46290.229166666701</v>
      </c>
      <c r="F189" s="26" t="s">
        <v>777</v>
      </c>
    </row>
    <row r="190" spans="1:6" ht="46.5" x14ac:dyDescent="0.35">
      <c r="A190" s="26" t="s">
        <v>421</v>
      </c>
      <c r="B190" s="26" t="s">
        <v>8</v>
      </c>
      <c r="C190" s="26" t="s">
        <v>991</v>
      </c>
      <c r="D190" s="28">
        <v>46289.916666666701</v>
      </c>
      <c r="E190" s="28">
        <v>46290.229166666701</v>
      </c>
      <c r="F190" s="26" t="s">
        <v>992</v>
      </c>
    </row>
    <row r="191" spans="1:6" ht="46.5" x14ac:dyDescent="0.35">
      <c r="A191" s="26" t="s">
        <v>421</v>
      </c>
      <c r="B191" s="26" t="s">
        <v>7</v>
      </c>
      <c r="C191" s="26" t="s">
        <v>1124</v>
      </c>
      <c r="D191" s="28">
        <v>46289.916666666701</v>
      </c>
      <c r="E191" s="28">
        <v>46290.229166666701</v>
      </c>
      <c r="F191" s="26" t="s">
        <v>1125</v>
      </c>
    </row>
    <row r="192" spans="1:6" ht="62" x14ac:dyDescent="0.35">
      <c r="A192" s="26" t="s">
        <v>421</v>
      </c>
      <c r="B192" s="26" t="s">
        <v>24</v>
      </c>
      <c r="C192" s="26" t="s">
        <v>1126</v>
      </c>
      <c r="D192" s="28">
        <v>46289.916666666701</v>
      </c>
      <c r="E192" s="28">
        <v>46290.229166666701</v>
      </c>
      <c r="F192" s="26" t="s">
        <v>1127</v>
      </c>
    </row>
    <row r="193" spans="1:6" ht="46.5" x14ac:dyDescent="0.35">
      <c r="A193" s="26" t="s">
        <v>349</v>
      </c>
      <c r="B193" s="26" t="s">
        <v>5</v>
      </c>
      <c r="C193" s="26" t="s">
        <v>350</v>
      </c>
      <c r="D193" s="28">
        <v>46289.875</v>
      </c>
      <c r="E193" s="28">
        <v>46290.25</v>
      </c>
      <c r="F193" s="26" t="s">
        <v>351</v>
      </c>
    </row>
    <row r="194" spans="1:6" ht="46.5" x14ac:dyDescent="0.35">
      <c r="A194" s="26" t="s">
        <v>349</v>
      </c>
      <c r="B194" s="26" t="s">
        <v>4</v>
      </c>
      <c r="C194" s="26" t="s">
        <v>1099</v>
      </c>
      <c r="D194" s="28">
        <v>46289.875</v>
      </c>
      <c r="E194" s="28">
        <v>46290.25</v>
      </c>
      <c r="F194" s="26" t="s">
        <v>1100</v>
      </c>
    </row>
    <row r="195" spans="1:6" ht="46.5" x14ac:dyDescent="0.35">
      <c r="A195" s="26" t="s">
        <v>349</v>
      </c>
      <c r="B195" s="26" t="s">
        <v>4</v>
      </c>
      <c r="C195" s="26" t="s">
        <v>1101</v>
      </c>
      <c r="D195" s="28">
        <v>46289.875</v>
      </c>
      <c r="E195" s="28">
        <v>46290.25</v>
      </c>
      <c r="F195" s="26" t="s">
        <v>1100</v>
      </c>
    </row>
    <row r="196" spans="1:6" ht="46.5" x14ac:dyDescent="0.35">
      <c r="A196" s="26" t="s">
        <v>324</v>
      </c>
      <c r="B196" s="26" t="s">
        <v>2</v>
      </c>
      <c r="C196" s="26" t="s">
        <v>325</v>
      </c>
      <c r="D196" s="28">
        <v>46237.25</v>
      </c>
      <c r="E196" s="28">
        <v>46692.25</v>
      </c>
      <c r="F196" s="26" t="s">
        <v>326</v>
      </c>
    </row>
    <row r="197" spans="1:6" ht="46.5" x14ac:dyDescent="0.35">
      <c r="A197" s="26" t="s">
        <v>373</v>
      </c>
      <c r="B197" s="26" t="s">
        <v>5</v>
      </c>
      <c r="C197" s="26" t="s">
        <v>1096</v>
      </c>
      <c r="D197" s="28">
        <v>46289.875</v>
      </c>
      <c r="E197" s="28">
        <v>46290.25</v>
      </c>
      <c r="F197" s="26" t="s">
        <v>1097</v>
      </c>
    </row>
    <row r="198" spans="1:6" ht="46.5" x14ac:dyDescent="0.35">
      <c r="A198" s="26" t="s">
        <v>373</v>
      </c>
      <c r="B198" s="26" t="s">
        <v>5</v>
      </c>
      <c r="C198" s="26" t="s">
        <v>1098</v>
      </c>
      <c r="D198" s="28">
        <v>46289.875</v>
      </c>
      <c r="E198" s="28">
        <v>46290.25</v>
      </c>
      <c r="F198" s="26" t="s">
        <v>1097</v>
      </c>
    </row>
    <row r="199" spans="1:6" ht="46.5" x14ac:dyDescent="0.35">
      <c r="A199" s="26" t="s">
        <v>373</v>
      </c>
      <c r="B199" s="26" t="s">
        <v>5</v>
      </c>
      <c r="C199" s="26" t="s">
        <v>1115</v>
      </c>
      <c r="D199" s="28">
        <v>46289.916666666701</v>
      </c>
      <c r="E199" s="28">
        <v>46290.229166666701</v>
      </c>
      <c r="F199" s="26" t="s">
        <v>1116</v>
      </c>
    </row>
    <row r="200" spans="1:6" ht="31" x14ac:dyDescent="0.35">
      <c r="A200" s="26" t="s">
        <v>373</v>
      </c>
      <c r="B200" s="26" t="s">
        <v>4</v>
      </c>
      <c r="C200" s="26" t="s">
        <v>1117</v>
      </c>
      <c r="D200" s="28">
        <v>46289.916666666701</v>
      </c>
      <c r="E200" s="28">
        <v>46290.229166666701</v>
      </c>
      <c r="F200" s="26" t="s">
        <v>1118</v>
      </c>
    </row>
    <row r="201" spans="1:6" ht="31" x14ac:dyDescent="0.35">
      <c r="A201" s="26" t="s">
        <v>67</v>
      </c>
      <c r="B201" s="26" t="s">
        <v>6</v>
      </c>
      <c r="C201" s="26" t="s">
        <v>859</v>
      </c>
      <c r="D201" s="28">
        <v>46289.927083333299</v>
      </c>
      <c r="E201" s="28">
        <v>46290.25</v>
      </c>
      <c r="F201" s="26" t="s">
        <v>860</v>
      </c>
    </row>
    <row r="202" spans="1:6" ht="46.5" x14ac:dyDescent="0.35">
      <c r="A202" s="26" t="s">
        <v>67</v>
      </c>
      <c r="B202" s="26" t="s">
        <v>6</v>
      </c>
      <c r="C202" s="26" t="s">
        <v>1035</v>
      </c>
      <c r="D202" s="28">
        <v>46289.927083333299</v>
      </c>
      <c r="E202" s="28">
        <v>46290.25</v>
      </c>
      <c r="F202" s="26" t="s">
        <v>1036</v>
      </c>
    </row>
    <row r="203" spans="1:6" ht="46.5" x14ac:dyDescent="0.35">
      <c r="A203" s="26" t="s">
        <v>67</v>
      </c>
      <c r="B203" s="26" t="s">
        <v>2</v>
      </c>
      <c r="C203" s="26" t="s">
        <v>1037</v>
      </c>
      <c r="D203" s="28">
        <v>46289.927083333299</v>
      </c>
      <c r="E203" s="28">
        <v>46290.25</v>
      </c>
      <c r="F203" s="26" t="s">
        <v>1038</v>
      </c>
    </row>
    <row r="204" spans="1:6" ht="46.5" x14ac:dyDescent="0.35">
      <c r="A204" s="26" t="s">
        <v>67</v>
      </c>
      <c r="B204" s="26" t="s">
        <v>5</v>
      </c>
      <c r="C204" s="26" t="s">
        <v>989</v>
      </c>
      <c r="D204" s="28">
        <v>46289.916666666701</v>
      </c>
      <c r="E204" s="28">
        <v>46290.229166666701</v>
      </c>
      <c r="F204" s="26" t="s">
        <v>990</v>
      </c>
    </row>
    <row r="205" spans="1:6" ht="46.5" x14ac:dyDescent="0.35">
      <c r="A205" s="26" t="s">
        <v>540</v>
      </c>
      <c r="B205" s="26" t="s">
        <v>2</v>
      </c>
      <c r="C205" s="26" t="s">
        <v>1011</v>
      </c>
      <c r="D205" s="28">
        <v>46289.875</v>
      </c>
      <c r="E205" s="28">
        <v>46290.25</v>
      </c>
      <c r="F205" s="26" t="s">
        <v>1010</v>
      </c>
    </row>
    <row r="206" spans="1:6" ht="46.5" x14ac:dyDescent="0.35">
      <c r="A206" s="26" t="s">
        <v>540</v>
      </c>
      <c r="B206" s="26" t="s">
        <v>6</v>
      </c>
      <c r="C206" s="26" t="s">
        <v>1012</v>
      </c>
      <c r="D206" s="28">
        <v>46289.875</v>
      </c>
      <c r="E206" s="28">
        <v>46290.25</v>
      </c>
      <c r="F206" s="26" t="s">
        <v>1010</v>
      </c>
    </row>
    <row r="207" spans="1:6" ht="46.5" x14ac:dyDescent="0.35">
      <c r="A207" s="26" t="s">
        <v>540</v>
      </c>
      <c r="B207" s="26" t="s">
        <v>6</v>
      </c>
      <c r="C207" s="26" t="s">
        <v>550</v>
      </c>
      <c r="D207" s="28">
        <v>46289.875</v>
      </c>
      <c r="E207" s="28">
        <v>46290.25</v>
      </c>
      <c r="F207" s="26" t="s">
        <v>551</v>
      </c>
    </row>
    <row r="208" spans="1:6" ht="46.5" x14ac:dyDescent="0.35">
      <c r="A208" s="26" t="s">
        <v>540</v>
      </c>
      <c r="B208" s="26" t="s">
        <v>6</v>
      </c>
      <c r="C208" s="26" t="s">
        <v>1021</v>
      </c>
      <c r="D208" s="28">
        <v>46289.875</v>
      </c>
      <c r="E208" s="28">
        <v>46290.25</v>
      </c>
      <c r="F208" s="26" t="s">
        <v>1022</v>
      </c>
    </row>
    <row r="209" spans="1:6" ht="46.5" x14ac:dyDescent="0.35">
      <c r="A209" s="26" t="s">
        <v>518</v>
      </c>
      <c r="B209" s="26" t="s">
        <v>5</v>
      </c>
      <c r="C209" s="26" t="s">
        <v>1135</v>
      </c>
      <c r="D209" s="28">
        <v>46289.833333333299</v>
      </c>
      <c r="E209" s="28">
        <v>46290.25</v>
      </c>
      <c r="F209" s="26" t="s">
        <v>1136</v>
      </c>
    </row>
    <row r="210" spans="1:6" ht="46.5" x14ac:dyDescent="0.35">
      <c r="A210" s="26" t="s">
        <v>495</v>
      </c>
      <c r="B210" s="26" t="s">
        <v>2</v>
      </c>
      <c r="C210" s="26" t="s">
        <v>1015</v>
      </c>
      <c r="D210" s="28">
        <v>46289.875</v>
      </c>
      <c r="E210" s="28">
        <v>46290.25</v>
      </c>
      <c r="F210" s="26" t="s">
        <v>1016</v>
      </c>
    </row>
    <row r="211" spans="1:6" ht="62" x14ac:dyDescent="0.35">
      <c r="A211" s="26" t="s">
        <v>495</v>
      </c>
      <c r="B211" s="26" t="s">
        <v>2</v>
      </c>
      <c r="C211" s="26" t="s">
        <v>1017</v>
      </c>
      <c r="D211" s="28">
        <v>46289.875</v>
      </c>
      <c r="E211" s="28">
        <v>46290.25</v>
      </c>
      <c r="F211" s="26" t="s">
        <v>1016</v>
      </c>
    </row>
    <row r="212" spans="1:6" ht="46.5" x14ac:dyDescent="0.35">
      <c r="A212" s="26" t="s">
        <v>495</v>
      </c>
      <c r="B212" s="26" t="s">
        <v>24</v>
      </c>
      <c r="C212" s="26" t="s">
        <v>1018</v>
      </c>
      <c r="D212" s="28">
        <v>46289.875</v>
      </c>
      <c r="E212" s="28">
        <v>46290.25</v>
      </c>
      <c r="F212" s="26" t="s">
        <v>1016</v>
      </c>
    </row>
    <row r="213" spans="1:6" ht="46.5" x14ac:dyDescent="0.35">
      <c r="A213" s="26" t="s">
        <v>495</v>
      </c>
      <c r="B213" s="26" t="s">
        <v>6</v>
      </c>
      <c r="C213" s="26" t="s">
        <v>552</v>
      </c>
      <c r="D213" s="28">
        <v>46289.875</v>
      </c>
      <c r="E213" s="28">
        <v>46290.25</v>
      </c>
      <c r="F213" s="26" t="s">
        <v>551</v>
      </c>
    </row>
    <row r="214" spans="1:6" ht="77.5" x14ac:dyDescent="0.35">
      <c r="A214" s="26" t="s">
        <v>237</v>
      </c>
      <c r="B214" s="26" t="s">
        <v>2</v>
      </c>
      <c r="C214" s="26" t="s">
        <v>238</v>
      </c>
      <c r="D214" s="28">
        <v>46289.833333333299</v>
      </c>
      <c r="E214" s="28">
        <v>46290.25</v>
      </c>
      <c r="F214" s="26" t="s">
        <v>236</v>
      </c>
    </row>
    <row r="215" spans="1:6" ht="46.5" x14ac:dyDescent="0.35">
      <c r="A215" s="26" t="s">
        <v>237</v>
      </c>
      <c r="B215" s="26" t="s">
        <v>2</v>
      </c>
      <c r="C215" s="26" t="s">
        <v>239</v>
      </c>
      <c r="D215" s="28">
        <v>46289.833333333299</v>
      </c>
      <c r="E215" s="28">
        <v>46290.25</v>
      </c>
      <c r="F215" s="26" t="s">
        <v>236</v>
      </c>
    </row>
    <row r="216" spans="1:6" ht="46.5" x14ac:dyDescent="0.35">
      <c r="A216" s="26" t="s">
        <v>237</v>
      </c>
      <c r="B216" s="26" t="s">
        <v>2</v>
      </c>
      <c r="C216" s="26" t="s">
        <v>240</v>
      </c>
      <c r="D216" s="28">
        <v>46289.833333333299</v>
      </c>
      <c r="E216" s="28">
        <v>46290.25</v>
      </c>
      <c r="F216" s="26" t="s">
        <v>236</v>
      </c>
    </row>
    <row r="217" spans="1:6" ht="46.5" x14ac:dyDescent="0.35">
      <c r="A217" s="26" t="s">
        <v>237</v>
      </c>
      <c r="B217" s="26" t="s">
        <v>2</v>
      </c>
      <c r="C217" s="26" t="s">
        <v>241</v>
      </c>
      <c r="D217" s="28">
        <v>46289.833333333299</v>
      </c>
      <c r="E217" s="28">
        <v>46290.25</v>
      </c>
      <c r="F217" s="26" t="s">
        <v>236</v>
      </c>
    </row>
    <row r="218" spans="1:6" ht="46.5" x14ac:dyDescent="0.35">
      <c r="A218" s="26" t="s">
        <v>237</v>
      </c>
      <c r="B218" s="26" t="s">
        <v>2</v>
      </c>
      <c r="C218" s="26" t="s">
        <v>242</v>
      </c>
      <c r="D218" s="28">
        <v>46289.833333333299</v>
      </c>
      <c r="E218" s="28">
        <v>46290.25</v>
      </c>
      <c r="F218" s="26" t="s">
        <v>236</v>
      </c>
    </row>
    <row r="219" spans="1:6" ht="31" x14ac:dyDescent="0.35">
      <c r="A219" s="26" t="s">
        <v>237</v>
      </c>
      <c r="B219" s="26" t="s">
        <v>2</v>
      </c>
      <c r="C219" s="26" t="s">
        <v>243</v>
      </c>
      <c r="D219" s="28">
        <v>46289.833333333299</v>
      </c>
      <c r="E219" s="28">
        <v>46290.25</v>
      </c>
      <c r="F219" s="26" t="s">
        <v>236</v>
      </c>
    </row>
    <row r="220" spans="1:6" ht="62" x14ac:dyDescent="0.35">
      <c r="A220" s="26" t="s">
        <v>237</v>
      </c>
      <c r="B220" s="26" t="s">
        <v>6</v>
      </c>
      <c r="C220" s="26" t="s">
        <v>911</v>
      </c>
      <c r="D220" s="28">
        <v>46289.833333333299</v>
      </c>
      <c r="E220" s="28">
        <v>46290.25</v>
      </c>
      <c r="F220" s="26" t="s">
        <v>912</v>
      </c>
    </row>
    <row r="221" spans="1:6" ht="62" x14ac:dyDescent="0.35">
      <c r="A221" s="26" t="s">
        <v>237</v>
      </c>
      <c r="B221" s="26" t="s">
        <v>6</v>
      </c>
      <c r="C221" s="26" t="s">
        <v>913</v>
      </c>
      <c r="D221" s="28">
        <v>46289.833333333299</v>
      </c>
      <c r="E221" s="28">
        <v>46290.25</v>
      </c>
      <c r="F221" s="26" t="s">
        <v>912</v>
      </c>
    </row>
    <row r="222" spans="1:6" ht="46.5" x14ac:dyDescent="0.35">
      <c r="A222" s="26" t="s">
        <v>237</v>
      </c>
      <c r="B222" s="26" t="s">
        <v>6</v>
      </c>
      <c r="C222" s="26" t="s">
        <v>914</v>
      </c>
      <c r="D222" s="28">
        <v>46289.833333333299</v>
      </c>
      <c r="E222" s="28">
        <v>46290.25</v>
      </c>
      <c r="F222" s="26" t="s">
        <v>912</v>
      </c>
    </row>
    <row r="223" spans="1:6" ht="46.5" x14ac:dyDescent="0.35">
      <c r="A223" s="26" t="s">
        <v>237</v>
      </c>
      <c r="B223" s="26" t="s">
        <v>5</v>
      </c>
      <c r="C223" s="26" t="s">
        <v>278</v>
      </c>
      <c r="D223" s="28">
        <v>46289.833333333299</v>
      </c>
      <c r="E223" s="28">
        <v>46290.208333333299</v>
      </c>
      <c r="F223" s="26" t="s">
        <v>279</v>
      </c>
    </row>
    <row r="224" spans="1:6" ht="62" x14ac:dyDescent="0.35">
      <c r="A224" s="26" t="s">
        <v>817</v>
      </c>
      <c r="B224" s="26" t="s">
        <v>4</v>
      </c>
      <c r="C224" s="26" t="s">
        <v>818</v>
      </c>
      <c r="D224" s="28">
        <v>46289.875</v>
      </c>
      <c r="E224" s="28">
        <v>46290.25</v>
      </c>
      <c r="F224" s="26" t="s">
        <v>816</v>
      </c>
    </row>
    <row r="225" spans="1:6" ht="46.5" x14ac:dyDescent="0.35">
      <c r="A225" s="26" t="s">
        <v>234</v>
      </c>
      <c r="B225" s="26" t="s">
        <v>5</v>
      </c>
      <c r="C225" s="26" t="s">
        <v>235</v>
      </c>
      <c r="D225" s="28">
        <v>46289.833333333299</v>
      </c>
      <c r="E225" s="28">
        <v>46290.25</v>
      </c>
      <c r="F225" s="26" t="s">
        <v>236</v>
      </c>
    </row>
    <row r="226" spans="1:6" ht="46.5" x14ac:dyDescent="0.35">
      <c r="A226" s="26" t="s">
        <v>234</v>
      </c>
      <c r="B226" s="26" t="s">
        <v>4</v>
      </c>
      <c r="C226" s="26" t="s">
        <v>746</v>
      </c>
      <c r="D226" s="28">
        <v>46289.875</v>
      </c>
      <c r="E226" s="28">
        <v>46290.25</v>
      </c>
      <c r="F226" s="26" t="s">
        <v>277</v>
      </c>
    </row>
    <row r="227" spans="1:6" ht="77.5" x14ac:dyDescent="0.35">
      <c r="A227" s="26" t="s">
        <v>234</v>
      </c>
      <c r="B227" s="26" t="s">
        <v>4</v>
      </c>
      <c r="C227" s="26" t="s">
        <v>929</v>
      </c>
      <c r="D227" s="28">
        <v>46289.875</v>
      </c>
      <c r="E227" s="28">
        <v>46290.25</v>
      </c>
      <c r="F227" s="26" t="s">
        <v>277</v>
      </c>
    </row>
    <row r="228" spans="1:6" ht="62" x14ac:dyDescent="0.35">
      <c r="A228" s="26" t="s">
        <v>231</v>
      </c>
      <c r="B228" s="26" t="s">
        <v>6</v>
      </c>
      <c r="C228" s="26" t="s">
        <v>232</v>
      </c>
      <c r="D228" s="28">
        <v>45804.208333333299</v>
      </c>
      <c r="E228" s="28">
        <v>46418.208333333299</v>
      </c>
      <c r="F228" s="26" t="s">
        <v>233</v>
      </c>
    </row>
    <row r="229" spans="1:6" ht="62" x14ac:dyDescent="0.35">
      <c r="A229" s="26" t="s">
        <v>231</v>
      </c>
      <c r="B229" s="26" t="s">
        <v>2</v>
      </c>
      <c r="C229" s="26" t="s">
        <v>269</v>
      </c>
      <c r="D229" s="28">
        <v>46267.833333333299</v>
      </c>
      <c r="E229" s="28">
        <v>46323.25</v>
      </c>
      <c r="F229" s="26" t="s">
        <v>270</v>
      </c>
    </row>
    <row r="230" spans="1:6" ht="77.5" x14ac:dyDescent="0.35">
      <c r="A230" s="26" t="s">
        <v>93</v>
      </c>
      <c r="B230" s="26" t="s">
        <v>6</v>
      </c>
      <c r="C230" s="26" t="s">
        <v>94</v>
      </c>
      <c r="D230" s="28">
        <v>46289.833333333299</v>
      </c>
      <c r="E230" s="28">
        <v>46290.25</v>
      </c>
      <c r="F230" s="26" t="s">
        <v>95</v>
      </c>
    </row>
    <row r="231" spans="1:6" ht="46.5" x14ac:dyDescent="0.35">
      <c r="A231" s="26" t="s">
        <v>93</v>
      </c>
      <c r="B231" s="26" t="s">
        <v>6</v>
      </c>
      <c r="C231" s="26" t="s">
        <v>1085</v>
      </c>
      <c r="D231" s="28">
        <v>46289.916666666701</v>
      </c>
      <c r="E231" s="28">
        <v>46290.25</v>
      </c>
      <c r="F231" s="26" t="s">
        <v>1086</v>
      </c>
    </row>
    <row r="232" spans="1:6" ht="46.5" x14ac:dyDescent="0.35">
      <c r="A232" s="26" t="s">
        <v>93</v>
      </c>
      <c r="B232" s="26" t="s">
        <v>6</v>
      </c>
      <c r="C232" s="26" t="s">
        <v>932</v>
      </c>
      <c r="D232" s="28">
        <v>46289.875</v>
      </c>
      <c r="E232" s="28">
        <v>46290.25</v>
      </c>
      <c r="F232" s="26" t="s">
        <v>933</v>
      </c>
    </row>
    <row r="233" spans="1:6" ht="62" x14ac:dyDescent="0.35">
      <c r="A233" s="26" t="s">
        <v>93</v>
      </c>
      <c r="B233" s="26" t="s">
        <v>6</v>
      </c>
      <c r="C233" s="26" t="s">
        <v>934</v>
      </c>
      <c r="D233" s="28">
        <v>46289.875</v>
      </c>
      <c r="E233" s="28">
        <v>46290.25</v>
      </c>
      <c r="F233" s="26" t="s">
        <v>933</v>
      </c>
    </row>
    <row r="234" spans="1:6" ht="62" x14ac:dyDescent="0.35">
      <c r="A234" s="26" t="s">
        <v>93</v>
      </c>
      <c r="B234" s="26" t="s">
        <v>6</v>
      </c>
      <c r="C234" s="26" t="s">
        <v>306</v>
      </c>
      <c r="D234" s="28">
        <v>46289.875</v>
      </c>
      <c r="E234" s="28">
        <v>46290.25</v>
      </c>
      <c r="F234" s="26" t="s">
        <v>307</v>
      </c>
    </row>
    <row r="235" spans="1:6" ht="62" x14ac:dyDescent="0.35">
      <c r="A235" s="26" t="s">
        <v>93</v>
      </c>
      <c r="B235" s="26" t="s">
        <v>2</v>
      </c>
      <c r="C235" s="26" t="s">
        <v>815</v>
      </c>
      <c r="D235" s="28">
        <v>46289.875</v>
      </c>
      <c r="E235" s="28">
        <v>46290.25</v>
      </c>
      <c r="F235" s="26" t="s">
        <v>816</v>
      </c>
    </row>
    <row r="236" spans="1:6" ht="46.5" x14ac:dyDescent="0.35">
      <c r="A236" s="26" t="s">
        <v>93</v>
      </c>
      <c r="B236" s="26" t="s">
        <v>2</v>
      </c>
      <c r="C236" s="26" t="s">
        <v>819</v>
      </c>
      <c r="D236" s="28">
        <v>46289.916666666701</v>
      </c>
      <c r="E236" s="28">
        <v>46290.25</v>
      </c>
      <c r="F236" s="26" t="s">
        <v>816</v>
      </c>
    </row>
    <row r="237" spans="1:6" ht="93" x14ac:dyDescent="0.35">
      <c r="A237" s="26" t="s">
        <v>93</v>
      </c>
      <c r="B237" s="26" t="s">
        <v>6</v>
      </c>
      <c r="C237" s="26" t="s">
        <v>1009</v>
      </c>
      <c r="D237" s="28">
        <v>46289.875</v>
      </c>
      <c r="E237" s="28">
        <v>46290.25</v>
      </c>
      <c r="F237" s="26" t="s">
        <v>1010</v>
      </c>
    </row>
    <row r="238" spans="1:6" ht="77.5" x14ac:dyDescent="0.35">
      <c r="A238" s="26" t="s">
        <v>93</v>
      </c>
      <c r="B238" s="26" t="s">
        <v>6</v>
      </c>
      <c r="C238" s="26" t="s">
        <v>1137</v>
      </c>
      <c r="D238" s="28">
        <v>46289.875</v>
      </c>
      <c r="E238" s="28">
        <v>46290.25</v>
      </c>
      <c r="F238" s="26" t="s">
        <v>1138</v>
      </c>
    </row>
    <row r="239" spans="1:6" ht="77.5" x14ac:dyDescent="0.35">
      <c r="A239" s="26" t="s">
        <v>93</v>
      </c>
      <c r="B239" s="26" t="s">
        <v>2</v>
      </c>
      <c r="C239" s="26" t="s">
        <v>1143</v>
      </c>
      <c r="D239" s="28">
        <v>46289.916666666701</v>
      </c>
      <c r="E239" s="28">
        <v>46290.25</v>
      </c>
      <c r="F239" s="26" t="s">
        <v>1144</v>
      </c>
    </row>
    <row r="240" spans="1:6" ht="77.5" x14ac:dyDescent="0.35">
      <c r="A240" s="26" t="s">
        <v>250</v>
      </c>
      <c r="B240" s="26" t="s">
        <v>7</v>
      </c>
      <c r="C240" s="26" t="s">
        <v>1080</v>
      </c>
      <c r="D240" s="28">
        <v>46289.958333333299</v>
      </c>
      <c r="E240" s="28">
        <v>46290.25</v>
      </c>
      <c r="F240" s="26" t="s">
        <v>252</v>
      </c>
    </row>
    <row r="241" spans="1:6" ht="77.5" x14ac:dyDescent="0.35">
      <c r="A241" s="26" t="s">
        <v>250</v>
      </c>
      <c r="B241" s="26" t="s">
        <v>8</v>
      </c>
      <c r="C241" s="26" t="s">
        <v>259</v>
      </c>
      <c r="D241" s="28">
        <v>46289.875</v>
      </c>
      <c r="E241" s="28">
        <v>46290.25</v>
      </c>
      <c r="F241" s="26" t="s">
        <v>260</v>
      </c>
    </row>
    <row r="242" spans="1:6" ht="62" x14ac:dyDescent="0.35">
      <c r="A242" s="26" t="s">
        <v>250</v>
      </c>
      <c r="B242" s="26" t="s">
        <v>7</v>
      </c>
      <c r="C242" s="26" t="s">
        <v>261</v>
      </c>
      <c r="D242" s="28">
        <v>46289.875</v>
      </c>
      <c r="E242" s="28">
        <v>46290.25</v>
      </c>
      <c r="F242" s="26" t="s">
        <v>260</v>
      </c>
    </row>
    <row r="243" spans="1:6" ht="62" x14ac:dyDescent="0.35">
      <c r="A243" s="26" t="s">
        <v>250</v>
      </c>
      <c r="B243" s="26" t="s">
        <v>7</v>
      </c>
      <c r="C243" s="26" t="s">
        <v>271</v>
      </c>
      <c r="D243" s="28">
        <v>46289.875</v>
      </c>
      <c r="E243" s="28">
        <v>46290.25</v>
      </c>
      <c r="F243" s="26" t="s">
        <v>272</v>
      </c>
    </row>
    <row r="244" spans="1:6" ht="62" x14ac:dyDescent="0.35">
      <c r="A244" s="26" t="s">
        <v>155</v>
      </c>
      <c r="B244" s="26" t="s">
        <v>6</v>
      </c>
      <c r="C244" s="26" t="s">
        <v>880</v>
      </c>
      <c r="D244" s="28">
        <v>46289.833333333299</v>
      </c>
      <c r="E244" s="28">
        <v>46290.25</v>
      </c>
      <c r="F244" s="26" t="s">
        <v>881</v>
      </c>
    </row>
    <row r="245" spans="1:6" ht="93" x14ac:dyDescent="0.35">
      <c r="A245" s="26" t="s">
        <v>155</v>
      </c>
      <c r="B245" s="26" t="s">
        <v>6</v>
      </c>
      <c r="C245" s="26" t="s">
        <v>882</v>
      </c>
      <c r="D245" s="28">
        <v>46289.833333333299</v>
      </c>
      <c r="E245" s="28">
        <v>46290.25</v>
      </c>
      <c r="F245" s="26" t="s">
        <v>881</v>
      </c>
    </row>
    <row r="246" spans="1:6" ht="46.5" x14ac:dyDescent="0.35">
      <c r="A246" s="26" t="s">
        <v>155</v>
      </c>
      <c r="B246" s="26" t="s">
        <v>6</v>
      </c>
      <c r="C246" s="26" t="s">
        <v>883</v>
      </c>
      <c r="D246" s="28">
        <v>46289.833333333299</v>
      </c>
      <c r="E246" s="28">
        <v>46290.25</v>
      </c>
      <c r="F246" s="26" t="s">
        <v>881</v>
      </c>
    </row>
    <row r="247" spans="1:6" ht="62" x14ac:dyDescent="0.35">
      <c r="A247" s="26" t="s">
        <v>155</v>
      </c>
      <c r="B247" s="26" t="s">
        <v>6</v>
      </c>
      <c r="C247" s="26" t="s">
        <v>884</v>
      </c>
      <c r="D247" s="28">
        <v>46289.833333333299</v>
      </c>
      <c r="E247" s="28">
        <v>46290.25</v>
      </c>
      <c r="F247" s="26" t="s">
        <v>881</v>
      </c>
    </row>
    <row r="248" spans="1:6" ht="124" x14ac:dyDescent="0.35">
      <c r="A248" s="26" t="s">
        <v>155</v>
      </c>
      <c r="B248" s="26" t="s">
        <v>6</v>
      </c>
      <c r="C248" s="26" t="s">
        <v>885</v>
      </c>
      <c r="D248" s="28">
        <v>46289.833333333299</v>
      </c>
      <c r="E248" s="28">
        <v>46290.25</v>
      </c>
      <c r="F248" s="26" t="s">
        <v>881</v>
      </c>
    </row>
    <row r="249" spans="1:6" ht="108.5" x14ac:dyDescent="0.35">
      <c r="A249" s="26" t="s">
        <v>155</v>
      </c>
      <c r="B249" s="26" t="s">
        <v>6</v>
      </c>
      <c r="C249" s="26" t="s">
        <v>886</v>
      </c>
      <c r="D249" s="28">
        <v>46289.833333333299</v>
      </c>
      <c r="E249" s="28">
        <v>46290.25</v>
      </c>
      <c r="F249" s="26" t="s">
        <v>881</v>
      </c>
    </row>
    <row r="250" spans="1:6" ht="46.5" x14ac:dyDescent="0.35">
      <c r="A250" s="26" t="s">
        <v>267</v>
      </c>
      <c r="B250" s="26" t="s">
        <v>6</v>
      </c>
      <c r="C250" s="26" t="s">
        <v>1087</v>
      </c>
      <c r="D250" s="28">
        <v>46289.916666666701</v>
      </c>
      <c r="E250" s="28">
        <v>46290.25</v>
      </c>
      <c r="F250" s="26" t="s">
        <v>1086</v>
      </c>
    </row>
    <row r="251" spans="1:6" ht="46.5" x14ac:dyDescent="0.35">
      <c r="A251" s="26" t="s">
        <v>267</v>
      </c>
      <c r="B251" s="26" t="s">
        <v>6</v>
      </c>
      <c r="C251" s="26" t="s">
        <v>1088</v>
      </c>
      <c r="D251" s="28">
        <v>46289.916666666701</v>
      </c>
      <c r="E251" s="28">
        <v>46290.25</v>
      </c>
      <c r="F251" s="26" t="s">
        <v>1086</v>
      </c>
    </row>
    <row r="252" spans="1:6" ht="46.5" x14ac:dyDescent="0.35">
      <c r="A252" s="26" t="s">
        <v>267</v>
      </c>
      <c r="B252" s="26" t="s">
        <v>6</v>
      </c>
      <c r="C252" s="26" t="s">
        <v>1089</v>
      </c>
      <c r="D252" s="28">
        <v>46289.916666666701</v>
      </c>
      <c r="E252" s="28">
        <v>46290.25</v>
      </c>
      <c r="F252" s="26" t="s">
        <v>931</v>
      </c>
    </row>
    <row r="253" spans="1:6" ht="77.5" x14ac:dyDescent="0.35">
      <c r="A253" s="26" t="s">
        <v>125</v>
      </c>
      <c r="B253" s="26" t="s">
        <v>4</v>
      </c>
      <c r="C253" s="26" t="s">
        <v>126</v>
      </c>
      <c r="D253" s="28">
        <v>46289.25</v>
      </c>
      <c r="E253" s="28">
        <v>46289.833333333299</v>
      </c>
      <c r="F253" s="26" t="s">
        <v>127</v>
      </c>
    </row>
    <row r="254" spans="1:6" ht="62" x14ac:dyDescent="0.35">
      <c r="A254" s="26" t="s">
        <v>125</v>
      </c>
      <c r="B254" s="26" t="s">
        <v>4</v>
      </c>
      <c r="C254" s="26" t="s">
        <v>1051</v>
      </c>
      <c r="D254" s="28">
        <v>46289.833333333299</v>
      </c>
      <c r="E254" s="28">
        <v>46290.25</v>
      </c>
      <c r="F254" s="26" t="s">
        <v>127</v>
      </c>
    </row>
    <row r="255" spans="1:6" ht="124" x14ac:dyDescent="0.35">
      <c r="A255" s="26" t="s">
        <v>125</v>
      </c>
      <c r="B255" s="26" t="s">
        <v>4</v>
      </c>
      <c r="C255" s="26" t="s">
        <v>1052</v>
      </c>
      <c r="D255" s="28">
        <v>46289.833333333299</v>
      </c>
      <c r="E255" s="28">
        <v>46290.25</v>
      </c>
      <c r="F255" s="26" t="s">
        <v>127</v>
      </c>
    </row>
    <row r="256" spans="1:6" ht="124" x14ac:dyDescent="0.35">
      <c r="A256" s="26" t="s">
        <v>125</v>
      </c>
      <c r="B256" s="26" t="s">
        <v>4</v>
      </c>
      <c r="C256" s="26" t="s">
        <v>1053</v>
      </c>
      <c r="D256" s="28">
        <v>46289.833333333299</v>
      </c>
      <c r="E256" s="28">
        <v>46290.25</v>
      </c>
      <c r="F256" s="26" t="s">
        <v>127</v>
      </c>
    </row>
    <row r="257" spans="1:6" ht="139.5" x14ac:dyDescent="0.35">
      <c r="A257" s="26" t="s">
        <v>125</v>
      </c>
      <c r="B257" s="26" t="s">
        <v>4</v>
      </c>
      <c r="C257" s="26" t="s">
        <v>126</v>
      </c>
      <c r="D257" s="28">
        <v>46290.25</v>
      </c>
      <c r="E257" s="28">
        <v>46502.25</v>
      </c>
      <c r="F257" s="26" t="s">
        <v>127</v>
      </c>
    </row>
    <row r="258" spans="1:6" ht="77.5" x14ac:dyDescent="0.35">
      <c r="A258" s="26" t="s">
        <v>125</v>
      </c>
      <c r="B258" s="26" t="s">
        <v>5</v>
      </c>
      <c r="C258" s="26" t="s">
        <v>148</v>
      </c>
      <c r="D258" s="28">
        <v>46289.833333333299</v>
      </c>
      <c r="E258" s="28">
        <v>46290.25</v>
      </c>
      <c r="F258" s="26" t="s">
        <v>149</v>
      </c>
    </row>
    <row r="259" spans="1:6" ht="77.5" x14ac:dyDescent="0.35">
      <c r="A259" s="26" t="s">
        <v>125</v>
      </c>
      <c r="B259" s="26" t="s">
        <v>5</v>
      </c>
      <c r="C259" s="26" t="s">
        <v>150</v>
      </c>
      <c r="D259" s="28">
        <v>46289.833333333299</v>
      </c>
      <c r="E259" s="28">
        <v>46290.25</v>
      </c>
      <c r="F259" s="26" t="s">
        <v>149</v>
      </c>
    </row>
    <row r="260" spans="1:6" ht="77.5" x14ac:dyDescent="0.35">
      <c r="A260" s="26" t="s">
        <v>125</v>
      </c>
      <c r="B260" s="26" t="s">
        <v>5</v>
      </c>
      <c r="C260" s="26" t="s">
        <v>151</v>
      </c>
      <c r="D260" s="28">
        <v>46289.833333333299</v>
      </c>
      <c r="E260" s="28">
        <v>46290.25</v>
      </c>
      <c r="F260" s="26" t="s">
        <v>149</v>
      </c>
    </row>
    <row r="261" spans="1:6" ht="62" x14ac:dyDescent="0.35">
      <c r="A261" s="26" t="s">
        <v>125</v>
      </c>
      <c r="B261" s="26" t="s">
        <v>24</v>
      </c>
      <c r="C261" s="26" t="s">
        <v>887</v>
      </c>
      <c r="D261" s="28">
        <v>46289.833333333299</v>
      </c>
      <c r="E261" s="28">
        <v>46290.25</v>
      </c>
      <c r="F261" s="26" t="s">
        <v>162</v>
      </c>
    </row>
    <row r="262" spans="1:6" ht="108.5" x14ac:dyDescent="0.35">
      <c r="A262" s="26" t="s">
        <v>125</v>
      </c>
      <c r="B262" s="26" t="s">
        <v>24</v>
      </c>
      <c r="C262" s="26" t="s">
        <v>888</v>
      </c>
      <c r="D262" s="28">
        <v>46289.833333333299</v>
      </c>
      <c r="E262" s="28">
        <v>46290.25</v>
      </c>
      <c r="F262" s="26" t="s">
        <v>162</v>
      </c>
    </row>
    <row r="263" spans="1:6" ht="108.5" x14ac:dyDescent="0.35">
      <c r="A263" s="26" t="s">
        <v>125</v>
      </c>
      <c r="B263" s="26" t="s">
        <v>5</v>
      </c>
      <c r="C263" s="26" t="s">
        <v>1064</v>
      </c>
      <c r="D263" s="28">
        <v>46289.833333333299</v>
      </c>
      <c r="E263" s="28">
        <v>46290.25</v>
      </c>
      <c r="F263" s="26" t="s">
        <v>1065</v>
      </c>
    </row>
    <row r="264" spans="1:6" ht="77.5" x14ac:dyDescent="0.35">
      <c r="A264" s="26" t="s">
        <v>125</v>
      </c>
      <c r="B264" s="26" t="s">
        <v>4</v>
      </c>
      <c r="C264" s="26" t="s">
        <v>1066</v>
      </c>
      <c r="D264" s="28">
        <v>46289.916666666701</v>
      </c>
      <c r="E264" s="28">
        <v>46290.25</v>
      </c>
      <c r="F264" s="26" t="s">
        <v>1067</v>
      </c>
    </row>
    <row r="265" spans="1:6" ht="77.5" x14ac:dyDescent="0.35">
      <c r="A265" s="26" t="s">
        <v>125</v>
      </c>
      <c r="B265" s="26" t="s">
        <v>4</v>
      </c>
      <c r="C265" s="26" t="s">
        <v>918</v>
      </c>
      <c r="D265" s="28">
        <v>46289.875</v>
      </c>
      <c r="E265" s="28">
        <v>46290.25</v>
      </c>
      <c r="F265" s="26" t="s">
        <v>919</v>
      </c>
    </row>
    <row r="266" spans="1:6" ht="77.5" x14ac:dyDescent="0.35">
      <c r="A266" s="26" t="s">
        <v>125</v>
      </c>
      <c r="B266" s="26" t="s">
        <v>4</v>
      </c>
      <c r="C266" s="26" t="s">
        <v>920</v>
      </c>
      <c r="D266" s="28">
        <v>46289.875</v>
      </c>
      <c r="E266" s="28">
        <v>46290.25</v>
      </c>
      <c r="F266" s="26" t="s">
        <v>919</v>
      </c>
    </row>
    <row r="267" spans="1:6" ht="77.5" x14ac:dyDescent="0.35">
      <c r="A267" s="26" t="s">
        <v>125</v>
      </c>
      <c r="B267" s="26" t="s">
        <v>4</v>
      </c>
      <c r="C267" s="26" t="s">
        <v>921</v>
      </c>
      <c r="D267" s="28">
        <v>46289.875</v>
      </c>
      <c r="E267" s="28">
        <v>46290.25</v>
      </c>
      <c r="F267" s="26" t="s">
        <v>919</v>
      </c>
    </row>
    <row r="268" spans="1:6" ht="77.5" x14ac:dyDescent="0.35">
      <c r="A268" s="26" t="s">
        <v>125</v>
      </c>
      <c r="B268" s="26" t="s">
        <v>4</v>
      </c>
      <c r="C268" s="26" t="s">
        <v>922</v>
      </c>
      <c r="D268" s="28">
        <v>46289.875</v>
      </c>
      <c r="E268" s="28">
        <v>46290.25</v>
      </c>
      <c r="F268" s="26" t="s">
        <v>919</v>
      </c>
    </row>
    <row r="269" spans="1:6" ht="77.5" x14ac:dyDescent="0.35">
      <c r="A269" s="26" t="s">
        <v>125</v>
      </c>
      <c r="B269" s="26" t="s">
        <v>5</v>
      </c>
      <c r="C269" s="26" t="s">
        <v>941</v>
      </c>
      <c r="D269" s="28">
        <v>46289.875</v>
      </c>
      <c r="E269" s="28">
        <v>46290.25</v>
      </c>
      <c r="F269" s="26" t="s">
        <v>942</v>
      </c>
    </row>
    <row r="270" spans="1:6" ht="77.5" x14ac:dyDescent="0.35">
      <c r="A270" s="26" t="s">
        <v>262</v>
      </c>
      <c r="B270" s="26" t="s">
        <v>5</v>
      </c>
      <c r="C270" s="26" t="s">
        <v>1081</v>
      </c>
      <c r="D270" s="28">
        <v>46289.875</v>
      </c>
      <c r="E270" s="28">
        <v>46290.208333333299</v>
      </c>
      <c r="F270" s="26" t="s">
        <v>1082</v>
      </c>
    </row>
    <row r="271" spans="1:6" ht="77.5" x14ac:dyDescent="0.35">
      <c r="A271" s="26" t="s">
        <v>262</v>
      </c>
      <c r="B271" s="26" t="s">
        <v>5</v>
      </c>
      <c r="C271" s="26" t="s">
        <v>1083</v>
      </c>
      <c r="D271" s="28">
        <v>46289.875</v>
      </c>
      <c r="E271" s="28">
        <v>46290.208333333299</v>
      </c>
      <c r="F271" s="26" t="s">
        <v>1082</v>
      </c>
    </row>
    <row r="272" spans="1:6" ht="93" x14ac:dyDescent="0.35">
      <c r="A272" s="26" t="s">
        <v>262</v>
      </c>
      <c r="B272" s="26" t="s">
        <v>5</v>
      </c>
      <c r="C272" s="26" t="s">
        <v>1084</v>
      </c>
      <c r="D272" s="28">
        <v>46289.875</v>
      </c>
      <c r="E272" s="28">
        <v>46290.208333333299</v>
      </c>
      <c r="F272" s="26" t="s">
        <v>1082</v>
      </c>
    </row>
    <row r="273" spans="1:6" ht="62" x14ac:dyDescent="0.35">
      <c r="A273" s="26" t="s">
        <v>309</v>
      </c>
      <c r="B273" s="26" t="s">
        <v>6</v>
      </c>
      <c r="C273" s="26" t="s">
        <v>627</v>
      </c>
      <c r="D273" s="28">
        <v>46289.875</v>
      </c>
      <c r="E273" s="28">
        <v>46290.25</v>
      </c>
      <c r="F273" s="26" t="s">
        <v>311</v>
      </c>
    </row>
    <row r="274" spans="1:6" ht="77.5" x14ac:dyDescent="0.35">
      <c r="A274" s="26" t="s">
        <v>309</v>
      </c>
      <c r="B274" s="26" t="s">
        <v>6</v>
      </c>
      <c r="C274" s="26" t="s">
        <v>628</v>
      </c>
      <c r="D274" s="28">
        <v>46289.875</v>
      </c>
      <c r="E274" s="28">
        <v>46290.25</v>
      </c>
      <c r="F274" s="26" t="s">
        <v>311</v>
      </c>
    </row>
    <row r="275" spans="1:6" ht="77.5" x14ac:dyDescent="0.35">
      <c r="A275" s="26" t="s">
        <v>244</v>
      </c>
      <c r="B275" s="26" t="s">
        <v>4</v>
      </c>
      <c r="C275" s="26" t="s">
        <v>245</v>
      </c>
      <c r="D275" s="28">
        <v>46289.833333333299</v>
      </c>
      <c r="E275" s="28">
        <v>46290.25</v>
      </c>
      <c r="F275" s="26" t="s">
        <v>1079</v>
      </c>
    </row>
    <row r="276" spans="1:6" ht="77.5" x14ac:dyDescent="0.35">
      <c r="A276" s="26" t="s">
        <v>244</v>
      </c>
      <c r="B276" s="26" t="s">
        <v>4</v>
      </c>
      <c r="C276" s="26" t="s">
        <v>247</v>
      </c>
      <c r="D276" s="28">
        <v>46289.833333333299</v>
      </c>
      <c r="E276" s="28">
        <v>46290.25</v>
      </c>
      <c r="F276" s="26" t="s">
        <v>1079</v>
      </c>
    </row>
    <row r="277" spans="1:6" ht="77.5" x14ac:dyDescent="0.35">
      <c r="A277" s="26" t="s">
        <v>244</v>
      </c>
      <c r="B277" s="26" t="s">
        <v>5</v>
      </c>
      <c r="C277" s="26" t="s">
        <v>248</v>
      </c>
      <c r="D277" s="28">
        <v>46289.833333333299</v>
      </c>
      <c r="E277" s="28">
        <v>46290.25</v>
      </c>
      <c r="F277" s="26" t="s">
        <v>1079</v>
      </c>
    </row>
    <row r="278" spans="1:6" ht="62" x14ac:dyDescent="0.35">
      <c r="A278" s="26" t="s">
        <v>244</v>
      </c>
      <c r="B278" s="26" t="s">
        <v>5</v>
      </c>
      <c r="C278" s="26" t="s">
        <v>249</v>
      </c>
      <c r="D278" s="28">
        <v>46289.833333333299</v>
      </c>
      <c r="E278" s="28">
        <v>46290.25</v>
      </c>
      <c r="F278" s="26" t="s">
        <v>1079</v>
      </c>
    </row>
    <row r="279" spans="1:6" ht="46.5" x14ac:dyDescent="0.35">
      <c r="A279" s="26" t="s">
        <v>535</v>
      </c>
      <c r="B279" s="26" t="s">
        <v>6</v>
      </c>
      <c r="C279" s="26" t="s">
        <v>876</v>
      </c>
      <c r="D279" s="28">
        <v>46289.833333333299</v>
      </c>
      <c r="E279" s="28">
        <v>46290.25</v>
      </c>
      <c r="F279" s="26" t="s">
        <v>877</v>
      </c>
    </row>
    <row r="280" spans="1:6" ht="77.5" x14ac:dyDescent="0.35">
      <c r="A280" s="26" t="s">
        <v>535</v>
      </c>
      <c r="B280" s="26" t="s">
        <v>6</v>
      </c>
      <c r="C280" s="26" t="s">
        <v>878</v>
      </c>
      <c r="D280" s="28">
        <v>46289.833333333299</v>
      </c>
      <c r="E280" s="28">
        <v>46290.25</v>
      </c>
      <c r="F280" s="26" t="s">
        <v>877</v>
      </c>
    </row>
    <row r="281" spans="1:6" ht="46.5" x14ac:dyDescent="0.35">
      <c r="A281" s="26" t="s">
        <v>535</v>
      </c>
      <c r="B281" s="26" t="s">
        <v>6</v>
      </c>
      <c r="C281" s="26" t="s">
        <v>879</v>
      </c>
      <c r="D281" s="28">
        <v>46289.833333333299</v>
      </c>
      <c r="E281" s="28">
        <v>46290.25</v>
      </c>
      <c r="F281" s="26" t="s">
        <v>877</v>
      </c>
    </row>
    <row r="282" spans="1:6" x14ac:dyDescent="0.35">
      <c r="A282" s="26"/>
      <c r="B282" s="26"/>
      <c r="C282" s="26"/>
      <c r="D282" s="28"/>
      <c r="E282" s="28"/>
      <c r="F282" s="26"/>
    </row>
    <row r="283" spans="1:6" x14ac:dyDescent="0.35">
      <c r="A283" s="26"/>
      <c r="B283" s="26"/>
      <c r="C283" s="26"/>
      <c r="D283" s="28"/>
      <c r="E283" s="28"/>
      <c r="F283" s="26"/>
    </row>
  </sheetData>
  <autoFilter ref="A2:F191" xr:uid="{60B4E0E0-EA23-4FF3-861F-7623BAD270F1}">
    <sortState xmlns:xlrd2="http://schemas.microsoft.com/office/spreadsheetml/2017/richdata2" ref="A3:F281">
      <sortCondition ref="A2:A191"/>
    </sortState>
  </autoFilter>
  <mergeCells count="1">
    <mergeCell ref="A1:F1"/>
  </mergeCells>
  <conditionalFormatting sqref="A282:F283">
    <cfRule type="expression" dxfId="7" priority="2">
      <formula>$J282="Over 12 hours"</formula>
    </cfRule>
  </conditionalFormatting>
  <conditionalFormatting sqref="A3:F281">
    <cfRule type="expression" dxfId="1" priority="1">
      <formula>$J3="Over 12 hours"</formula>
    </cfRule>
  </conditionalFormatting>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23678-4F93-427C-90BE-1C606F79A7ED}">
  <sheetPr>
    <tabColor theme="6"/>
  </sheetPr>
  <dimension ref="A1:K249"/>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1.765625" style="3" customWidth="1"/>
    <col min="4" max="4" width="16.4609375" style="3" customWidth="1"/>
    <col min="5" max="5" width="17.4609375" style="13" customWidth="1"/>
    <col min="6" max="6" width="47" style="13" customWidth="1"/>
    <col min="7" max="11" width="0" hidden="1" customWidth="1"/>
    <col min="12" max="16384" width="8.765625" hidden="1"/>
  </cols>
  <sheetData>
    <row r="1" spans="1:6" ht="32.5" x14ac:dyDescent="0.35">
      <c r="A1" s="35" t="str">
        <f>"Daily closure report: "&amp;'Front page'!A6</f>
        <v>Daily closure report: Friday, 25 September</v>
      </c>
      <c r="B1" s="35"/>
      <c r="C1" s="35"/>
      <c r="D1" s="35"/>
      <c r="E1" s="35"/>
      <c r="F1" s="35"/>
    </row>
    <row r="2" spans="1:6" s="5" customFormat="1" ht="28" x14ac:dyDescent="0.35">
      <c r="A2" s="12" t="s">
        <v>9</v>
      </c>
      <c r="B2" s="12" t="s">
        <v>1</v>
      </c>
      <c r="C2" s="12" t="s">
        <v>0</v>
      </c>
      <c r="D2" s="11" t="s">
        <v>11</v>
      </c>
      <c r="E2" s="11" t="s">
        <v>12</v>
      </c>
      <c r="F2" s="12" t="s">
        <v>10</v>
      </c>
    </row>
    <row r="3" spans="1:6" s="3" customFormat="1" ht="62" x14ac:dyDescent="0.35">
      <c r="A3" s="25" t="s">
        <v>38</v>
      </c>
      <c r="B3" s="25" t="s">
        <v>6</v>
      </c>
      <c r="C3" s="26" t="s">
        <v>39</v>
      </c>
      <c r="D3" s="27">
        <v>46290.833333333299</v>
      </c>
      <c r="E3" s="27">
        <v>46291.208333333299</v>
      </c>
      <c r="F3" s="26" t="s">
        <v>40</v>
      </c>
    </row>
    <row r="4" spans="1:6" s="3" customFormat="1" ht="62" x14ac:dyDescent="0.35">
      <c r="A4" s="25" t="s">
        <v>38</v>
      </c>
      <c r="B4" s="25" t="s">
        <v>2</v>
      </c>
      <c r="C4" s="26" t="s">
        <v>844</v>
      </c>
      <c r="D4" s="27">
        <v>46290.875</v>
      </c>
      <c r="E4" s="27">
        <v>46291.208333333299</v>
      </c>
      <c r="F4" s="26" t="s">
        <v>40</v>
      </c>
    </row>
    <row r="5" spans="1:6" s="3" customFormat="1" ht="77.5" x14ac:dyDescent="0.35">
      <c r="A5" s="25" t="s">
        <v>38</v>
      </c>
      <c r="B5" s="25" t="s">
        <v>2</v>
      </c>
      <c r="C5" s="26" t="s">
        <v>847</v>
      </c>
      <c r="D5" s="27">
        <v>46290.875</v>
      </c>
      <c r="E5" s="27">
        <v>46291.208333333299</v>
      </c>
      <c r="F5" s="26" t="s">
        <v>848</v>
      </c>
    </row>
    <row r="6" spans="1:6" s="3" customFormat="1" ht="77.5" x14ac:dyDescent="0.35">
      <c r="A6" s="25" t="s">
        <v>38</v>
      </c>
      <c r="B6" s="25" t="s">
        <v>2</v>
      </c>
      <c r="C6" s="26" t="s">
        <v>849</v>
      </c>
      <c r="D6" s="27">
        <v>46290.875</v>
      </c>
      <c r="E6" s="27">
        <v>46291.208333333299</v>
      </c>
      <c r="F6" s="26" t="s">
        <v>848</v>
      </c>
    </row>
    <row r="7" spans="1:6" s="3" customFormat="1" ht="46.5" x14ac:dyDescent="0.35">
      <c r="A7" s="25" t="s">
        <v>38</v>
      </c>
      <c r="B7" s="25" t="s">
        <v>24</v>
      </c>
      <c r="C7" s="26" t="s">
        <v>49</v>
      </c>
      <c r="D7" s="27">
        <v>45847.208333333299</v>
      </c>
      <c r="E7" s="27">
        <v>46507.999305555597</v>
      </c>
      <c r="F7" s="26" t="s">
        <v>50</v>
      </c>
    </row>
    <row r="8" spans="1:6" s="3" customFormat="1" ht="62" x14ac:dyDescent="0.35">
      <c r="A8" s="25" t="s">
        <v>38</v>
      </c>
      <c r="B8" s="25" t="s">
        <v>2</v>
      </c>
      <c r="C8" s="26" t="s">
        <v>854</v>
      </c>
      <c r="D8" s="27">
        <v>46290.833333333299</v>
      </c>
      <c r="E8" s="27">
        <v>46291.25</v>
      </c>
      <c r="F8" s="26" t="s">
        <v>580</v>
      </c>
    </row>
    <row r="9" spans="1:6" s="3" customFormat="1" ht="46.5" x14ac:dyDescent="0.35">
      <c r="A9" s="25" t="s">
        <v>38</v>
      </c>
      <c r="B9" s="25" t="s">
        <v>6</v>
      </c>
      <c r="C9" s="26" t="s">
        <v>855</v>
      </c>
      <c r="D9" s="27">
        <v>46290.833333333299</v>
      </c>
      <c r="E9" s="27">
        <v>46291.25</v>
      </c>
      <c r="F9" s="26" t="s">
        <v>580</v>
      </c>
    </row>
    <row r="10" spans="1:6" s="3" customFormat="1" ht="46.5" x14ac:dyDescent="0.35">
      <c r="A10" s="25" t="s">
        <v>38</v>
      </c>
      <c r="B10" s="25" t="s">
        <v>2</v>
      </c>
      <c r="C10" s="26" t="s">
        <v>856</v>
      </c>
      <c r="D10" s="27">
        <v>46290.875</v>
      </c>
      <c r="E10" s="27">
        <v>46291.208333333299</v>
      </c>
      <c r="F10" s="26" t="s">
        <v>857</v>
      </c>
    </row>
    <row r="11" spans="1:6" s="3" customFormat="1" ht="46.5" x14ac:dyDescent="0.35">
      <c r="A11" s="25" t="s">
        <v>38</v>
      </c>
      <c r="B11" s="25" t="s">
        <v>2</v>
      </c>
      <c r="C11" s="26" t="s">
        <v>858</v>
      </c>
      <c r="D11" s="27">
        <v>46290.875</v>
      </c>
      <c r="E11" s="27">
        <v>46291.208333333299</v>
      </c>
      <c r="F11" s="26" t="s">
        <v>857</v>
      </c>
    </row>
    <row r="12" spans="1:6" s="3" customFormat="1" ht="46.5" x14ac:dyDescent="0.35">
      <c r="A12" s="25" t="s">
        <v>38</v>
      </c>
      <c r="B12" s="25" t="s">
        <v>2</v>
      </c>
      <c r="C12" s="26" t="s">
        <v>96</v>
      </c>
      <c r="D12" s="27">
        <v>46286.541666666701</v>
      </c>
      <c r="E12" s="27">
        <v>46291.25</v>
      </c>
      <c r="F12" s="26" t="s">
        <v>97</v>
      </c>
    </row>
    <row r="13" spans="1:6" s="3" customFormat="1" ht="93" x14ac:dyDescent="0.35">
      <c r="A13" s="25" t="s">
        <v>38</v>
      </c>
      <c r="B13" s="25" t="s">
        <v>2</v>
      </c>
      <c r="C13" s="26" t="s">
        <v>98</v>
      </c>
      <c r="D13" s="27">
        <v>46290.833333333299</v>
      </c>
      <c r="E13" s="27">
        <v>46291.25</v>
      </c>
      <c r="F13" s="26" t="s">
        <v>97</v>
      </c>
    </row>
    <row r="14" spans="1:6" s="3" customFormat="1" ht="93" x14ac:dyDescent="0.35">
      <c r="A14" s="25" t="s">
        <v>38</v>
      </c>
      <c r="B14" s="25" t="s">
        <v>2</v>
      </c>
      <c r="C14" s="26" t="s">
        <v>99</v>
      </c>
      <c r="D14" s="27">
        <v>46290.833333333299</v>
      </c>
      <c r="E14" s="27">
        <v>46291.25</v>
      </c>
      <c r="F14" s="26" t="s">
        <v>97</v>
      </c>
    </row>
    <row r="15" spans="1:6" s="3" customFormat="1" ht="93" x14ac:dyDescent="0.35">
      <c r="A15" s="25" t="s">
        <v>38</v>
      </c>
      <c r="B15" s="25" t="s">
        <v>2</v>
      </c>
      <c r="C15" s="26" t="s">
        <v>100</v>
      </c>
      <c r="D15" s="27">
        <v>46290.833333333299</v>
      </c>
      <c r="E15" s="27">
        <v>46291.25</v>
      </c>
      <c r="F15" s="26" t="s">
        <v>97</v>
      </c>
    </row>
    <row r="16" spans="1:6" s="3" customFormat="1" ht="93" x14ac:dyDescent="0.35">
      <c r="A16" s="25" t="s">
        <v>38</v>
      </c>
      <c r="B16" s="25" t="s">
        <v>2</v>
      </c>
      <c r="C16" s="26" t="s">
        <v>101</v>
      </c>
      <c r="D16" s="27">
        <v>46290.833333333299</v>
      </c>
      <c r="E16" s="27">
        <v>46291.25</v>
      </c>
      <c r="F16" s="26" t="s">
        <v>97</v>
      </c>
    </row>
    <row r="17" spans="1:6" s="3" customFormat="1" ht="93" x14ac:dyDescent="0.35">
      <c r="A17" s="25" t="s">
        <v>38</v>
      </c>
      <c r="B17" s="25" t="s">
        <v>2</v>
      </c>
      <c r="C17" s="26" t="s">
        <v>102</v>
      </c>
      <c r="D17" s="27">
        <v>46290.833333333299</v>
      </c>
      <c r="E17" s="27">
        <v>46291.25</v>
      </c>
      <c r="F17" s="26" t="s">
        <v>97</v>
      </c>
    </row>
    <row r="18" spans="1:6" s="3" customFormat="1" ht="93" x14ac:dyDescent="0.35">
      <c r="A18" s="25" t="s">
        <v>38</v>
      </c>
      <c r="B18" s="25" t="s">
        <v>2</v>
      </c>
      <c r="C18" s="26" t="s">
        <v>103</v>
      </c>
      <c r="D18" s="27">
        <v>46290.833333333299</v>
      </c>
      <c r="E18" s="27">
        <v>46291.25</v>
      </c>
      <c r="F18" s="26" t="s">
        <v>97</v>
      </c>
    </row>
    <row r="19" spans="1:6" s="3" customFormat="1" ht="93" x14ac:dyDescent="0.35">
      <c r="A19" s="25" t="s">
        <v>38</v>
      </c>
      <c r="B19" s="25" t="s">
        <v>2</v>
      </c>
      <c r="C19" s="26" t="s">
        <v>104</v>
      </c>
      <c r="D19" s="27">
        <v>46290.833333333299</v>
      </c>
      <c r="E19" s="27">
        <v>46291.25</v>
      </c>
      <c r="F19" s="26" t="s">
        <v>97</v>
      </c>
    </row>
    <row r="20" spans="1:6" s="3" customFormat="1" ht="93" x14ac:dyDescent="0.35">
      <c r="A20" s="25" t="s">
        <v>38</v>
      </c>
      <c r="B20" s="25" t="s">
        <v>2</v>
      </c>
      <c r="C20" s="26" t="s">
        <v>105</v>
      </c>
      <c r="D20" s="27">
        <v>46290.833333333299</v>
      </c>
      <c r="E20" s="27">
        <v>46291.25</v>
      </c>
      <c r="F20" s="26" t="s">
        <v>97</v>
      </c>
    </row>
    <row r="21" spans="1:6" s="3" customFormat="1" ht="93" x14ac:dyDescent="0.35">
      <c r="A21" s="25" t="s">
        <v>38</v>
      </c>
      <c r="B21" s="25" t="s">
        <v>2</v>
      </c>
      <c r="C21" s="26" t="s">
        <v>106</v>
      </c>
      <c r="D21" s="27">
        <v>46290.833333333299</v>
      </c>
      <c r="E21" s="27">
        <v>46291.25</v>
      </c>
      <c r="F21" s="26" t="s">
        <v>97</v>
      </c>
    </row>
    <row r="22" spans="1:6" s="3" customFormat="1" ht="93" x14ac:dyDescent="0.35">
      <c r="A22" s="25" t="s">
        <v>38</v>
      </c>
      <c r="B22" s="25" t="s">
        <v>2</v>
      </c>
      <c r="C22" s="26" t="s">
        <v>107</v>
      </c>
      <c r="D22" s="27">
        <v>46290.833333333299</v>
      </c>
      <c r="E22" s="27">
        <v>46291.25</v>
      </c>
      <c r="F22" s="26" t="s">
        <v>97</v>
      </c>
    </row>
    <row r="23" spans="1:6" s="3" customFormat="1" ht="93" x14ac:dyDescent="0.35">
      <c r="A23" s="25" t="s">
        <v>38</v>
      </c>
      <c r="B23" s="25" t="s">
        <v>2</v>
      </c>
      <c r="C23" s="26" t="s">
        <v>108</v>
      </c>
      <c r="D23" s="27">
        <v>46290.833333333299</v>
      </c>
      <c r="E23" s="27">
        <v>46291.25</v>
      </c>
      <c r="F23" s="26" t="s">
        <v>97</v>
      </c>
    </row>
    <row r="24" spans="1:6" s="3" customFormat="1" ht="14.25" customHeight="1" x14ac:dyDescent="0.35">
      <c r="A24" s="25" t="s">
        <v>38</v>
      </c>
      <c r="B24" s="25" t="s">
        <v>2</v>
      </c>
      <c r="C24" s="26" t="s">
        <v>110</v>
      </c>
      <c r="D24" s="27">
        <v>46290.833333333299</v>
      </c>
      <c r="E24" s="27">
        <v>46291.25</v>
      </c>
      <c r="F24" s="26" t="s">
        <v>97</v>
      </c>
    </row>
    <row r="25" spans="1:6" s="3" customFormat="1" ht="93" x14ac:dyDescent="0.35">
      <c r="A25" s="25" t="s">
        <v>38</v>
      </c>
      <c r="B25" s="25" t="s">
        <v>2</v>
      </c>
      <c r="C25" s="26" t="s">
        <v>111</v>
      </c>
      <c r="D25" s="27">
        <v>46290.833333333299</v>
      </c>
      <c r="E25" s="27">
        <v>46291.25</v>
      </c>
      <c r="F25" s="26" t="s">
        <v>97</v>
      </c>
    </row>
    <row r="26" spans="1:6" s="3" customFormat="1" ht="93" x14ac:dyDescent="0.35">
      <c r="A26" s="25" t="s">
        <v>38</v>
      </c>
      <c r="B26" s="25" t="s">
        <v>2</v>
      </c>
      <c r="C26" s="26" t="s">
        <v>112</v>
      </c>
      <c r="D26" s="27">
        <v>46290.833333333299</v>
      </c>
      <c r="E26" s="27">
        <v>46291.25</v>
      </c>
      <c r="F26" s="26" t="s">
        <v>97</v>
      </c>
    </row>
    <row r="27" spans="1:6" s="3" customFormat="1" ht="93" x14ac:dyDescent="0.35">
      <c r="A27" s="25" t="s">
        <v>38</v>
      </c>
      <c r="B27" s="25" t="s">
        <v>2</v>
      </c>
      <c r="C27" s="26" t="s">
        <v>113</v>
      </c>
      <c r="D27" s="27">
        <v>46290.833333333299</v>
      </c>
      <c r="E27" s="27">
        <v>46291.25</v>
      </c>
      <c r="F27" s="26" t="s">
        <v>97</v>
      </c>
    </row>
    <row r="28" spans="1:6" s="3" customFormat="1" ht="93" x14ac:dyDescent="0.35">
      <c r="A28" s="25" t="s">
        <v>38</v>
      </c>
      <c r="B28" s="25" t="s">
        <v>2</v>
      </c>
      <c r="C28" s="26" t="s">
        <v>114</v>
      </c>
      <c r="D28" s="27">
        <v>46290.833333333299</v>
      </c>
      <c r="E28" s="27">
        <v>46291.25</v>
      </c>
      <c r="F28" s="26" t="s">
        <v>97</v>
      </c>
    </row>
    <row r="29" spans="1:6" s="3" customFormat="1" ht="93" x14ac:dyDescent="0.35">
      <c r="A29" s="25" t="s">
        <v>38</v>
      </c>
      <c r="B29" s="25" t="s">
        <v>2</v>
      </c>
      <c r="C29" s="26" t="s">
        <v>115</v>
      </c>
      <c r="D29" s="27">
        <v>46290.833333333299</v>
      </c>
      <c r="E29" s="27">
        <v>46291.25</v>
      </c>
      <c r="F29" s="26" t="s">
        <v>97</v>
      </c>
    </row>
    <row r="30" spans="1:6" s="3" customFormat="1" ht="62" x14ac:dyDescent="0.35">
      <c r="A30" s="25" t="s">
        <v>38</v>
      </c>
      <c r="B30" s="25" t="s">
        <v>2</v>
      </c>
      <c r="C30" s="26" t="s">
        <v>208</v>
      </c>
      <c r="D30" s="27">
        <v>46290.833333333299</v>
      </c>
      <c r="E30" s="27">
        <v>46291.25</v>
      </c>
      <c r="F30" s="26" t="s">
        <v>209</v>
      </c>
    </row>
    <row r="31" spans="1:6" s="3" customFormat="1" ht="62" x14ac:dyDescent="0.35">
      <c r="A31" s="25" t="s">
        <v>38</v>
      </c>
      <c r="B31" s="25" t="s">
        <v>2</v>
      </c>
      <c r="C31" s="26" t="s">
        <v>210</v>
      </c>
      <c r="D31" s="27">
        <v>46290.833333333299</v>
      </c>
      <c r="E31" s="27">
        <v>46291.25</v>
      </c>
      <c r="F31" s="26" t="s">
        <v>209</v>
      </c>
    </row>
    <row r="32" spans="1:6" s="3" customFormat="1" ht="77.5" x14ac:dyDescent="0.35">
      <c r="A32" s="25" t="s">
        <v>62</v>
      </c>
      <c r="B32" s="25" t="s">
        <v>2</v>
      </c>
      <c r="C32" s="26" t="s">
        <v>895</v>
      </c>
      <c r="D32" s="27">
        <v>46290.854166666701</v>
      </c>
      <c r="E32" s="27">
        <v>46291.25</v>
      </c>
      <c r="F32" s="26" t="s">
        <v>892</v>
      </c>
    </row>
    <row r="33" spans="1:6" s="3" customFormat="1" ht="77.5" x14ac:dyDescent="0.35">
      <c r="A33" s="25" t="s">
        <v>62</v>
      </c>
      <c r="B33" s="25" t="s">
        <v>2</v>
      </c>
      <c r="C33" s="26" t="s">
        <v>896</v>
      </c>
      <c r="D33" s="27">
        <v>46290.854166666701</v>
      </c>
      <c r="E33" s="27">
        <v>46291.25</v>
      </c>
      <c r="F33" s="26" t="s">
        <v>892</v>
      </c>
    </row>
    <row r="34" spans="1:6" s="3" customFormat="1" ht="46.5" x14ac:dyDescent="0.35">
      <c r="A34" s="25" t="s">
        <v>62</v>
      </c>
      <c r="B34" s="25" t="s">
        <v>2</v>
      </c>
      <c r="C34" s="26" t="s">
        <v>901</v>
      </c>
      <c r="D34" s="27">
        <v>46290.833333333299</v>
      </c>
      <c r="E34" s="27">
        <v>46291.25</v>
      </c>
      <c r="F34" s="26" t="s">
        <v>902</v>
      </c>
    </row>
    <row r="35" spans="1:6" s="3" customFormat="1" ht="46.5" x14ac:dyDescent="0.35">
      <c r="A35" s="25" t="s">
        <v>62</v>
      </c>
      <c r="B35" s="25" t="s">
        <v>24</v>
      </c>
      <c r="C35" s="26" t="s">
        <v>198</v>
      </c>
      <c r="D35" s="27">
        <v>46290.833333333299</v>
      </c>
      <c r="E35" s="27">
        <v>46291.25</v>
      </c>
      <c r="F35" s="26" t="s">
        <v>195</v>
      </c>
    </row>
    <row r="36" spans="1:6" s="3" customFormat="1" ht="46.5" x14ac:dyDescent="0.35">
      <c r="A36" s="25" t="s">
        <v>62</v>
      </c>
      <c r="B36" s="25" t="s">
        <v>2</v>
      </c>
      <c r="C36" s="26" t="s">
        <v>199</v>
      </c>
      <c r="D36" s="27">
        <v>46290.833333333299</v>
      </c>
      <c r="E36" s="27">
        <v>46291.25</v>
      </c>
      <c r="F36" s="26" t="s">
        <v>195</v>
      </c>
    </row>
    <row r="37" spans="1:6" s="3" customFormat="1" ht="46.5" x14ac:dyDescent="0.35">
      <c r="A37" s="25" t="s">
        <v>62</v>
      </c>
      <c r="B37" s="25" t="s">
        <v>6</v>
      </c>
      <c r="C37" s="26" t="s">
        <v>200</v>
      </c>
      <c r="D37" s="27">
        <v>46290.833333333299</v>
      </c>
      <c r="E37" s="27">
        <v>46291.25</v>
      </c>
      <c r="F37" s="26" t="s">
        <v>195</v>
      </c>
    </row>
    <row r="38" spans="1:6" s="3" customFormat="1" ht="62" x14ac:dyDescent="0.35">
      <c r="A38" s="25" t="s">
        <v>62</v>
      </c>
      <c r="B38" s="25" t="s">
        <v>2</v>
      </c>
      <c r="C38" s="26" t="s">
        <v>906</v>
      </c>
      <c r="D38" s="27">
        <v>46290.833333333299</v>
      </c>
      <c r="E38" s="27">
        <v>46291.25</v>
      </c>
      <c r="F38" s="26" t="s">
        <v>907</v>
      </c>
    </row>
    <row r="39" spans="1:6" s="3" customFormat="1" ht="62" x14ac:dyDescent="0.35">
      <c r="A39" s="25" t="s">
        <v>62</v>
      </c>
      <c r="B39" s="25" t="s">
        <v>6</v>
      </c>
      <c r="C39" s="26" t="s">
        <v>995</v>
      </c>
      <c r="D39" s="27">
        <v>46290.916666666701</v>
      </c>
      <c r="E39" s="27">
        <v>46291.229166666701</v>
      </c>
      <c r="F39" s="26" t="s">
        <v>996</v>
      </c>
    </row>
    <row r="40" spans="1:6" s="3" customFormat="1" ht="93" x14ac:dyDescent="0.35">
      <c r="A40" s="25" t="s">
        <v>62</v>
      </c>
      <c r="B40" s="25" t="s">
        <v>6</v>
      </c>
      <c r="C40" s="26" t="s">
        <v>997</v>
      </c>
      <c r="D40" s="27">
        <v>46290.958333333299</v>
      </c>
      <c r="E40" s="27">
        <v>46291.229166666701</v>
      </c>
      <c r="F40" s="26" t="s">
        <v>998</v>
      </c>
    </row>
    <row r="41" spans="1:6" s="3" customFormat="1" ht="62" x14ac:dyDescent="0.35">
      <c r="A41" s="25" t="s">
        <v>17</v>
      </c>
      <c r="B41" s="25" t="s">
        <v>6</v>
      </c>
      <c r="C41" s="26" t="s">
        <v>842</v>
      </c>
      <c r="D41" s="27">
        <v>46290.833333333299</v>
      </c>
      <c r="E41" s="27">
        <v>46291.25</v>
      </c>
      <c r="F41" s="26" t="s">
        <v>19</v>
      </c>
    </row>
    <row r="42" spans="1:6" s="3" customFormat="1" ht="62" x14ac:dyDescent="0.35">
      <c r="A42" s="25" t="s">
        <v>20</v>
      </c>
      <c r="B42" s="25" t="s">
        <v>2</v>
      </c>
      <c r="C42" s="26" t="s">
        <v>21</v>
      </c>
      <c r="D42" s="27">
        <v>46290.875</v>
      </c>
      <c r="E42" s="27">
        <v>46291.208333333299</v>
      </c>
      <c r="F42" s="26" t="s">
        <v>22</v>
      </c>
    </row>
    <row r="43" spans="1:6" s="3" customFormat="1" ht="46.5" x14ac:dyDescent="0.35">
      <c r="A43" s="25" t="s">
        <v>20</v>
      </c>
      <c r="B43" s="25" t="s">
        <v>6</v>
      </c>
      <c r="C43" s="26" t="s">
        <v>845</v>
      </c>
      <c r="D43" s="27">
        <v>46290.875</v>
      </c>
      <c r="E43" s="27">
        <v>46291.208333333299</v>
      </c>
      <c r="F43" s="26" t="s">
        <v>846</v>
      </c>
    </row>
    <row r="44" spans="1:6" s="3" customFormat="1" ht="46.5" x14ac:dyDescent="0.35">
      <c r="A44" s="25" t="s">
        <v>29</v>
      </c>
      <c r="B44" s="25" t="s">
        <v>5</v>
      </c>
      <c r="C44" s="26" t="s">
        <v>30</v>
      </c>
      <c r="D44" s="27">
        <v>46290.833333333299</v>
      </c>
      <c r="E44" s="27">
        <v>46291.25</v>
      </c>
      <c r="F44" s="26" t="s">
        <v>31</v>
      </c>
    </row>
    <row r="45" spans="1:6" s="3" customFormat="1" ht="46.5" x14ac:dyDescent="0.35">
      <c r="A45" s="25" t="s">
        <v>29</v>
      </c>
      <c r="B45" s="25" t="s">
        <v>4</v>
      </c>
      <c r="C45" s="26" t="s">
        <v>32</v>
      </c>
      <c r="D45" s="27">
        <v>46290.833333333299</v>
      </c>
      <c r="E45" s="27">
        <v>46291.25</v>
      </c>
      <c r="F45" s="26" t="s">
        <v>33</v>
      </c>
    </row>
    <row r="46" spans="1:6" s="3" customFormat="1" ht="62" x14ac:dyDescent="0.35">
      <c r="A46" s="25" t="s">
        <v>29</v>
      </c>
      <c r="B46" s="25" t="s">
        <v>5</v>
      </c>
      <c r="C46" s="26" t="s">
        <v>850</v>
      </c>
      <c r="D46" s="27">
        <v>46290.833333333299</v>
      </c>
      <c r="E46" s="27">
        <v>46291.25</v>
      </c>
      <c r="F46" s="26" t="s">
        <v>851</v>
      </c>
    </row>
    <row r="47" spans="1:6" s="3" customFormat="1" ht="62" x14ac:dyDescent="0.35">
      <c r="A47" s="25" t="s">
        <v>29</v>
      </c>
      <c r="B47" s="25" t="s">
        <v>5</v>
      </c>
      <c r="C47" s="26" t="s">
        <v>852</v>
      </c>
      <c r="D47" s="27">
        <v>46290.833333333299</v>
      </c>
      <c r="E47" s="27">
        <v>46291.25</v>
      </c>
      <c r="F47" s="26" t="s">
        <v>851</v>
      </c>
    </row>
    <row r="48" spans="1:6" s="3" customFormat="1" ht="93" x14ac:dyDescent="0.35">
      <c r="A48" s="25" t="s">
        <v>29</v>
      </c>
      <c r="B48" s="25" t="s">
        <v>5</v>
      </c>
      <c r="C48" s="26" t="s">
        <v>868</v>
      </c>
      <c r="D48" s="27">
        <v>46286.541666666701</v>
      </c>
      <c r="E48" s="27">
        <v>46291.25</v>
      </c>
      <c r="F48" s="26" t="s">
        <v>77</v>
      </c>
    </row>
    <row r="49" spans="1:6" s="3" customFormat="1" ht="93" x14ac:dyDescent="0.35">
      <c r="A49" s="25" t="s">
        <v>29</v>
      </c>
      <c r="B49" s="25" t="s">
        <v>5</v>
      </c>
      <c r="C49" s="26" t="s">
        <v>869</v>
      </c>
      <c r="D49" s="27">
        <v>46290.833333333299</v>
      </c>
      <c r="E49" s="27">
        <v>46291.25</v>
      </c>
      <c r="F49" s="26" t="s">
        <v>77</v>
      </c>
    </row>
    <row r="50" spans="1:6" s="3" customFormat="1" ht="93" x14ac:dyDescent="0.35">
      <c r="A50" s="25" t="s">
        <v>29</v>
      </c>
      <c r="B50" s="25" t="s">
        <v>5</v>
      </c>
      <c r="C50" s="26" t="s">
        <v>870</v>
      </c>
      <c r="D50" s="27">
        <v>46290.833333333299</v>
      </c>
      <c r="E50" s="27">
        <v>46291.25</v>
      </c>
      <c r="F50" s="26" t="s">
        <v>77</v>
      </c>
    </row>
    <row r="51" spans="1:6" s="3" customFormat="1" ht="93" x14ac:dyDescent="0.35">
      <c r="A51" s="25" t="s">
        <v>29</v>
      </c>
      <c r="B51" s="25" t="s">
        <v>5</v>
      </c>
      <c r="C51" s="26" t="s">
        <v>871</v>
      </c>
      <c r="D51" s="27">
        <v>46290.833333333299</v>
      </c>
      <c r="E51" s="27">
        <v>46291.25</v>
      </c>
      <c r="F51" s="26" t="s">
        <v>77</v>
      </c>
    </row>
    <row r="52" spans="1:6" s="3" customFormat="1" ht="93" x14ac:dyDescent="0.35">
      <c r="A52" s="25" t="s">
        <v>29</v>
      </c>
      <c r="B52" s="25" t="s">
        <v>5</v>
      </c>
      <c r="C52" s="26" t="s">
        <v>872</v>
      </c>
      <c r="D52" s="27">
        <v>46290.833333333299</v>
      </c>
      <c r="E52" s="27">
        <v>46291.25</v>
      </c>
      <c r="F52" s="26" t="s">
        <v>77</v>
      </c>
    </row>
    <row r="53" spans="1:6" s="3" customFormat="1" ht="93" x14ac:dyDescent="0.35">
      <c r="A53" s="25" t="s">
        <v>29</v>
      </c>
      <c r="B53" s="25" t="s">
        <v>5</v>
      </c>
      <c r="C53" s="26" t="s">
        <v>873</v>
      </c>
      <c r="D53" s="27">
        <v>46290.833333333299</v>
      </c>
      <c r="E53" s="27">
        <v>46291.25</v>
      </c>
      <c r="F53" s="26" t="s">
        <v>77</v>
      </c>
    </row>
    <row r="54" spans="1:6" s="3" customFormat="1" ht="93" x14ac:dyDescent="0.35">
      <c r="A54" s="25" t="s">
        <v>29</v>
      </c>
      <c r="B54" s="25" t="s">
        <v>5</v>
      </c>
      <c r="C54" s="26" t="s">
        <v>874</v>
      </c>
      <c r="D54" s="27">
        <v>46290.833333333299</v>
      </c>
      <c r="E54" s="27">
        <v>46291.25</v>
      </c>
      <c r="F54" s="26" t="s">
        <v>77</v>
      </c>
    </row>
    <row r="55" spans="1:6" s="3" customFormat="1" ht="93" x14ac:dyDescent="0.35">
      <c r="A55" s="25" t="s">
        <v>29</v>
      </c>
      <c r="B55" s="25" t="s">
        <v>5</v>
      </c>
      <c r="C55" s="26" t="s">
        <v>875</v>
      </c>
      <c r="D55" s="27">
        <v>46290.833333333299</v>
      </c>
      <c r="E55" s="27">
        <v>46291.25</v>
      </c>
      <c r="F55" s="26" t="s">
        <v>77</v>
      </c>
    </row>
    <row r="56" spans="1:6" s="3" customFormat="1" ht="93" x14ac:dyDescent="0.35">
      <c r="A56" s="25" t="s">
        <v>173</v>
      </c>
      <c r="B56" s="25" t="s">
        <v>5</v>
      </c>
      <c r="C56" s="26" t="s">
        <v>174</v>
      </c>
      <c r="D56" s="27">
        <v>46290.833333333299</v>
      </c>
      <c r="E56" s="27">
        <v>46291.25</v>
      </c>
      <c r="F56" s="26" t="s">
        <v>175</v>
      </c>
    </row>
    <row r="57" spans="1:6" s="18" customFormat="1" ht="93" x14ac:dyDescent="0.35">
      <c r="A57" s="25" t="s">
        <v>173</v>
      </c>
      <c r="B57" s="25" t="s">
        <v>5</v>
      </c>
      <c r="C57" s="26" t="s">
        <v>176</v>
      </c>
      <c r="D57" s="27">
        <v>46290.833333333299</v>
      </c>
      <c r="E57" s="27">
        <v>46291.25</v>
      </c>
      <c r="F57" s="26" t="s">
        <v>175</v>
      </c>
    </row>
    <row r="58" spans="1:6" s="3" customFormat="1" ht="93" x14ac:dyDescent="0.35">
      <c r="A58" s="25" t="s">
        <v>173</v>
      </c>
      <c r="B58" s="25" t="s">
        <v>5</v>
      </c>
      <c r="C58" s="26" t="s">
        <v>177</v>
      </c>
      <c r="D58" s="27">
        <v>46290.833333333299</v>
      </c>
      <c r="E58" s="27">
        <v>46291.25</v>
      </c>
      <c r="F58" s="26" t="s">
        <v>175</v>
      </c>
    </row>
    <row r="59" spans="1:6" s="3" customFormat="1" ht="46.5" x14ac:dyDescent="0.35">
      <c r="A59" s="25" t="s">
        <v>217</v>
      </c>
      <c r="B59" s="25" t="s">
        <v>4</v>
      </c>
      <c r="C59" s="26" t="s">
        <v>612</v>
      </c>
      <c r="D59" s="27">
        <v>46083.999305555597</v>
      </c>
      <c r="E59" s="27">
        <v>46293.999305555597</v>
      </c>
      <c r="F59" s="26" t="s">
        <v>219</v>
      </c>
    </row>
    <row r="60" spans="1:6" s="3" customFormat="1" ht="46.5" x14ac:dyDescent="0.35">
      <c r="A60" s="25" t="s">
        <v>217</v>
      </c>
      <c r="B60" s="25" t="s">
        <v>5</v>
      </c>
      <c r="C60" s="26" t="s">
        <v>613</v>
      </c>
      <c r="D60" s="27">
        <v>46083.999305555597</v>
      </c>
      <c r="E60" s="27">
        <v>46293.999305555597</v>
      </c>
      <c r="F60" s="26" t="s">
        <v>219</v>
      </c>
    </row>
    <row r="61" spans="1:6" s="3" customFormat="1" ht="46.5" x14ac:dyDescent="0.35">
      <c r="A61" s="25" t="s">
        <v>220</v>
      </c>
      <c r="B61" s="25" t="s">
        <v>2</v>
      </c>
      <c r="C61" s="26" t="s">
        <v>908</v>
      </c>
      <c r="D61" s="27">
        <v>46290.833333333299</v>
      </c>
      <c r="E61" s="27">
        <v>46291.25</v>
      </c>
      <c r="F61" s="26" t="s">
        <v>909</v>
      </c>
    </row>
    <row r="62" spans="1:6" s="3" customFormat="1" ht="46.5" x14ac:dyDescent="0.35">
      <c r="A62" s="25" t="s">
        <v>220</v>
      </c>
      <c r="B62" s="25" t="s">
        <v>6</v>
      </c>
      <c r="C62" s="26" t="s">
        <v>221</v>
      </c>
      <c r="D62" s="27">
        <v>46290.833333333299</v>
      </c>
      <c r="E62" s="27">
        <v>46291.25</v>
      </c>
      <c r="F62" s="26" t="s">
        <v>222</v>
      </c>
    </row>
    <row r="63" spans="1:6" s="3" customFormat="1" ht="46.5" x14ac:dyDescent="0.35">
      <c r="A63" s="25" t="s">
        <v>220</v>
      </c>
      <c r="B63" s="25" t="s">
        <v>2</v>
      </c>
      <c r="C63" s="26" t="s">
        <v>223</v>
      </c>
      <c r="D63" s="27">
        <v>46290.833333333299</v>
      </c>
      <c r="E63" s="27">
        <v>46291.25</v>
      </c>
      <c r="F63" s="26" t="s">
        <v>224</v>
      </c>
    </row>
    <row r="64" spans="1:6" s="3" customFormat="1" ht="46.5" x14ac:dyDescent="0.35">
      <c r="A64" s="25" t="s">
        <v>220</v>
      </c>
      <c r="B64" s="25" t="s">
        <v>6</v>
      </c>
      <c r="C64" s="26" t="s">
        <v>225</v>
      </c>
      <c r="D64" s="27">
        <v>46290.833333333299</v>
      </c>
      <c r="E64" s="27">
        <v>46291.25</v>
      </c>
      <c r="F64" s="26" t="s">
        <v>224</v>
      </c>
    </row>
    <row r="65" spans="1:6" s="3" customFormat="1" ht="46.5" x14ac:dyDescent="0.35">
      <c r="A65" s="25" t="s">
        <v>220</v>
      </c>
      <c r="B65" s="25" t="s">
        <v>2</v>
      </c>
      <c r="C65" s="26" t="s">
        <v>226</v>
      </c>
      <c r="D65" s="27">
        <v>46290.833333333299</v>
      </c>
      <c r="E65" s="27">
        <v>46291.25</v>
      </c>
      <c r="F65" s="26" t="s">
        <v>227</v>
      </c>
    </row>
    <row r="66" spans="1:6" s="3" customFormat="1" ht="46.5" x14ac:dyDescent="0.35">
      <c r="A66" s="25" t="s">
        <v>220</v>
      </c>
      <c r="B66" s="25" t="s">
        <v>2</v>
      </c>
      <c r="C66" s="26" t="s">
        <v>910</v>
      </c>
      <c r="D66" s="27">
        <v>46290.833333333299</v>
      </c>
      <c r="E66" s="27">
        <v>46291.25</v>
      </c>
      <c r="F66" s="26" t="s">
        <v>229</v>
      </c>
    </row>
    <row r="67" spans="1:6" s="3" customFormat="1" ht="46.5" x14ac:dyDescent="0.35">
      <c r="A67" s="25" t="s">
        <v>377</v>
      </c>
      <c r="B67" s="25" t="s">
        <v>6</v>
      </c>
      <c r="C67" s="26" t="s">
        <v>968</v>
      </c>
      <c r="D67" s="27">
        <v>46290.833333333299</v>
      </c>
      <c r="E67" s="27">
        <v>46291.25</v>
      </c>
      <c r="F67" s="26" t="s">
        <v>969</v>
      </c>
    </row>
    <row r="68" spans="1:6" s="3" customFormat="1" ht="46.5" x14ac:dyDescent="0.35">
      <c r="A68" s="25" t="s">
        <v>377</v>
      </c>
      <c r="B68" s="25" t="s">
        <v>2</v>
      </c>
      <c r="C68" s="26" t="s">
        <v>970</v>
      </c>
      <c r="D68" s="27">
        <v>46290.833333333299</v>
      </c>
      <c r="E68" s="27">
        <v>46291.25</v>
      </c>
      <c r="F68" s="26" t="s">
        <v>969</v>
      </c>
    </row>
    <row r="69" spans="1:6" s="3" customFormat="1" ht="46.5" x14ac:dyDescent="0.35">
      <c r="A69" s="25" t="s">
        <v>377</v>
      </c>
      <c r="B69" s="25" t="s">
        <v>4</v>
      </c>
      <c r="C69" s="26" t="s">
        <v>417</v>
      </c>
      <c r="D69" s="27">
        <v>46290.875</v>
      </c>
      <c r="E69" s="27">
        <v>46291.25</v>
      </c>
      <c r="F69" s="26" t="s">
        <v>418</v>
      </c>
    </row>
    <row r="70" spans="1:6" s="3" customFormat="1" ht="46.5" x14ac:dyDescent="0.35">
      <c r="A70" s="25" t="s">
        <v>382</v>
      </c>
      <c r="B70" s="25" t="s">
        <v>4</v>
      </c>
      <c r="C70" s="26" t="s">
        <v>383</v>
      </c>
      <c r="D70" s="27">
        <v>46290.833333333299</v>
      </c>
      <c r="E70" s="27">
        <v>46291.208333333299</v>
      </c>
      <c r="F70" s="26" t="s">
        <v>384</v>
      </c>
    </row>
    <row r="71" spans="1:6" s="3" customFormat="1" ht="46.5" x14ac:dyDescent="0.35">
      <c r="A71" s="25" t="s">
        <v>382</v>
      </c>
      <c r="B71" s="25" t="s">
        <v>4</v>
      </c>
      <c r="C71" s="26" t="s">
        <v>385</v>
      </c>
      <c r="D71" s="27">
        <v>46290.833333333299</v>
      </c>
      <c r="E71" s="27">
        <v>46291.208333333299</v>
      </c>
      <c r="F71" s="26" t="s">
        <v>384</v>
      </c>
    </row>
    <row r="72" spans="1:6" s="3" customFormat="1" ht="46.5" x14ac:dyDescent="0.35">
      <c r="A72" s="25" t="s">
        <v>403</v>
      </c>
      <c r="B72" s="25" t="s">
        <v>5</v>
      </c>
      <c r="C72" s="26" t="s">
        <v>406</v>
      </c>
      <c r="D72" s="27">
        <v>46290.833333333299</v>
      </c>
      <c r="E72" s="27">
        <v>46291.25</v>
      </c>
      <c r="F72" s="26" t="s">
        <v>984</v>
      </c>
    </row>
    <row r="73" spans="1:6" s="3" customFormat="1" ht="46.5" x14ac:dyDescent="0.35">
      <c r="A73" s="25" t="s">
        <v>658</v>
      </c>
      <c r="B73" s="25" t="s">
        <v>6</v>
      </c>
      <c r="C73" s="26" t="s">
        <v>824</v>
      </c>
      <c r="D73" s="27">
        <v>46290.833333333299</v>
      </c>
      <c r="E73" s="27">
        <v>46291.25</v>
      </c>
      <c r="F73" s="26" t="s">
        <v>825</v>
      </c>
    </row>
    <row r="74" spans="1:6" s="3" customFormat="1" ht="62" x14ac:dyDescent="0.35">
      <c r="A74" s="25" t="s">
        <v>658</v>
      </c>
      <c r="B74" s="25" t="s">
        <v>24</v>
      </c>
      <c r="C74" s="26" t="s">
        <v>980</v>
      </c>
      <c r="D74" s="27">
        <v>46290.833333333299</v>
      </c>
      <c r="E74" s="27">
        <v>46291.25</v>
      </c>
      <c r="F74" s="26" t="s">
        <v>981</v>
      </c>
    </row>
    <row r="75" spans="1:6" s="3" customFormat="1" ht="77.5" x14ac:dyDescent="0.35">
      <c r="A75" s="25" t="s">
        <v>396</v>
      </c>
      <c r="B75" s="25" t="s">
        <v>2</v>
      </c>
      <c r="C75" s="26" t="s">
        <v>397</v>
      </c>
      <c r="D75" s="27">
        <v>46290.833333333299</v>
      </c>
      <c r="E75" s="27">
        <v>46291.25</v>
      </c>
      <c r="F75" s="26" t="s">
        <v>398</v>
      </c>
    </row>
    <row r="76" spans="1:6" s="3" customFormat="1" ht="46.5" x14ac:dyDescent="0.35">
      <c r="A76" s="25" t="s">
        <v>396</v>
      </c>
      <c r="B76" s="25" t="s">
        <v>4</v>
      </c>
      <c r="C76" s="26" t="s">
        <v>410</v>
      </c>
      <c r="D76" s="27">
        <v>46290.875</v>
      </c>
      <c r="E76" s="27">
        <v>46291.25</v>
      </c>
      <c r="F76" s="26" t="s">
        <v>411</v>
      </c>
    </row>
    <row r="77" spans="1:6" s="3" customFormat="1" ht="31" x14ac:dyDescent="0.35">
      <c r="A77" s="25" t="s">
        <v>396</v>
      </c>
      <c r="B77" s="25" t="s">
        <v>24</v>
      </c>
      <c r="C77" s="26" t="s">
        <v>415</v>
      </c>
      <c r="D77" s="27">
        <v>46290.875</v>
      </c>
      <c r="E77" s="27">
        <v>46291.25</v>
      </c>
      <c r="F77" s="26" t="s">
        <v>416</v>
      </c>
    </row>
    <row r="78" spans="1:6" s="3" customFormat="1" ht="62" x14ac:dyDescent="0.35">
      <c r="A78" s="25" t="s">
        <v>396</v>
      </c>
      <c r="B78" s="25" t="s">
        <v>6</v>
      </c>
      <c r="C78" s="26" t="s">
        <v>977</v>
      </c>
      <c r="D78" s="27">
        <v>46290.833333333299</v>
      </c>
      <c r="E78" s="27">
        <v>46291.25</v>
      </c>
      <c r="F78" s="26" t="s">
        <v>978</v>
      </c>
    </row>
    <row r="79" spans="1:6" s="3" customFormat="1" ht="62" x14ac:dyDescent="0.35">
      <c r="A79" s="25" t="s">
        <v>396</v>
      </c>
      <c r="B79" s="25" t="s">
        <v>6</v>
      </c>
      <c r="C79" s="26" t="s">
        <v>979</v>
      </c>
      <c r="D79" s="27">
        <v>46290.833333333299</v>
      </c>
      <c r="E79" s="27">
        <v>46291.25</v>
      </c>
      <c r="F79" s="26" t="s">
        <v>978</v>
      </c>
    </row>
    <row r="80" spans="1:6" s="3" customFormat="1" ht="31" x14ac:dyDescent="0.35">
      <c r="A80" s="25" t="s">
        <v>359</v>
      </c>
      <c r="B80" s="25" t="s">
        <v>4</v>
      </c>
      <c r="C80" s="26" t="s">
        <v>637</v>
      </c>
      <c r="D80" s="27">
        <v>46290.875</v>
      </c>
      <c r="E80" s="27">
        <v>46291.291666666701</v>
      </c>
      <c r="F80" s="26" t="s">
        <v>638</v>
      </c>
    </row>
    <row r="81" spans="1:6" s="3" customFormat="1" ht="46.5" x14ac:dyDescent="0.35">
      <c r="A81" s="25" t="s">
        <v>359</v>
      </c>
      <c r="B81" s="25" t="s">
        <v>5</v>
      </c>
      <c r="C81" s="26" t="s">
        <v>964</v>
      </c>
      <c r="D81" s="27">
        <v>46290.916666666701</v>
      </c>
      <c r="E81" s="27">
        <v>46291.25</v>
      </c>
      <c r="F81" s="26" t="s">
        <v>965</v>
      </c>
    </row>
    <row r="82" spans="1:6" s="3" customFormat="1" ht="46.5" x14ac:dyDescent="0.35">
      <c r="A82" s="25" t="s">
        <v>359</v>
      </c>
      <c r="B82" s="25" t="s">
        <v>4</v>
      </c>
      <c r="C82" s="26" t="s">
        <v>982</v>
      </c>
      <c r="D82" s="27">
        <v>46290.833333333299</v>
      </c>
      <c r="E82" s="27">
        <v>46291.166666666701</v>
      </c>
      <c r="F82" s="26" t="s">
        <v>983</v>
      </c>
    </row>
    <row r="83" spans="1:6" s="3" customFormat="1" ht="62" x14ac:dyDescent="0.35">
      <c r="A83" s="25" t="s">
        <v>429</v>
      </c>
      <c r="B83" s="25" t="s">
        <v>2</v>
      </c>
      <c r="C83" s="26" t="s">
        <v>430</v>
      </c>
      <c r="D83" s="27">
        <v>46290.895833333299</v>
      </c>
      <c r="E83" s="27">
        <v>46291.229166666701</v>
      </c>
      <c r="F83" s="26" t="s">
        <v>431</v>
      </c>
    </row>
    <row r="84" spans="1:6" s="3" customFormat="1" ht="62" x14ac:dyDescent="0.35">
      <c r="A84" s="25" t="s">
        <v>429</v>
      </c>
      <c r="B84" s="25" t="s">
        <v>2</v>
      </c>
      <c r="C84" s="26" t="s">
        <v>432</v>
      </c>
      <c r="D84" s="27">
        <v>46290.895833333299</v>
      </c>
      <c r="E84" s="27">
        <v>46291.229166666701</v>
      </c>
      <c r="F84" s="26" t="s">
        <v>431</v>
      </c>
    </row>
    <row r="85" spans="1:6" s="3" customFormat="1" ht="46.5" x14ac:dyDescent="0.35">
      <c r="A85" s="25" t="s">
        <v>330</v>
      </c>
      <c r="B85" s="25" t="s">
        <v>2</v>
      </c>
      <c r="C85" s="26" t="s">
        <v>951</v>
      </c>
      <c r="D85" s="27">
        <v>46290.875</v>
      </c>
      <c r="E85" s="27">
        <v>46291.25</v>
      </c>
      <c r="F85" s="26" t="s">
        <v>952</v>
      </c>
    </row>
    <row r="86" spans="1:6" s="3" customFormat="1" ht="46.5" x14ac:dyDescent="0.35">
      <c r="A86" s="25" t="s">
        <v>330</v>
      </c>
      <c r="B86" s="25" t="s">
        <v>2</v>
      </c>
      <c r="C86" s="26" t="s">
        <v>953</v>
      </c>
      <c r="D86" s="27">
        <v>46290.875</v>
      </c>
      <c r="E86" s="27">
        <v>46291.25</v>
      </c>
      <c r="F86" s="26" t="s">
        <v>952</v>
      </c>
    </row>
    <row r="87" spans="1:6" s="3" customFormat="1" ht="46.5" x14ac:dyDescent="0.35">
      <c r="A87" s="25" t="s">
        <v>330</v>
      </c>
      <c r="B87" s="25" t="s">
        <v>6</v>
      </c>
      <c r="C87" s="26" t="s">
        <v>961</v>
      </c>
      <c r="D87" s="27">
        <v>46290.875</v>
      </c>
      <c r="E87" s="27">
        <v>46291.25</v>
      </c>
      <c r="F87" s="26" t="s">
        <v>962</v>
      </c>
    </row>
    <row r="88" spans="1:6" s="3" customFormat="1" ht="46.5" x14ac:dyDescent="0.35">
      <c r="A88" s="25" t="s">
        <v>330</v>
      </c>
      <c r="B88" s="25" t="s">
        <v>6</v>
      </c>
      <c r="C88" s="26" t="s">
        <v>963</v>
      </c>
      <c r="D88" s="27">
        <v>46290.875</v>
      </c>
      <c r="E88" s="27">
        <v>46291.25</v>
      </c>
      <c r="F88" s="26" t="s">
        <v>962</v>
      </c>
    </row>
    <row r="89" spans="1:6" s="3" customFormat="1" ht="124" x14ac:dyDescent="0.35">
      <c r="A89" s="25" t="s">
        <v>467</v>
      </c>
      <c r="B89" s="25" t="s">
        <v>4</v>
      </c>
      <c r="C89" s="26" t="s">
        <v>468</v>
      </c>
      <c r="D89" s="27">
        <v>46290.833333333299</v>
      </c>
      <c r="E89" s="27">
        <v>46291.25</v>
      </c>
      <c r="F89" s="26" t="s">
        <v>469</v>
      </c>
    </row>
    <row r="90" spans="1:6" s="3" customFormat="1" ht="46.5" x14ac:dyDescent="0.35">
      <c r="A90" s="25" t="s">
        <v>467</v>
      </c>
      <c r="B90" s="25" t="s">
        <v>4</v>
      </c>
      <c r="C90" s="26" t="s">
        <v>473</v>
      </c>
      <c r="D90" s="27">
        <v>46272.25</v>
      </c>
      <c r="E90" s="27">
        <v>46341.833333333299</v>
      </c>
      <c r="F90" s="26" t="s">
        <v>474</v>
      </c>
    </row>
    <row r="91" spans="1:6" s="3" customFormat="1" ht="62" x14ac:dyDescent="0.35">
      <c r="A91" s="25" t="s">
        <v>467</v>
      </c>
      <c r="B91" s="25" t="s">
        <v>5</v>
      </c>
      <c r="C91" s="26" t="s">
        <v>1001</v>
      </c>
      <c r="D91" s="27">
        <v>46290.833333333299</v>
      </c>
      <c r="E91" s="27">
        <v>46291.25</v>
      </c>
      <c r="F91" s="26" t="s">
        <v>1002</v>
      </c>
    </row>
    <row r="92" spans="1:6" s="3" customFormat="1" ht="62" x14ac:dyDescent="0.35">
      <c r="A92" s="25" t="s">
        <v>340</v>
      </c>
      <c r="B92" s="25" t="s">
        <v>4</v>
      </c>
      <c r="C92" s="26" t="s">
        <v>954</v>
      </c>
      <c r="D92" s="27">
        <v>46290.875</v>
      </c>
      <c r="E92" s="27">
        <v>46291.25</v>
      </c>
      <c r="F92" s="26" t="s">
        <v>955</v>
      </c>
    </row>
    <row r="93" spans="1:6" s="3" customFormat="1" ht="62" x14ac:dyDescent="0.35">
      <c r="A93" s="25" t="s">
        <v>340</v>
      </c>
      <c r="B93" s="25" t="s">
        <v>4</v>
      </c>
      <c r="C93" s="26" t="s">
        <v>956</v>
      </c>
      <c r="D93" s="27">
        <v>46290.875</v>
      </c>
      <c r="E93" s="27">
        <v>46291.25</v>
      </c>
      <c r="F93" s="26" t="s">
        <v>955</v>
      </c>
    </row>
    <row r="94" spans="1:6" s="3" customFormat="1" ht="46.5" x14ac:dyDescent="0.35">
      <c r="A94" s="25" t="s">
        <v>340</v>
      </c>
      <c r="B94" s="25" t="s">
        <v>5</v>
      </c>
      <c r="C94" s="26" t="s">
        <v>341</v>
      </c>
      <c r="D94" s="27">
        <v>46290.875</v>
      </c>
      <c r="E94" s="27">
        <v>46291.25</v>
      </c>
      <c r="F94" s="26" t="s">
        <v>342</v>
      </c>
    </row>
    <row r="95" spans="1:6" s="3" customFormat="1" ht="46.5" x14ac:dyDescent="0.35">
      <c r="A95" s="25" t="s">
        <v>340</v>
      </c>
      <c r="B95" s="25" t="s">
        <v>4</v>
      </c>
      <c r="C95" s="26" t="s">
        <v>343</v>
      </c>
      <c r="D95" s="27">
        <v>46290.875</v>
      </c>
      <c r="E95" s="27">
        <v>46291.25</v>
      </c>
      <c r="F95" s="26" t="s">
        <v>342</v>
      </c>
    </row>
    <row r="96" spans="1:6" s="3" customFormat="1" ht="31" x14ac:dyDescent="0.35">
      <c r="A96" s="25" t="s">
        <v>340</v>
      </c>
      <c r="B96" s="25" t="s">
        <v>5</v>
      </c>
      <c r="C96" s="26" t="s">
        <v>957</v>
      </c>
      <c r="D96" s="27">
        <v>46290.875</v>
      </c>
      <c r="E96" s="27">
        <v>46291.25</v>
      </c>
      <c r="F96" s="26" t="s">
        <v>958</v>
      </c>
    </row>
    <row r="97" spans="1:6" s="3" customFormat="1" ht="77.5" x14ac:dyDescent="0.35">
      <c r="A97" s="25" t="s">
        <v>340</v>
      </c>
      <c r="B97" s="25" t="s">
        <v>5</v>
      </c>
      <c r="C97" s="26" t="s">
        <v>1003</v>
      </c>
      <c r="D97" s="27">
        <v>46290.833333333299</v>
      </c>
      <c r="E97" s="27">
        <v>46291.25</v>
      </c>
      <c r="F97" s="26" t="s">
        <v>1004</v>
      </c>
    </row>
    <row r="98" spans="1:6" s="3" customFormat="1" ht="46.5" x14ac:dyDescent="0.35">
      <c r="A98" s="25" t="s">
        <v>327</v>
      </c>
      <c r="B98" s="25" t="s">
        <v>6</v>
      </c>
      <c r="C98" s="26" t="s">
        <v>338</v>
      </c>
      <c r="D98" s="27">
        <v>46290.875</v>
      </c>
      <c r="E98" s="27">
        <v>46291.25</v>
      </c>
      <c r="F98" s="26" t="s">
        <v>339</v>
      </c>
    </row>
    <row r="99" spans="1:6" s="18" customFormat="1" ht="139.5" x14ac:dyDescent="0.35">
      <c r="A99" s="25" t="s">
        <v>489</v>
      </c>
      <c r="B99" s="25" t="s">
        <v>24</v>
      </c>
      <c r="C99" s="26" t="s">
        <v>490</v>
      </c>
      <c r="D99" s="27">
        <v>46290.833333333299</v>
      </c>
      <c r="E99" s="27">
        <v>46291.25</v>
      </c>
      <c r="F99" s="26" t="s">
        <v>491</v>
      </c>
    </row>
    <row r="100" spans="1:6" s="3" customFormat="1" ht="108.5" x14ac:dyDescent="0.35">
      <c r="A100" s="25" t="s">
        <v>470</v>
      </c>
      <c r="B100" s="25" t="s">
        <v>5</v>
      </c>
      <c r="C100" s="26" t="s">
        <v>471</v>
      </c>
      <c r="D100" s="27">
        <v>46290.875</v>
      </c>
      <c r="E100" s="27">
        <v>46291.25</v>
      </c>
      <c r="F100" s="26" t="s">
        <v>472</v>
      </c>
    </row>
    <row r="101" spans="1:6" s="3" customFormat="1" ht="46.5" x14ac:dyDescent="0.35">
      <c r="A101" s="25" t="s">
        <v>470</v>
      </c>
      <c r="B101" s="25" t="s">
        <v>4</v>
      </c>
      <c r="C101" s="26" t="s">
        <v>479</v>
      </c>
      <c r="D101" s="27">
        <v>46290.833333333299</v>
      </c>
      <c r="E101" s="27">
        <v>46291.25</v>
      </c>
      <c r="F101" s="26" t="s">
        <v>480</v>
      </c>
    </row>
    <row r="102" spans="1:6" s="3" customFormat="1" ht="46.5" x14ac:dyDescent="0.35">
      <c r="A102" s="25" t="s">
        <v>470</v>
      </c>
      <c r="B102" s="25" t="s">
        <v>5</v>
      </c>
      <c r="C102" s="26" t="s">
        <v>481</v>
      </c>
      <c r="D102" s="27">
        <v>46290.833333333299</v>
      </c>
      <c r="E102" s="27">
        <v>46291.25</v>
      </c>
      <c r="F102" s="26" t="s">
        <v>482</v>
      </c>
    </row>
    <row r="103" spans="1:6" s="6" customFormat="1" ht="77.5" x14ac:dyDescent="0.35">
      <c r="A103" s="25" t="s">
        <v>470</v>
      </c>
      <c r="B103" s="25" t="s">
        <v>5</v>
      </c>
      <c r="C103" s="26" t="s">
        <v>483</v>
      </c>
      <c r="D103" s="27">
        <v>46290.875</v>
      </c>
      <c r="E103" s="27">
        <v>46291.25</v>
      </c>
      <c r="F103" s="26" t="s">
        <v>484</v>
      </c>
    </row>
    <row r="104" spans="1:6" s="6" customFormat="1" ht="108.5" x14ac:dyDescent="0.35">
      <c r="A104" s="25" t="s">
        <v>470</v>
      </c>
      <c r="B104" s="25" t="s">
        <v>6</v>
      </c>
      <c r="C104" s="26" t="s">
        <v>521</v>
      </c>
      <c r="D104" s="27">
        <v>46202.875</v>
      </c>
      <c r="E104" s="27">
        <v>46508.208333333299</v>
      </c>
      <c r="F104" s="26" t="s">
        <v>522</v>
      </c>
    </row>
    <row r="105" spans="1:6" s="6" customFormat="1" ht="108.5" x14ac:dyDescent="0.35">
      <c r="A105" s="25" t="s">
        <v>470</v>
      </c>
      <c r="B105" s="25" t="s">
        <v>2</v>
      </c>
      <c r="C105" s="26" t="s">
        <v>523</v>
      </c>
      <c r="D105" s="27">
        <v>46266.333333333299</v>
      </c>
      <c r="E105" s="27">
        <v>46507</v>
      </c>
      <c r="F105" s="26" t="s">
        <v>522</v>
      </c>
    </row>
    <row r="106" spans="1:6" s="6" customFormat="1" ht="108.5" x14ac:dyDescent="0.35">
      <c r="A106" s="25" t="s">
        <v>470</v>
      </c>
      <c r="B106" s="25" t="s">
        <v>6</v>
      </c>
      <c r="C106" s="26" t="s">
        <v>1007</v>
      </c>
      <c r="D106" s="27">
        <v>46290.833333333299</v>
      </c>
      <c r="E106" s="27">
        <v>46291.25</v>
      </c>
      <c r="F106" s="26" t="s">
        <v>528</v>
      </c>
    </row>
    <row r="107" spans="1:6" s="6" customFormat="1" ht="108.5" x14ac:dyDescent="0.35">
      <c r="A107" s="25" t="s">
        <v>470</v>
      </c>
      <c r="B107" s="25" t="s">
        <v>6</v>
      </c>
      <c r="C107" s="26" t="s">
        <v>1008</v>
      </c>
      <c r="D107" s="27">
        <v>46290.833333333299</v>
      </c>
      <c r="E107" s="27">
        <v>46291.25</v>
      </c>
      <c r="F107" s="26" t="s">
        <v>528</v>
      </c>
    </row>
    <row r="108" spans="1:6" s="6" customFormat="1" ht="62" x14ac:dyDescent="0.35">
      <c r="A108" s="25" t="s">
        <v>702</v>
      </c>
      <c r="B108" s="25" t="s">
        <v>5</v>
      </c>
      <c r="C108" s="26" t="s">
        <v>703</v>
      </c>
      <c r="D108" s="27">
        <v>46290.833333333299</v>
      </c>
      <c r="E108" s="27">
        <v>46293.25</v>
      </c>
      <c r="F108" s="26" t="s">
        <v>704</v>
      </c>
    </row>
    <row r="109" spans="1:6" s="6" customFormat="1" ht="77.5" x14ac:dyDescent="0.35">
      <c r="A109" s="25" t="s">
        <v>492</v>
      </c>
      <c r="B109" s="25" t="s">
        <v>2</v>
      </c>
      <c r="C109" s="26" t="s">
        <v>780</v>
      </c>
      <c r="D109" s="27">
        <v>46290.958333333299</v>
      </c>
      <c r="E109" s="27">
        <v>46293.25</v>
      </c>
      <c r="F109" s="26" t="s">
        <v>781</v>
      </c>
    </row>
    <row r="110" spans="1:6" s="6" customFormat="1" ht="77.5" x14ac:dyDescent="0.35">
      <c r="A110" s="25" t="s">
        <v>492</v>
      </c>
      <c r="B110" s="25" t="s">
        <v>6</v>
      </c>
      <c r="C110" s="26" t="s">
        <v>782</v>
      </c>
      <c r="D110" s="27">
        <v>46290.958333333299</v>
      </c>
      <c r="E110" s="27">
        <v>46293.25</v>
      </c>
      <c r="F110" s="26" t="s">
        <v>783</v>
      </c>
    </row>
    <row r="111" spans="1:6" s="6" customFormat="1" ht="93" x14ac:dyDescent="0.35">
      <c r="A111" s="25" t="s">
        <v>545</v>
      </c>
      <c r="B111" s="25" t="s">
        <v>7</v>
      </c>
      <c r="C111" s="26" t="s">
        <v>546</v>
      </c>
      <c r="D111" s="27">
        <v>46217.625</v>
      </c>
      <c r="E111" s="27">
        <v>46387.875</v>
      </c>
      <c r="F111" s="26" t="s">
        <v>547</v>
      </c>
    </row>
    <row r="112" spans="1:6" s="6" customFormat="1" ht="93" x14ac:dyDescent="0.35">
      <c r="A112" s="25" t="s">
        <v>73</v>
      </c>
      <c r="B112" s="25" t="s">
        <v>2</v>
      </c>
      <c r="C112" s="26" t="s">
        <v>866</v>
      </c>
      <c r="D112" s="27">
        <v>46290.833333333299</v>
      </c>
      <c r="E112" s="27">
        <v>46291.25</v>
      </c>
      <c r="F112" s="26" t="s">
        <v>75</v>
      </c>
    </row>
    <row r="113" spans="1:6" s="6" customFormat="1" ht="93" x14ac:dyDescent="0.35">
      <c r="A113" s="25" t="s">
        <v>73</v>
      </c>
      <c r="B113" s="25" t="s">
        <v>2</v>
      </c>
      <c r="C113" s="26" t="s">
        <v>867</v>
      </c>
      <c r="D113" s="27">
        <v>46290.833333333299</v>
      </c>
      <c r="E113" s="27">
        <v>46291.25</v>
      </c>
      <c r="F113" s="26" t="s">
        <v>75</v>
      </c>
    </row>
    <row r="114" spans="1:6" s="14" customFormat="1" ht="77.5" x14ac:dyDescent="0.35">
      <c r="A114" s="25" t="s">
        <v>73</v>
      </c>
      <c r="B114" s="25" t="s">
        <v>6</v>
      </c>
      <c r="C114" s="26" t="s">
        <v>543</v>
      </c>
      <c r="D114" s="27">
        <v>46290.833333333299</v>
      </c>
      <c r="E114" s="27">
        <v>46291.25</v>
      </c>
      <c r="F114" s="26" t="s">
        <v>544</v>
      </c>
    </row>
    <row r="115" spans="1:6" s="6" customFormat="1" ht="62" x14ac:dyDescent="0.35">
      <c r="A115" s="25" t="s">
        <v>73</v>
      </c>
      <c r="B115" s="25" t="s">
        <v>2</v>
      </c>
      <c r="C115" s="26" t="s">
        <v>1019</v>
      </c>
      <c r="D115" s="27">
        <v>46290.875</v>
      </c>
      <c r="E115" s="27">
        <v>46291.25</v>
      </c>
      <c r="F115" s="26" t="s">
        <v>1020</v>
      </c>
    </row>
    <row r="116" spans="1:6" s="6" customFormat="1" ht="77.5" x14ac:dyDescent="0.35">
      <c r="A116" s="25" t="s">
        <v>23</v>
      </c>
      <c r="B116" s="25" t="s">
        <v>24</v>
      </c>
      <c r="C116" s="26" t="s">
        <v>25</v>
      </c>
      <c r="D116" s="27">
        <v>46290.833333333299</v>
      </c>
      <c r="E116" s="27">
        <v>46291.25</v>
      </c>
      <c r="F116" s="26" t="s">
        <v>26</v>
      </c>
    </row>
    <row r="117" spans="1:6" s="6" customFormat="1" ht="77.5" x14ac:dyDescent="0.35">
      <c r="A117" s="25" t="s">
        <v>23</v>
      </c>
      <c r="B117" s="25" t="s">
        <v>24</v>
      </c>
      <c r="C117" s="26" t="s">
        <v>27</v>
      </c>
      <c r="D117" s="27">
        <v>46290.833333333299</v>
      </c>
      <c r="E117" s="27">
        <v>46291.25</v>
      </c>
      <c r="F117" s="26" t="s">
        <v>28</v>
      </c>
    </row>
    <row r="118" spans="1:6" s="6" customFormat="1" ht="62" x14ac:dyDescent="0.35">
      <c r="A118" s="25" t="s">
        <v>23</v>
      </c>
      <c r="B118" s="25" t="s">
        <v>4</v>
      </c>
      <c r="C118" s="26" t="s">
        <v>843</v>
      </c>
      <c r="D118" s="27">
        <v>46290.833333333299</v>
      </c>
      <c r="E118" s="27">
        <v>46291.25</v>
      </c>
      <c r="F118" s="26" t="s">
        <v>567</v>
      </c>
    </row>
    <row r="119" spans="1:6" s="6" customFormat="1" ht="77.5" x14ac:dyDescent="0.35">
      <c r="A119" s="25" t="s">
        <v>537</v>
      </c>
      <c r="B119" s="25" t="s">
        <v>24</v>
      </c>
      <c r="C119" s="26" t="s">
        <v>538</v>
      </c>
      <c r="D119" s="27">
        <v>46230.833333333299</v>
      </c>
      <c r="E119" s="27">
        <v>46403.25</v>
      </c>
      <c r="F119" s="26" t="s">
        <v>539</v>
      </c>
    </row>
    <row r="120" spans="1:6" s="6" customFormat="1" ht="46.5" x14ac:dyDescent="0.35">
      <c r="A120" s="25" t="s">
        <v>943</v>
      </c>
      <c r="B120" s="25" t="s">
        <v>4</v>
      </c>
      <c r="C120" s="26" t="s">
        <v>944</v>
      </c>
      <c r="D120" s="27">
        <v>46290.833333333299</v>
      </c>
      <c r="E120" s="27">
        <v>46291.25</v>
      </c>
      <c r="F120" s="26" t="s">
        <v>945</v>
      </c>
    </row>
    <row r="121" spans="1:6" s="6" customFormat="1" ht="46.5" x14ac:dyDescent="0.35">
      <c r="A121" s="25" t="s">
        <v>943</v>
      </c>
      <c r="B121" s="25" t="s">
        <v>5</v>
      </c>
      <c r="C121" s="26" t="s">
        <v>946</v>
      </c>
      <c r="D121" s="27">
        <v>46290.833333333299</v>
      </c>
      <c r="E121" s="27">
        <v>46291.25</v>
      </c>
      <c r="F121" s="26" t="s">
        <v>945</v>
      </c>
    </row>
    <row r="122" spans="1:6" s="6" customFormat="1" ht="93" x14ac:dyDescent="0.35">
      <c r="A122" s="25" t="s">
        <v>120</v>
      </c>
      <c r="B122" s="25" t="s">
        <v>24</v>
      </c>
      <c r="C122" s="26" t="s">
        <v>711</v>
      </c>
      <c r="D122" s="27">
        <v>46290.833333333299</v>
      </c>
      <c r="E122" s="27">
        <v>46291.25</v>
      </c>
      <c r="F122" s="26" t="s">
        <v>712</v>
      </c>
    </row>
    <row r="123" spans="1:6" s="6" customFormat="1" ht="46.5" x14ac:dyDescent="0.35">
      <c r="A123" s="25" t="s">
        <v>273</v>
      </c>
      <c r="B123" s="25" t="s">
        <v>5</v>
      </c>
      <c r="C123" s="26" t="s">
        <v>274</v>
      </c>
      <c r="D123" s="27">
        <v>46290.875</v>
      </c>
      <c r="E123" s="27">
        <v>46291.208333333299</v>
      </c>
      <c r="F123" s="26" t="s">
        <v>275</v>
      </c>
    </row>
    <row r="124" spans="1:6" s="6" customFormat="1" ht="62" x14ac:dyDescent="0.35">
      <c r="A124" s="25" t="s">
        <v>744</v>
      </c>
      <c r="B124" s="25" t="s">
        <v>2</v>
      </c>
      <c r="C124" s="26" t="s">
        <v>928</v>
      </c>
      <c r="D124" s="27">
        <v>46290.875</v>
      </c>
      <c r="E124" s="27">
        <v>46291.25</v>
      </c>
      <c r="F124" s="26" t="s">
        <v>277</v>
      </c>
    </row>
    <row r="125" spans="1:6" s="6" customFormat="1" ht="46.5" x14ac:dyDescent="0.35">
      <c r="A125" s="25" t="s">
        <v>840</v>
      </c>
      <c r="B125" s="25" t="s">
        <v>6</v>
      </c>
      <c r="C125" s="26" t="s">
        <v>1023</v>
      </c>
      <c r="D125" s="27">
        <v>46290.791666666701</v>
      </c>
      <c r="E125" s="27">
        <v>46291.208333333299</v>
      </c>
      <c r="F125" s="26" t="s">
        <v>1024</v>
      </c>
    </row>
    <row r="126" spans="1:6" s="5" customFormat="1" ht="108.5" x14ac:dyDescent="0.35">
      <c r="A126" s="25" t="s">
        <v>897</v>
      </c>
      <c r="B126" s="25" t="s">
        <v>2</v>
      </c>
      <c r="C126" s="26" t="s">
        <v>898</v>
      </c>
      <c r="D126" s="27">
        <v>46290.833333333299</v>
      </c>
      <c r="E126" s="27">
        <v>46291.25</v>
      </c>
      <c r="F126" s="26" t="s">
        <v>899</v>
      </c>
    </row>
    <row r="127" spans="1:6" s="5" customFormat="1" ht="108.5" x14ac:dyDescent="0.35">
      <c r="A127" s="25" t="s">
        <v>897</v>
      </c>
      <c r="B127" s="25" t="s">
        <v>6</v>
      </c>
      <c r="C127" s="26" t="s">
        <v>900</v>
      </c>
      <c r="D127" s="27">
        <v>46290.833333333299</v>
      </c>
      <c r="E127" s="27">
        <v>46291.25</v>
      </c>
      <c r="F127" s="26" t="s">
        <v>899</v>
      </c>
    </row>
    <row r="128" spans="1:6" s="5" customFormat="1" ht="93" x14ac:dyDescent="0.35">
      <c r="A128" s="25" t="s">
        <v>166</v>
      </c>
      <c r="B128" s="25" t="s">
        <v>6</v>
      </c>
      <c r="C128" s="26" t="s">
        <v>167</v>
      </c>
      <c r="D128" s="27">
        <v>46237.833333333299</v>
      </c>
      <c r="E128" s="27">
        <v>46326.25</v>
      </c>
      <c r="F128" s="26" t="s">
        <v>168</v>
      </c>
    </row>
    <row r="129" spans="1:6" s="5" customFormat="1" ht="93" x14ac:dyDescent="0.35">
      <c r="A129" s="25" t="s">
        <v>166</v>
      </c>
      <c r="B129" s="25" t="s">
        <v>2</v>
      </c>
      <c r="C129" s="26" t="s">
        <v>169</v>
      </c>
      <c r="D129" s="27">
        <v>46237.833333333299</v>
      </c>
      <c r="E129" s="27">
        <v>46326.25</v>
      </c>
      <c r="F129" s="26" t="s">
        <v>168</v>
      </c>
    </row>
    <row r="130" spans="1:6" s="5" customFormat="1" ht="77.5" x14ac:dyDescent="0.35">
      <c r="A130" s="25" t="s">
        <v>134</v>
      </c>
      <c r="B130" s="25" t="s">
        <v>5</v>
      </c>
      <c r="C130" s="26" t="s">
        <v>135</v>
      </c>
      <c r="D130" s="27">
        <v>46290.833333333299</v>
      </c>
      <c r="E130" s="27">
        <v>46291.25</v>
      </c>
      <c r="F130" s="26" t="s">
        <v>136</v>
      </c>
    </row>
    <row r="131" spans="1:6" s="5" customFormat="1" ht="77.5" x14ac:dyDescent="0.35">
      <c r="A131" s="25" t="s">
        <v>134</v>
      </c>
      <c r="B131" s="25" t="s">
        <v>5</v>
      </c>
      <c r="C131" s="26" t="s">
        <v>137</v>
      </c>
      <c r="D131" s="27">
        <v>46290.833333333299</v>
      </c>
      <c r="E131" s="27">
        <v>46291.25</v>
      </c>
      <c r="F131" s="26" t="s">
        <v>136</v>
      </c>
    </row>
    <row r="132" spans="1:6" s="5" customFormat="1" ht="77.5" x14ac:dyDescent="0.35">
      <c r="A132" s="25" t="s">
        <v>134</v>
      </c>
      <c r="B132" s="25" t="s">
        <v>5</v>
      </c>
      <c r="C132" s="26" t="s">
        <v>138</v>
      </c>
      <c r="D132" s="27">
        <v>46290.833333333299</v>
      </c>
      <c r="E132" s="27">
        <v>46291</v>
      </c>
      <c r="F132" s="26" t="s">
        <v>136</v>
      </c>
    </row>
    <row r="133" spans="1:6" s="5" customFormat="1" ht="77.5" x14ac:dyDescent="0.35">
      <c r="A133" s="25" t="s">
        <v>134</v>
      </c>
      <c r="B133" s="25" t="s">
        <v>5</v>
      </c>
      <c r="C133" s="26" t="s">
        <v>143</v>
      </c>
      <c r="D133" s="27">
        <v>46290.833333333299</v>
      </c>
      <c r="E133" s="27">
        <v>46291.25</v>
      </c>
      <c r="F133" s="26" t="s">
        <v>144</v>
      </c>
    </row>
    <row r="134" spans="1:6" s="5" customFormat="1" ht="77.5" x14ac:dyDescent="0.35">
      <c r="A134" s="25" t="s">
        <v>134</v>
      </c>
      <c r="B134" s="25" t="s">
        <v>5</v>
      </c>
      <c r="C134" s="26" t="s">
        <v>145</v>
      </c>
      <c r="D134" s="27">
        <v>46290.833333333299</v>
      </c>
      <c r="E134" s="27">
        <v>46291.25</v>
      </c>
      <c r="F134" s="26" t="s">
        <v>144</v>
      </c>
    </row>
    <row r="135" spans="1:6" s="5" customFormat="1" ht="77.5" x14ac:dyDescent="0.35">
      <c r="A135" s="25" t="s">
        <v>134</v>
      </c>
      <c r="B135" s="25" t="s">
        <v>5</v>
      </c>
      <c r="C135" s="26" t="s">
        <v>146</v>
      </c>
      <c r="D135" s="27">
        <v>46290.833333333299</v>
      </c>
      <c r="E135" s="27">
        <v>46291.25</v>
      </c>
      <c r="F135" s="26" t="s">
        <v>144</v>
      </c>
    </row>
    <row r="136" spans="1:6" s="5" customFormat="1" ht="77.5" x14ac:dyDescent="0.35">
      <c r="A136" s="25" t="s">
        <v>134</v>
      </c>
      <c r="B136" s="25" t="s">
        <v>5</v>
      </c>
      <c r="C136" s="26" t="s">
        <v>147</v>
      </c>
      <c r="D136" s="27">
        <v>46290.833333333299</v>
      </c>
      <c r="E136" s="27">
        <v>46291.25</v>
      </c>
      <c r="F136" s="26" t="s">
        <v>144</v>
      </c>
    </row>
    <row r="137" spans="1:6" s="5" customFormat="1" ht="77.5" x14ac:dyDescent="0.35">
      <c r="A137" s="25" t="s">
        <v>134</v>
      </c>
      <c r="B137" s="25" t="s">
        <v>5</v>
      </c>
      <c r="C137" s="26" t="s">
        <v>137</v>
      </c>
      <c r="D137" s="27">
        <v>46290.833333333299</v>
      </c>
      <c r="E137" s="27">
        <v>46291.25</v>
      </c>
      <c r="F137" s="26" t="s">
        <v>144</v>
      </c>
    </row>
    <row r="138" spans="1:6" s="5" customFormat="1" ht="62" x14ac:dyDescent="0.35">
      <c r="A138" s="25" t="s">
        <v>903</v>
      </c>
      <c r="B138" s="25" t="s">
        <v>4</v>
      </c>
      <c r="C138" s="26" t="s">
        <v>904</v>
      </c>
      <c r="D138" s="27">
        <v>46290.833333333299</v>
      </c>
      <c r="E138" s="27">
        <v>46291.25</v>
      </c>
      <c r="F138" s="26" t="s">
        <v>905</v>
      </c>
    </row>
    <row r="139" spans="1:6" s="5" customFormat="1" ht="77.5" x14ac:dyDescent="0.35">
      <c r="A139" s="25" t="s">
        <v>201</v>
      </c>
      <c r="B139" s="25" t="s">
        <v>5</v>
      </c>
      <c r="C139" s="26" t="s">
        <v>202</v>
      </c>
      <c r="D139" s="27">
        <v>46290.833333333299</v>
      </c>
      <c r="E139" s="27">
        <v>46291.25</v>
      </c>
      <c r="F139" s="26" t="s">
        <v>203</v>
      </c>
    </row>
    <row r="140" spans="1:6" s="5" customFormat="1" ht="77.5" x14ac:dyDescent="0.35">
      <c r="A140" s="25" t="s">
        <v>201</v>
      </c>
      <c r="B140" s="25" t="s">
        <v>5</v>
      </c>
      <c r="C140" s="26" t="s">
        <v>204</v>
      </c>
      <c r="D140" s="27">
        <v>46290.833333333299</v>
      </c>
      <c r="E140" s="27">
        <v>46291.25</v>
      </c>
      <c r="F140" s="26" t="s">
        <v>203</v>
      </c>
    </row>
    <row r="141" spans="1:6" ht="77.5" x14ac:dyDescent="0.35">
      <c r="A141" s="25" t="s">
        <v>201</v>
      </c>
      <c r="B141" s="25" t="s">
        <v>5</v>
      </c>
      <c r="C141" s="26" t="s">
        <v>205</v>
      </c>
      <c r="D141" s="27">
        <v>46290.833333333299</v>
      </c>
      <c r="E141" s="27">
        <v>46291.25</v>
      </c>
      <c r="F141" s="26" t="s">
        <v>203</v>
      </c>
    </row>
    <row r="142" spans="1:6" ht="77.5" x14ac:dyDescent="0.35">
      <c r="A142" s="25" t="s">
        <v>201</v>
      </c>
      <c r="B142" s="25" t="s">
        <v>5</v>
      </c>
      <c r="C142" s="26" t="s">
        <v>206</v>
      </c>
      <c r="D142" s="27">
        <v>46290.833333333299</v>
      </c>
      <c r="E142" s="27">
        <v>46291.25</v>
      </c>
      <c r="F142" s="26" t="s">
        <v>203</v>
      </c>
    </row>
    <row r="143" spans="1:6" ht="77.5" x14ac:dyDescent="0.35">
      <c r="A143" s="25" t="s">
        <v>201</v>
      </c>
      <c r="B143" s="25" t="s">
        <v>5</v>
      </c>
      <c r="C143" s="26" t="s">
        <v>207</v>
      </c>
      <c r="D143" s="27">
        <v>46290.833333333299</v>
      </c>
      <c r="E143" s="27">
        <v>46291.25</v>
      </c>
      <c r="F143" s="26" t="s">
        <v>203</v>
      </c>
    </row>
    <row r="144" spans="1:6" ht="46.5" x14ac:dyDescent="0.35">
      <c r="A144" s="25" t="s">
        <v>201</v>
      </c>
      <c r="B144" s="25" t="s">
        <v>24</v>
      </c>
      <c r="C144" s="26" t="s">
        <v>757</v>
      </c>
      <c r="D144" s="27">
        <v>46290.791666666701</v>
      </c>
      <c r="E144" s="27">
        <v>46293.25</v>
      </c>
      <c r="F144" s="26" t="s">
        <v>758</v>
      </c>
    </row>
    <row r="145" spans="1:6" ht="77.5" x14ac:dyDescent="0.35">
      <c r="A145" s="25" t="s">
        <v>55</v>
      </c>
      <c r="B145" s="25" t="s">
        <v>2</v>
      </c>
      <c r="C145" s="26" t="s">
        <v>56</v>
      </c>
      <c r="D145" s="27">
        <v>46290.875</v>
      </c>
      <c r="E145" s="27">
        <v>46291.208333333299</v>
      </c>
      <c r="F145" s="26" t="s">
        <v>57</v>
      </c>
    </row>
    <row r="146" spans="1:6" ht="46.5" x14ac:dyDescent="0.35">
      <c r="A146" s="25" t="s">
        <v>55</v>
      </c>
      <c r="B146" s="25" t="s">
        <v>6</v>
      </c>
      <c r="C146" s="26" t="s">
        <v>853</v>
      </c>
      <c r="D146" s="27">
        <v>46290.916666666701</v>
      </c>
      <c r="E146" s="27">
        <v>46291.208333333299</v>
      </c>
      <c r="F146" s="26" t="s">
        <v>791</v>
      </c>
    </row>
    <row r="147" spans="1:6" ht="77.5" x14ac:dyDescent="0.35">
      <c r="A147" s="25" t="s">
        <v>55</v>
      </c>
      <c r="B147" s="25" t="s">
        <v>2</v>
      </c>
      <c r="C147" s="26" t="s">
        <v>891</v>
      </c>
      <c r="D147" s="27">
        <v>46290.854166666701</v>
      </c>
      <c r="E147" s="27">
        <v>46291.25</v>
      </c>
      <c r="F147" s="26" t="s">
        <v>892</v>
      </c>
    </row>
    <row r="148" spans="1:6" ht="77.5" x14ac:dyDescent="0.35">
      <c r="A148" s="25" t="s">
        <v>55</v>
      </c>
      <c r="B148" s="25" t="s">
        <v>2</v>
      </c>
      <c r="C148" s="26" t="s">
        <v>893</v>
      </c>
      <c r="D148" s="27">
        <v>46290.854166666701</v>
      </c>
      <c r="E148" s="27">
        <v>46291.25</v>
      </c>
      <c r="F148" s="26" t="s">
        <v>892</v>
      </c>
    </row>
    <row r="149" spans="1:6" ht="77.5" x14ac:dyDescent="0.35">
      <c r="A149" s="25" t="s">
        <v>55</v>
      </c>
      <c r="B149" s="25" t="s">
        <v>2</v>
      </c>
      <c r="C149" s="26" t="s">
        <v>894</v>
      </c>
      <c r="D149" s="27">
        <v>46290.854166666701</v>
      </c>
      <c r="E149" s="27">
        <v>46291.25</v>
      </c>
      <c r="F149" s="26" t="s">
        <v>892</v>
      </c>
    </row>
    <row r="150" spans="1:6" ht="46.5" x14ac:dyDescent="0.35">
      <c r="A150" s="25" t="s">
        <v>55</v>
      </c>
      <c r="B150" s="25" t="s">
        <v>2</v>
      </c>
      <c r="C150" s="26" t="s">
        <v>435</v>
      </c>
      <c r="D150" s="27">
        <v>46290.958333333299</v>
      </c>
      <c r="E150" s="27">
        <v>46291.25</v>
      </c>
      <c r="F150" s="26" t="s">
        <v>436</v>
      </c>
    </row>
    <row r="151" spans="1:6" ht="77.5" x14ac:dyDescent="0.35">
      <c r="A151" s="25" t="s">
        <v>46</v>
      </c>
      <c r="B151" s="25" t="s">
        <v>2</v>
      </c>
      <c r="C151" s="26" t="s">
        <v>425</v>
      </c>
      <c r="D151" s="27">
        <v>46290.958333333299</v>
      </c>
      <c r="E151" s="27">
        <v>46291.25</v>
      </c>
      <c r="F151" s="26" t="s">
        <v>426</v>
      </c>
    </row>
    <row r="152" spans="1:6" ht="62" x14ac:dyDescent="0.35">
      <c r="A152" s="25" t="s">
        <v>598</v>
      </c>
      <c r="B152" s="25" t="s">
        <v>2</v>
      </c>
      <c r="C152" s="26" t="s">
        <v>599</v>
      </c>
      <c r="D152" s="27">
        <v>46290.833333333299</v>
      </c>
      <c r="E152" s="27">
        <v>46291.25</v>
      </c>
      <c r="F152" s="26" t="s">
        <v>600</v>
      </c>
    </row>
    <row r="153" spans="1:6" ht="108.5" x14ac:dyDescent="0.35">
      <c r="A153" s="25" t="s">
        <v>128</v>
      </c>
      <c r="B153" s="25" t="s">
        <v>5</v>
      </c>
      <c r="C153" s="26" t="s">
        <v>129</v>
      </c>
      <c r="D153" s="27">
        <v>46290.833333333299</v>
      </c>
      <c r="E153" s="27">
        <v>46291.25</v>
      </c>
      <c r="F153" s="26" t="s">
        <v>130</v>
      </c>
    </row>
    <row r="154" spans="1:6" ht="108.5" x14ac:dyDescent="0.35">
      <c r="A154" s="25" t="s">
        <v>128</v>
      </c>
      <c r="B154" s="25" t="s">
        <v>5</v>
      </c>
      <c r="C154" s="26" t="s">
        <v>133</v>
      </c>
      <c r="D154" s="27">
        <v>46290.833333333299</v>
      </c>
      <c r="E154" s="27">
        <v>46291.25</v>
      </c>
      <c r="F154" s="26" t="s">
        <v>130</v>
      </c>
    </row>
    <row r="155" spans="1:6" ht="108.5" x14ac:dyDescent="0.35">
      <c r="A155" s="25" t="s">
        <v>131</v>
      </c>
      <c r="B155" s="25" t="s">
        <v>6</v>
      </c>
      <c r="C155" s="26" t="s">
        <v>132</v>
      </c>
      <c r="D155" s="27">
        <v>46290.833333333299</v>
      </c>
      <c r="E155" s="27">
        <v>46291.25</v>
      </c>
      <c r="F155" s="26" t="s">
        <v>130</v>
      </c>
    </row>
    <row r="156" spans="1:6" ht="31" x14ac:dyDescent="0.35">
      <c r="A156" s="25" t="s">
        <v>399</v>
      </c>
      <c r="B156" s="25" t="s">
        <v>5</v>
      </c>
      <c r="C156" s="26" t="s">
        <v>971</v>
      </c>
      <c r="D156" s="27">
        <v>46290.833333333299</v>
      </c>
      <c r="E156" s="27">
        <v>46291.25</v>
      </c>
      <c r="F156" s="26" t="s">
        <v>972</v>
      </c>
    </row>
    <row r="157" spans="1:6" ht="31" x14ac:dyDescent="0.35">
      <c r="A157" s="25" t="s">
        <v>399</v>
      </c>
      <c r="B157" s="25" t="s">
        <v>5</v>
      </c>
      <c r="C157" s="26" t="s">
        <v>973</v>
      </c>
      <c r="D157" s="27">
        <v>46290.833333333299</v>
      </c>
      <c r="E157" s="27">
        <v>46291.25</v>
      </c>
      <c r="F157" s="26" t="s">
        <v>972</v>
      </c>
    </row>
    <row r="158" spans="1:6" ht="31" x14ac:dyDescent="0.35">
      <c r="A158" s="25" t="s">
        <v>399</v>
      </c>
      <c r="B158" s="25" t="s">
        <v>5</v>
      </c>
      <c r="C158" s="26" t="s">
        <v>974</v>
      </c>
      <c r="D158" s="27">
        <v>46290.833333333299</v>
      </c>
      <c r="E158" s="27">
        <v>46291.25</v>
      </c>
      <c r="F158" s="26" t="s">
        <v>972</v>
      </c>
    </row>
    <row r="159" spans="1:6" ht="46.5" x14ac:dyDescent="0.35">
      <c r="A159" s="25" t="s">
        <v>399</v>
      </c>
      <c r="B159" s="25" t="s">
        <v>5</v>
      </c>
      <c r="C159" s="26" t="s">
        <v>975</v>
      </c>
      <c r="D159" s="27">
        <v>46290.875</v>
      </c>
      <c r="E159" s="27">
        <v>46291.25</v>
      </c>
      <c r="F159" s="26" t="s">
        <v>976</v>
      </c>
    </row>
    <row r="160" spans="1:6" ht="62" x14ac:dyDescent="0.35">
      <c r="A160" s="25" t="s">
        <v>386</v>
      </c>
      <c r="B160" s="25" t="s">
        <v>5</v>
      </c>
      <c r="C160" s="26" t="s">
        <v>389</v>
      </c>
      <c r="D160" s="27">
        <v>46290.833333333299</v>
      </c>
      <c r="E160" s="27">
        <v>46291.25</v>
      </c>
      <c r="F160" s="26" t="s">
        <v>390</v>
      </c>
    </row>
    <row r="161" spans="1:6" ht="62" x14ac:dyDescent="0.35">
      <c r="A161" s="25" t="s">
        <v>439</v>
      </c>
      <c r="B161" s="25" t="s">
        <v>6</v>
      </c>
      <c r="C161" s="26" t="s">
        <v>993</v>
      </c>
      <c r="D161" s="27">
        <v>46290.958333333299</v>
      </c>
      <c r="E161" s="27">
        <v>46291.229166666701</v>
      </c>
      <c r="F161" s="26" t="s">
        <v>994</v>
      </c>
    </row>
    <row r="162" spans="1:6" ht="77.5" x14ac:dyDescent="0.35">
      <c r="A162" s="25" t="s">
        <v>421</v>
      </c>
      <c r="B162" s="25" t="s">
        <v>8</v>
      </c>
      <c r="C162" s="26" t="s">
        <v>433</v>
      </c>
      <c r="D162" s="27">
        <v>46290.916666666701</v>
      </c>
      <c r="E162" s="27">
        <v>46291.229166666701</v>
      </c>
      <c r="F162" s="26" t="s">
        <v>434</v>
      </c>
    </row>
    <row r="163" spans="1:6" ht="62" x14ac:dyDescent="0.35">
      <c r="A163" s="25" t="s">
        <v>421</v>
      </c>
      <c r="B163" s="25" t="s">
        <v>7</v>
      </c>
      <c r="C163" s="26" t="s">
        <v>985</v>
      </c>
      <c r="D163" s="27">
        <v>46290.958333333299</v>
      </c>
      <c r="E163" s="27">
        <v>46291.229166666701</v>
      </c>
      <c r="F163" s="26" t="s">
        <v>986</v>
      </c>
    </row>
    <row r="164" spans="1:6" ht="77.5" x14ac:dyDescent="0.35">
      <c r="A164" s="25" t="s">
        <v>421</v>
      </c>
      <c r="B164" s="25" t="s">
        <v>24</v>
      </c>
      <c r="C164" s="26" t="s">
        <v>836</v>
      </c>
      <c r="D164" s="27">
        <v>46290.958333333299</v>
      </c>
      <c r="E164" s="27">
        <v>46291.25</v>
      </c>
      <c r="F164" s="26" t="s">
        <v>837</v>
      </c>
    </row>
    <row r="165" spans="1:6" ht="77.5" x14ac:dyDescent="0.35">
      <c r="A165" s="25" t="s">
        <v>421</v>
      </c>
      <c r="B165" s="25" t="s">
        <v>7</v>
      </c>
      <c r="C165" s="26" t="s">
        <v>987</v>
      </c>
      <c r="D165" s="27">
        <v>46290.958333333299</v>
      </c>
      <c r="E165" s="27">
        <v>46291.229166666701</v>
      </c>
      <c r="F165" s="26" t="s">
        <v>988</v>
      </c>
    </row>
    <row r="166" spans="1:6" ht="62" x14ac:dyDescent="0.35">
      <c r="A166" s="25" t="s">
        <v>421</v>
      </c>
      <c r="B166" s="25" t="s">
        <v>8</v>
      </c>
      <c r="C166" s="26" t="s">
        <v>776</v>
      </c>
      <c r="D166" s="27">
        <v>46290.958333333299</v>
      </c>
      <c r="E166" s="27">
        <v>46291.25</v>
      </c>
      <c r="F166" s="26" t="s">
        <v>777</v>
      </c>
    </row>
    <row r="167" spans="1:6" ht="62" x14ac:dyDescent="0.35">
      <c r="A167" s="25" t="s">
        <v>421</v>
      </c>
      <c r="B167" s="25" t="s">
        <v>8</v>
      </c>
      <c r="C167" s="26" t="s">
        <v>991</v>
      </c>
      <c r="D167" s="27">
        <v>46290.958333333299</v>
      </c>
      <c r="E167" s="27">
        <v>46291.25</v>
      </c>
      <c r="F167" s="26" t="s">
        <v>992</v>
      </c>
    </row>
    <row r="168" spans="1:6" ht="77.5" x14ac:dyDescent="0.35">
      <c r="A168" s="25" t="s">
        <v>421</v>
      </c>
      <c r="B168" s="25" t="s">
        <v>7</v>
      </c>
      <c r="C168" s="26" t="s">
        <v>999</v>
      </c>
      <c r="D168" s="27">
        <v>46290.958333333299</v>
      </c>
      <c r="E168" s="27">
        <v>46291.25</v>
      </c>
      <c r="F168" s="26" t="s">
        <v>1000</v>
      </c>
    </row>
    <row r="169" spans="1:6" ht="46.5" x14ac:dyDescent="0.35">
      <c r="A169" s="25" t="s">
        <v>349</v>
      </c>
      <c r="B169" s="25" t="s">
        <v>5</v>
      </c>
      <c r="C169" s="26" t="s">
        <v>350</v>
      </c>
      <c r="D169" s="27">
        <v>46290.875</v>
      </c>
      <c r="E169" s="27">
        <v>46291.25</v>
      </c>
      <c r="F169" s="26" t="s">
        <v>351</v>
      </c>
    </row>
    <row r="170" spans="1:6" ht="62" x14ac:dyDescent="0.35">
      <c r="A170" s="25" t="s">
        <v>324</v>
      </c>
      <c r="B170" s="25" t="s">
        <v>2</v>
      </c>
      <c r="C170" s="26" t="s">
        <v>325</v>
      </c>
      <c r="D170" s="27">
        <v>46237.25</v>
      </c>
      <c r="E170" s="27">
        <v>46692.25</v>
      </c>
      <c r="F170" s="26" t="s">
        <v>326</v>
      </c>
    </row>
    <row r="171" spans="1:6" ht="31" x14ac:dyDescent="0.35">
      <c r="A171" s="25" t="s">
        <v>324</v>
      </c>
      <c r="B171" s="25" t="s">
        <v>2</v>
      </c>
      <c r="C171" s="26" t="s">
        <v>966</v>
      </c>
      <c r="D171" s="27">
        <v>46290.875</v>
      </c>
      <c r="E171" s="27">
        <v>46291.25</v>
      </c>
      <c r="F171" s="26" t="s">
        <v>967</v>
      </c>
    </row>
    <row r="172" spans="1:6" ht="46.5" x14ac:dyDescent="0.35">
      <c r="A172" s="25" t="s">
        <v>373</v>
      </c>
      <c r="B172" s="25" t="s">
        <v>5</v>
      </c>
      <c r="C172" s="26" t="s">
        <v>959</v>
      </c>
      <c r="D172" s="27">
        <v>46290.875</v>
      </c>
      <c r="E172" s="27">
        <v>46291.25</v>
      </c>
      <c r="F172" s="26" t="s">
        <v>960</v>
      </c>
    </row>
    <row r="173" spans="1:6" ht="62" x14ac:dyDescent="0.35">
      <c r="A173" s="25" t="s">
        <v>67</v>
      </c>
      <c r="B173" s="25" t="s">
        <v>6</v>
      </c>
      <c r="C173" s="26" t="s">
        <v>859</v>
      </c>
      <c r="D173" s="27">
        <v>46290.927083333299</v>
      </c>
      <c r="E173" s="27">
        <v>46291.25</v>
      </c>
      <c r="F173" s="26" t="s">
        <v>860</v>
      </c>
    </row>
    <row r="174" spans="1:6" ht="93" x14ac:dyDescent="0.35">
      <c r="A174" s="25" t="s">
        <v>67</v>
      </c>
      <c r="B174" s="25" t="s">
        <v>6</v>
      </c>
      <c r="C174" s="26" t="s">
        <v>861</v>
      </c>
      <c r="D174" s="27">
        <v>46290.927083333299</v>
      </c>
      <c r="E174" s="27">
        <v>46291.25</v>
      </c>
      <c r="F174" s="26" t="s">
        <v>862</v>
      </c>
    </row>
    <row r="175" spans="1:6" ht="93" x14ac:dyDescent="0.35">
      <c r="A175" s="25" t="s">
        <v>67</v>
      </c>
      <c r="B175" s="25" t="s">
        <v>6</v>
      </c>
      <c r="C175" s="26" t="s">
        <v>863</v>
      </c>
      <c r="D175" s="27">
        <v>46290.927083333299</v>
      </c>
      <c r="E175" s="27">
        <v>46291.25</v>
      </c>
      <c r="F175" s="26" t="s">
        <v>862</v>
      </c>
    </row>
    <row r="176" spans="1:6" ht="93" x14ac:dyDescent="0.35">
      <c r="A176" s="25" t="s">
        <v>67</v>
      </c>
      <c r="B176" s="25" t="s">
        <v>6</v>
      </c>
      <c r="C176" s="26" t="s">
        <v>864</v>
      </c>
      <c r="D176" s="27">
        <v>46290.927083333299</v>
      </c>
      <c r="E176" s="27">
        <v>46291.25</v>
      </c>
      <c r="F176" s="26" t="s">
        <v>862</v>
      </c>
    </row>
    <row r="177" spans="1:6" ht="93" x14ac:dyDescent="0.35">
      <c r="A177" s="25" t="s">
        <v>67</v>
      </c>
      <c r="B177" s="25" t="s">
        <v>6</v>
      </c>
      <c r="C177" s="26" t="s">
        <v>865</v>
      </c>
      <c r="D177" s="27">
        <v>46290.927083333299</v>
      </c>
      <c r="E177" s="27">
        <v>46291.25</v>
      </c>
      <c r="F177" s="26" t="s">
        <v>862</v>
      </c>
    </row>
    <row r="178" spans="1:6" ht="77.5" x14ac:dyDescent="0.35">
      <c r="A178" s="25" t="s">
        <v>67</v>
      </c>
      <c r="B178" s="25" t="s">
        <v>5</v>
      </c>
      <c r="C178" s="26" t="s">
        <v>989</v>
      </c>
      <c r="D178" s="27">
        <v>46290.916666666701</v>
      </c>
      <c r="E178" s="27">
        <v>46291.229166666701</v>
      </c>
      <c r="F178" s="26" t="s">
        <v>990</v>
      </c>
    </row>
    <row r="179" spans="1:6" ht="77.5" x14ac:dyDescent="0.35">
      <c r="A179" s="25" t="s">
        <v>540</v>
      </c>
      <c r="B179" s="25" t="s">
        <v>2</v>
      </c>
      <c r="C179" s="26" t="s">
        <v>1011</v>
      </c>
      <c r="D179" s="27">
        <v>46290.875</v>
      </c>
      <c r="E179" s="27">
        <v>46291.25</v>
      </c>
      <c r="F179" s="26" t="s">
        <v>1010</v>
      </c>
    </row>
    <row r="180" spans="1:6" ht="77.5" x14ac:dyDescent="0.35">
      <c r="A180" s="25" t="s">
        <v>540</v>
      </c>
      <c r="B180" s="25" t="s">
        <v>6</v>
      </c>
      <c r="C180" s="26" t="s">
        <v>1012</v>
      </c>
      <c r="D180" s="27">
        <v>46290.875</v>
      </c>
      <c r="E180" s="27">
        <v>46291.25</v>
      </c>
      <c r="F180" s="26" t="s">
        <v>1010</v>
      </c>
    </row>
    <row r="181" spans="1:6" ht="77.5" x14ac:dyDescent="0.35">
      <c r="A181" s="25" t="s">
        <v>540</v>
      </c>
      <c r="B181" s="25" t="s">
        <v>6</v>
      </c>
      <c r="C181" s="26" t="s">
        <v>550</v>
      </c>
      <c r="D181" s="27">
        <v>46290.875</v>
      </c>
      <c r="E181" s="27">
        <v>46291.25</v>
      </c>
      <c r="F181" s="26" t="s">
        <v>551</v>
      </c>
    </row>
    <row r="182" spans="1:6" ht="77.5" x14ac:dyDescent="0.35">
      <c r="A182" s="25" t="s">
        <v>540</v>
      </c>
      <c r="B182" s="25" t="s">
        <v>6</v>
      </c>
      <c r="C182" s="26" t="s">
        <v>1021</v>
      </c>
      <c r="D182" s="27">
        <v>46290.875</v>
      </c>
      <c r="E182" s="27">
        <v>46291.25</v>
      </c>
      <c r="F182" s="26" t="s">
        <v>1022</v>
      </c>
    </row>
    <row r="183" spans="1:6" ht="77.5" x14ac:dyDescent="0.35">
      <c r="A183" s="25" t="s">
        <v>518</v>
      </c>
      <c r="B183" s="25" t="s">
        <v>5</v>
      </c>
      <c r="C183" s="26" t="s">
        <v>1005</v>
      </c>
      <c r="D183" s="27">
        <v>46290.833333333299</v>
      </c>
      <c r="E183" s="27">
        <v>46291.25</v>
      </c>
      <c r="F183" s="26" t="s">
        <v>1006</v>
      </c>
    </row>
    <row r="184" spans="1:6" ht="217" x14ac:dyDescent="0.35">
      <c r="A184" s="25" t="s">
        <v>495</v>
      </c>
      <c r="B184" s="25" t="s">
        <v>6</v>
      </c>
      <c r="C184" s="26" t="s">
        <v>778</v>
      </c>
      <c r="D184" s="27">
        <v>46290.916666666701</v>
      </c>
      <c r="E184" s="27">
        <v>46291.25</v>
      </c>
      <c r="F184" s="26" t="s">
        <v>779</v>
      </c>
    </row>
    <row r="185" spans="1:6" ht="77.5" x14ac:dyDescent="0.35">
      <c r="A185" s="25" t="s">
        <v>495</v>
      </c>
      <c r="B185" s="25" t="s">
        <v>2</v>
      </c>
      <c r="C185" s="26" t="s">
        <v>1015</v>
      </c>
      <c r="D185" s="27">
        <v>46290.875</v>
      </c>
      <c r="E185" s="27">
        <v>46291.25</v>
      </c>
      <c r="F185" s="26" t="s">
        <v>1016</v>
      </c>
    </row>
    <row r="186" spans="1:6" ht="77.5" x14ac:dyDescent="0.35">
      <c r="A186" s="25" t="s">
        <v>495</v>
      </c>
      <c r="B186" s="25" t="s">
        <v>2</v>
      </c>
      <c r="C186" s="26" t="s">
        <v>1017</v>
      </c>
      <c r="D186" s="27">
        <v>46290.875</v>
      </c>
      <c r="E186" s="27">
        <v>46291.25</v>
      </c>
      <c r="F186" s="26" t="s">
        <v>1016</v>
      </c>
    </row>
    <row r="187" spans="1:6" ht="77.5" x14ac:dyDescent="0.35">
      <c r="A187" s="25" t="s">
        <v>495</v>
      </c>
      <c r="B187" s="25" t="s">
        <v>24</v>
      </c>
      <c r="C187" s="26" t="s">
        <v>1018</v>
      </c>
      <c r="D187" s="27">
        <v>46290.875</v>
      </c>
      <c r="E187" s="27">
        <v>46291.25</v>
      </c>
      <c r="F187" s="26" t="s">
        <v>1016</v>
      </c>
    </row>
    <row r="188" spans="1:6" ht="77.5" x14ac:dyDescent="0.35">
      <c r="A188" s="25" t="s">
        <v>495</v>
      </c>
      <c r="B188" s="25" t="s">
        <v>6</v>
      </c>
      <c r="C188" s="26" t="s">
        <v>552</v>
      </c>
      <c r="D188" s="27">
        <v>46290.875</v>
      </c>
      <c r="E188" s="27">
        <v>46291.25</v>
      </c>
      <c r="F188" s="26" t="s">
        <v>551</v>
      </c>
    </row>
    <row r="189" spans="1:6" ht="46.5" x14ac:dyDescent="0.35">
      <c r="A189" s="25" t="s">
        <v>237</v>
      </c>
      <c r="B189" s="25" t="s">
        <v>2</v>
      </c>
      <c r="C189" s="26" t="s">
        <v>238</v>
      </c>
      <c r="D189" s="27">
        <v>46290.833333333299</v>
      </c>
      <c r="E189" s="27">
        <v>46291.25</v>
      </c>
      <c r="F189" s="26" t="s">
        <v>236</v>
      </c>
    </row>
    <row r="190" spans="1:6" ht="46.5" x14ac:dyDescent="0.35">
      <c r="A190" s="25" t="s">
        <v>237</v>
      </c>
      <c r="B190" s="25" t="s">
        <v>2</v>
      </c>
      <c r="C190" s="26" t="s">
        <v>239</v>
      </c>
      <c r="D190" s="27">
        <v>46290.833333333299</v>
      </c>
      <c r="E190" s="27">
        <v>46291.25</v>
      </c>
      <c r="F190" s="26" t="s">
        <v>236</v>
      </c>
    </row>
    <row r="191" spans="1:6" ht="46.5" x14ac:dyDescent="0.35">
      <c r="A191" s="25" t="s">
        <v>237</v>
      </c>
      <c r="B191" s="25" t="s">
        <v>2</v>
      </c>
      <c r="C191" s="26" t="s">
        <v>240</v>
      </c>
      <c r="D191" s="27">
        <v>46290.833333333299</v>
      </c>
      <c r="E191" s="27">
        <v>46291.25</v>
      </c>
      <c r="F191" s="26" t="s">
        <v>236</v>
      </c>
    </row>
    <row r="192" spans="1:6" ht="46.5" x14ac:dyDescent="0.35">
      <c r="A192" s="25" t="s">
        <v>237</v>
      </c>
      <c r="B192" s="25" t="s">
        <v>2</v>
      </c>
      <c r="C192" s="26" t="s">
        <v>241</v>
      </c>
      <c r="D192" s="27">
        <v>46290.833333333299</v>
      </c>
      <c r="E192" s="27">
        <v>46291.25</v>
      </c>
      <c r="F192" s="26" t="s">
        <v>236</v>
      </c>
    </row>
    <row r="193" spans="1:6" ht="46.5" x14ac:dyDescent="0.35">
      <c r="A193" s="25" t="s">
        <v>237</v>
      </c>
      <c r="B193" s="25" t="s">
        <v>2</v>
      </c>
      <c r="C193" s="26" t="s">
        <v>242</v>
      </c>
      <c r="D193" s="27">
        <v>46290.833333333299</v>
      </c>
      <c r="E193" s="27">
        <v>46291.25</v>
      </c>
      <c r="F193" s="26" t="s">
        <v>236</v>
      </c>
    </row>
    <row r="194" spans="1:6" ht="46.5" x14ac:dyDescent="0.35">
      <c r="A194" s="25" t="s">
        <v>237</v>
      </c>
      <c r="B194" s="25" t="s">
        <v>2</v>
      </c>
      <c r="C194" s="26" t="s">
        <v>243</v>
      </c>
      <c r="D194" s="27">
        <v>46290.833333333299</v>
      </c>
      <c r="E194" s="27">
        <v>46291.25</v>
      </c>
      <c r="F194" s="26" t="s">
        <v>236</v>
      </c>
    </row>
    <row r="195" spans="1:6" ht="46.5" x14ac:dyDescent="0.35">
      <c r="A195" s="25" t="s">
        <v>237</v>
      </c>
      <c r="B195" s="25" t="s">
        <v>6</v>
      </c>
      <c r="C195" s="26" t="s">
        <v>911</v>
      </c>
      <c r="D195" s="27">
        <v>46290.833333333299</v>
      </c>
      <c r="E195" s="27">
        <v>46291.25</v>
      </c>
      <c r="F195" s="26" t="s">
        <v>912</v>
      </c>
    </row>
    <row r="196" spans="1:6" ht="46.5" x14ac:dyDescent="0.35">
      <c r="A196" s="25" t="s">
        <v>237</v>
      </c>
      <c r="B196" s="25" t="s">
        <v>6</v>
      </c>
      <c r="C196" s="26" t="s">
        <v>913</v>
      </c>
      <c r="D196" s="27">
        <v>46290.833333333299</v>
      </c>
      <c r="E196" s="27">
        <v>46291.25</v>
      </c>
      <c r="F196" s="26" t="s">
        <v>912</v>
      </c>
    </row>
    <row r="197" spans="1:6" ht="46.5" x14ac:dyDescent="0.35">
      <c r="A197" s="25" t="s">
        <v>237</v>
      </c>
      <c r="B197" s="25" t="s">
        <v>6</v>
      </c>
      <c r="C197" s="26" t="s">
        <v>914</v>
      </c>
      <c r="D197" s="27">
        <v>46290.833333333299</v>
      </c>
      <c r="E197" s="27">
        <v>46291.25</v>
      </c>
      <c r="F197" s="26" t="s">
        <v>912</v>
      </c>
    </row>
    <row r="198" spans="1:6" ht="62" x14ac:dyDescent="0.35">
      <c r="A198" s="25" t="s">
        <v>237</v>
      </c>
      <c r="B198" s="25" t="s">
        <v>5</v>
      </c>
      <c r="C198" s="26" t="s">
        <v>278</v>
      </c>
      <c r="D198" s="27">
        <v>46290.833333333299</v>
      </c>
      <c r="E198" s="27">
        <v>46291.208333333299</v>
      </c>
      <c r="F198" s="26" t="s">
        <v>279</v>
      </c>
    </row>
    <row r="199" spans="1:6" ht="31" x14ac:dyDescent="0.35">
      <c r="A199" s="25" t="s">
        <v>237</v>
      </c>
      <c r="B199" s="25" t="s">
        <v>2</v>
      </c>
      <c r="C199" s="26" t="s">
        <v>938</v>
      </c>
      <c r="D199" s="27">
        <v>46290.875</v>
      </c>
      <c r="E199" s="27">
        <v>46291.25</v>
      </c>
      <c r="F199" s="26" t="s">
        <v>939</v>
      </c>
    </row>
    <row r="200" spans="1:6" ht="31" x14ac:dyDescent="0.35">
      <c r="A200" s="25" t="s">
        <v>237</v>
      </c>
      <c r="B200" s="25" t="s">
        <v>6</v>
      </c>
      <c r="C200" s="26" t="s">
        <v>940</v>
      </c>
      <c r="D200" s="27">
        <v>46290.875</v>
      </c>
      <c r="E200" s="27">
        <v>46291.25</v>
      </c>
      <c r="F200" s="26" t="s">
        <v>939</v>
      </c>
    </row>
    <row r="201" spans="1:6" ht="46.5" x14ac:dyDescent="0.35">
      <c r="A201" s="25" t="s">
        <v>234</v>
      </c>
      <c r="B201" s="25" t="s">
        <v>5</v>
      </c>
      <c r="C201" s="26" t="s">
        <v>235</v>
      </c>
      <c r="D201" s="27">
        <v>46290.833333333299</v>
      </c>
      <c r="E201" s="27">
        <v>46291.25</v>
      </c>
      <c r="F201" s="26" t="s">
        <v>236</v>
      </c>
    </row>
    <row r="202" spans="1:6" ht="62" x14ac:dyDescent="0.35">
      <c r="A202" s="25" t="s">
        <v>234</v>
      </c>
      <c r="B202" s="25" t="s">
        <v>4</v>
      </c>
      <c r="C202" s="26" t="s">
        <v>746</v>
      </c>
      <c r="D202" s="27">
        <v>46290.875</v>
      </c>
      <c r="E202" s="27">
        <v>46291.25</v>
      </c>
      <c r="F202" s="26" t="s">
        <v>277</v>
      </c>
    </row>
    <row r="203" spans="1:6" ht="62" x14ac:dyDescent="0.35">
      <c r="A203" s="25" t="s">
        <v>234</v>
      </c>
      <c r="B203" s="25" t="s">
        <v>4</v>
      </c>
      <c r="C203" s="26" t="s">
        <v>929</v>
      </c>
      <c r="D203" s="27">
        <v>46290.875</v>
      </c>
      <c r="E203" s="27">
        <v>46291.25</v>
      </c>
      <c r="F203" s="26" t="s">
        <v>277</v>
      </c>
    </row>
    <row r="204" spans="1:6" ht="46.5" x14ac:dyDescent="0.35">
      <c r="A204" s="25" t="s">
        <v>231</v>
      </c>
      <c r="B204" s="25" t="s">
        <v>6</v>
      </c>
      <c r="C204" s="26" t="s">
        <v>232</v>
      </c>
      <c r="D204" s="27">
        <v>45804.208333333299</v>
      </c>
      <c r="E204" s="27">
        <v>46418.208333333299</v>
      </c>
      <c r="F204" s="26" t="s">
        <v>233</v>
      </c>
    </row>
    <row r="205" spans="1:6" ht="31" x14ac:dyDescent="0.35">
      <c r="A205" s="25" t="s">
        <v>231</v>
      </c>
      <c r="B205" s="25" t="s">
        <v>2</v>
      </c>
      <c r="C205" s="26" t="s">
        <v>269</v>
      </c>
      <c r="D205" s="27">
        <v>46267.833333333299</v>
      </c>
      <c r="E205" s="27">
        <v>46323.25</v>
      </c>
      <c r="F205" s="26" t="s">
        <v>270</v>
      </c>
    </row>
    <row r="206" spans="1:6" ht="77.5" x14ac:dyDescent="0.35">
      <c r="A206" s="25" t="s">
        <v>93</v>
      </c>
      <c r="B206" s="25" t="s">
        <v>6</v>
      </c>
      <c r="C206" s="26" t="s">
        <v>94</v>
      </c>
      <c r="D206" s="27">
        <v>46290.833333333299</v>
      </c>
      <c r="E206" s="27">
        <v>46291.25</v>
      </c>
      <c r="F206" s="26" t="s">
        <v>95</v>
      </c>
    </row>
    <row r="207" spans="1:6" ht="77.5" x14ac:dyDescent="0.35">
      <c r="A207" s="25" t="s">
        <v>93</v>
      </c>
      <c r="B207" s="25" t="s">
        <v>6</v>
      </c>
      <c r="C207" s="26" t="s">
        <v>94</v>
      </c>
      <c r="D207" s="27">
        <v>46291.25</v>
      </c>
      <c r="E207" s="27">
        <v>46291.833333333299</v>
      </c>
      <c r="F207" s="26" t="s">
        <v>95</v>
      </c>
    </row>
    <row r="208" spans="1:6" ht="46.5" x14ac:dyDescent="0.35">
      <c r="A208" s="25" t="s">
        <v>93</v>
      </c>
      <c r="B208" s="25" t="s">
        <v>6</v>
      </c>
      <c r="C208" s="26" t="s">
        <v>925</v>
      </c>
      <c r="D208" s="27">
        <v>46290.875</v>
      </c>
      <c r="E208" s="27">
        <v>46291.208333333299</v>
      </c>
      <c r="F208" s="26" t="s">
        <v>924</v>
      </c>
    </row>
    <row r="209" spans="1:6" ht="46.5" x14ac:dyDescent="0.35">
      <c r="A209" s="25" t="s">
        <v>93</v>
      </c>
      <c r="B209" s="25" t="s">
        <v>6</v>
      </c>
      <c r="C209" s="26" t="s">
        <v>932</v>
      </c>
      <c r="D209" s="27">
        <v>46290.875</v>
      </c>
      <c r="E209" s="27">
        <v>46291.25</v>
      </c>
      <c r="F209" s="26" t="s">
        <v>933</v>
      </c>
    </row>
    <row r="210" spans="1:6" ht="46.5" x14ac:dyDescent="0.35">
      <c r="A210" s="25" t="s">
        <v>93</v>
      </c>
      <c r="B210" s="25" t="s">
        <v>6</v>
      </c>
      <c r="C210" s="26" t="s">
        <v>934</v>
      </c>
      <c r="D210" s="27">
        <v>46290.875</v>
      </c>
      <c r="E210" s="27">
        <v>46291.25</v>
      </c>
      <c r="F210" s="26" t="s">
        <v>933</v>
      </c>
    </row>
    <row r="211" spans="1:6" ht="46.5" x14ac:dyDescent="0.35">
      <c r="A211" s="25" t="s">
        <v>93</v>
      </c>
      <c r="B211" s="25" t="s">
        <v>6</v>
      </c>
      <c r="C211" s="26" t="s">
        <v>947</v>
      </c>
      <c r="D211" s="27">
        <v>46290.875</v>
      </c>
      <c r="E211" s="27">
        <v>46291.25</v>
      </c>
      <c r="F211" s="26" t="s">
        <v>307</v>
      </c>
    </row>
    <row r="212" spans="1:6" ht="46.5" x14ac:dyDescent="0.35">
      <c r="A212" s="25" t="s">
        <v>93</v>
      </c>
      <c r="B212" s="25" t="s">
        <v>6</v>
      </c>
      <c r="C212" s="26" t="s">
        <v>306</v>
      </c>
      <c r="D212" s="27">
        <v>46290.875</v>
      </c>
      <c r="E212" s="27">
        <v>46291.25</v>
      </c>
      <c r="F212" s="26" t="s">
        <v>307</v>
      </c>
    </row>
    <row r="213" spans="1:6" ht="46.5" x14ac:dyDescent="0.35">
      <c r="A213" s="25" t="s">
        <v>93</v>
      </c>
      <c r="B213" s="25" t="s">
        <v>6</v>
      </c>
      <c r="C213" s="26" t="s">
        <v>948</v>
      </c>
      <c r="D213" s="27">
        <v>46290.833333333299</v>
      </c>
      <c r="E213" s="27">
        <v>46291.25</v>
      </c>
      <c r="F213" s="26" t="s">
        <v>321</v>
      </c>
    </row>
    <row r="214" spans="1:6" ht="31" x14ac:dyDescent="0.35">
      <c r="A214" s="25" t="s">
        <v>93</v>
      </c>
      <c r="B214" s="25" t="s">
        <v>2</v>
      </c>
      <c r="C214" s="26" t="s">
        <v>949</v>
      </c>
      <c r="D214" s="27">
        <v>46290.833333333299</v>
      </c>
      <c r="E214" s="27">
        <v>46291.208333333299</v>
      </c>
      <c r="F214" s="26" t="s">
        <v>950</v>
      </c>
    </row>
    <row r="215" spans="1:6" ht="77.5" x14ac:dyDescent="0.35">
      <c r="A215" s="25" t="s">
        <v>93</v>
      </c>
      <c r="B215" s="25" t="s">
        <v>6</v>
      </c>
      <c r="C215" s="26" t="s">
        <v>531</v>
      </c>
      <c r="D215" s="27">
        <v>46290.875</v>
      </c>
      <c r="E215" s="27">
        <v>46291.25</v>
      </c>
      <c r="F215" s="26" t="s">
        <v>532</v>
      </c>
    </row>
    <row r="216" spans="1:6" ht="77.5" x14ac:dyDescent="0.35">
      <c r="A216" s="25" t="s">
        <v>93</v>
      </c>
      <c r="B216" s="25" t="s">
        <v>6</v>
      </c>
      <c r="C216" s="26" t="s">
        <v>1009</v>
      </c>
      <c r="D216" s="27">
        <v>46290.875</v>
      </c>
      <c r="E216" s="27">
        <v>46291.25</v>
      </c>
      <c r="F216" s="26" t="s">
        <v>1010</v>
      </c>
    </row>
    <row r="217" spans="1:6" ht="77.5" x14ac:dyDescent="0.35">
      <c r="A217" s="25" t="s">
        <v>93</v>
      </c>
      <c r="B217" s="25" t="s">
        <v>2</v>
      </c>
      <c r="C217" s="26" t="s">
        <v>1013</v>
      </c>
      <c r="D217" s="27">
        <v>46290.875</v>
      </c>
      <c r="E217" s="27">
        <v>46291.25</v>
      </c>
      <c r="F217" s="26" t="s">
        <v>1014</v>
      </c>
    </row>
    <row r="218" spans="1:6" ht="46.5" x14ac:dyDescent="0.35">
      <c r="A218" s="25" t="s">
        <v>250</v>
      </c>
      <c r="B218" s="25" t="s">
        <v>8</v>
      </c>
      <c r="C218" s="26" t="s">
        <v>259</v>
      </c>
      <c r="D218" s="27">
        <v>46290.875</v>
      </c>
      <c r="E218" s="27">
        <v>46291.25</v>
      </c>
      <c r="F218" s="26" t="s">
        <v>260</v>
      </c>
    </row>
    <row r="219" spans="1:6" ht="46.5" x14ac:dyDescent="0.35">
      <c r="A219" s="25" t="s">
        <v>250</v>
      </c>
      <c r="B219" s="25" t="s">
        <v>7</v>
      </c>
      <c r="C219" s="26" t="s">
        <v>261</v>
      </c>
      <c r="D219" s="27">
        <v>46290.875</v>
      </c>
      <c r="E219" s="27">
        <v>46291.25</v>
      </c>
      <c r="F219" s="26" t="s">
        <v>260</v>
      </c>
    </row>
    <row r="220" spans="1:6" ht="46.5" x14ac:dyDescent="0.35">
      <c r="A220" s="25" t="s">
        <v>250</v>
      </c>
      <c r="B220" s="25" t="s">
        <v>7</v>
      </c>
      <c r="C220" s="26" t="s">
        <v>271</v>
      </c>
      <c r="D220" s="27">
        <v>46290.875</v>
      </c>
      <c r="E220" s="27">
        <v>46291.25</v>
      </c>
      <c r="F220" s="26" t="s">
        <v>272</v>
      </c>
    </row>
    <row r="221" spans="1:6" ht="77.5" x14ac:dyDescent="0.35">
      <c r="A221" s="25" t="s">
        <v>155</v>
      </c>
      <c r="B221" s="25" t="s">
        <v>6</v>
      </c>
      <c r="C221" s="26" t="s">
        <v>880</v>
      </c>
      <c r="D221" s="27">
        <v>46290.833333333299</v>
      </c>
      <c r="E221" s="27">
        <v>46291.25</v>
      </c>
      <c r="F221" s="26" t="s">
        <v>881</v>
      </c>
    </row>
    <row r="222" spans="1:6" ht="77.5" x14ac:dyDescent="0.35">
      <c r="A222" s="25" t="s">
        <v>155</v>
      </c>
      <c r="B222" s="25" t="s">
        <v>6</v>
      </c>
      <c r="C222" s="26" t="s">
        <v>882</v>
      </c>
      <c r="D222" s="27">
        <v>46290.833333333299</v>
      </c>
      <c r="E222" s="27">
        <v>46291.25</v>
      </c>
      <c r="F222" s="26" t="s">
        <v>881</v>
      </c>
    </row>
    <row r="223" spans="1:6" ht="77.5" x14ac:dyDescent="0.35">
      <c r="A223" s="25" t="s">
        <v>155</v>
      </c>
      <c r="B223" s="25" t="s">
        <v>6</v>
      </c>
      <c r="C223" s="26" t="s">
        <v>883</v>
      </c>
      <c r="D223" s="27">
        <v>46290.833333333299</v>
      </c>
      <c r="E223" s="27">
        <v>46291.25</v>
      </c>
      <c r="F223" s="26" t="s">
        <v>881</v>
      </c>
    </row>
    <row r="224" spans="1:6" ht="77.5" x14ac:dyDescent="0.35">
      <c r="A224" s="25" t="s">
        <v>155</v>
      </c>
      <c r="B224" s="25" t="s">
        <v>6</v>
      </c>
      <c r="C224" s="26" t="s">
        <v>884</v>
      </c>
      <c r="D224" s="27">
        <v>46290.833333333299</v>
      </c>
      <c r="E224" s="27">
        <v>46291.25</v>
      </c>
      <c r="F224" s="26" t="s">
        <v>881</v>
      </c>
    </row>
    <row r="225" spans="1:6" ht="77.5" x14ac:dyDescent="0.35">
      <c r="A225" s="25" t="s">
        <v>155</v>
      </c>
      <c r="B225" s="25" t="s">
        <v>6</v>
      </c>
      <c r="C225" s="26" t="s">
        <v>885</v>
      </c>
      <c r="D225" s="27">
        <v>46290.833333333299</v>
      </c>
      <c r="E225" s="27">
        <v>46291.25</v>
      </c>
      <c r="F225" s="26" t="s">
        <v>881</v>
      </c>
    </row>
    <row r="226" spans="1:6" ht="77.5" x14ac:dyDescent="0.35">
      <c r="A226" s="25" t="s">
        <v>155</v>
      </c>
      <c r="B226" s="25" t="s">
        <v>6</v>
      </c>
      <c r="C226" s="26" t="s">
        <v>886</v>
      </c>
      <c r="D226" s="27">
        <v>46290.833333333299</v>
      </c>
      <c r="E226" s="27">
        <v>46291.25</v>
      </c>
      <c r="F226" s="26" t="s">
        <v>881</v>
      </c>
    </row>
    <row r="227" spans="1:6" ht="62" x14ac:dyDescent="0.35">
      <c r="A227" s="25" t="s">
        <v>267</v>
      </c>
      <c r="B227" s="25" t="s">
        <v>2</v>
      </c>
      <c r="C227" s="26" t="s">
        <v>915</v>
      </c>
      <c r="D227" s="27">
        <v>46290.875</v>
      </c>
      <c r="E227" s="27">
        <v>46291.25</v>
      </c>
      <c r="F227" s="26" t="s">
        <v>916</v>
      </c>
    </row>
    <row r="228" spans="1:6" ht="62" x14ac:dyDescent="0.35">
      <c r="A228" s="25" t="s">
        <v>267</v>
      </c>
      <c r="B228" s="25" t="s">
        <v>2</v>
      </c>
      <c r="C228" s="26" t="s">
        <v>917</v>
      </c>
      <c r="D228" s="27">
        <v>46290.875</v>
      </c>
      <c r="E228" s="27">
        <v>46291.25</v>
      </c>
      <c r="F228" s="26" t="s">
        <v>916</v>
      </c>
    </row>
    <row r="229" spans="1:6" ht="46.5" x14ac:dyDescent="0.35">
      <c r="A229" s="25" t="s">
        <v>267</v>
      </c>
      <c r="B229" s="25" t="s">
        <v>6</v>
      </c>
      <c r="C229" s="26" t="s">
        <v>930</v>
      </c>
      <c r="D229" s="27">
        <v>46290.875</v>
      </c>
      <c r="E229" s="27">
        <v>46291.25</v>
      </c>
      <c r="F229" s="26" t="s">
        <v>931</v>
      </c>
    </row>
    <row r="230" spans="1:6" ht="77.5" x14ac:dyDescent="0.35">
      <c r="A230" s="25" t="s">
        <v>125</v>
      </c>
      <c r="B230" s="25" t="s">
        <v>4</v>
      </c>
      <c r="C230" s="26" t="s">
        <v>126</v>
      </c>
      <c r="D230" s="27">
        <v>46290.25</v>
      </c>
      <c r="E230" s="27">
        <v>46502.25</v>
      </c>
      <c r="F230" s="26" t="s">
        <v>127</v>
      </c>
    </row>
    <row r="231" spans="1:6" ht="93" x14ac:dyDescent="0.35">
      <c r="A231" s="25" t="s">
        <v>125</v>
      </c>
      <c r="B231" s="25" t="s">
        <v>5</v>
      </c>
      <c r="C231" s="26" t="s">
        <v>148</v>
      </c>
      <c r="D231" s="27">
        <v>46290.833333333299</v>
      </c>
      <c r="E231" s="27">
        <v>46291.25</v>
      </c>
      <c r="F231" s="26" t="s">
        <v>149</v>
      </c>
    </row>
    <row r="232" spans="1:6" ht="93" x14ac:dyDescent="0.35">
      <c r="A232" s="25" t="s">
        <v>125</v>
      </c>
      <c r="B232" s="25" t="s">
        <v>5</v>
      </c>
      <c r="C232" s="26" t="s">
        <v>150</v>
      </c>
      <c r="D232" s="27">
        <v>46290.833333333299</v>
      </c>
      <c r="E232" s="27">
        <v>46291.25</v>
      </c>
      <c r="F232" s="26" t="s">
        <v>149</v>
      </c>
    </row>
    <row r="233" spans="1:6" ht="93" x14ac:dyDescent="0.35">
      <c r="A233" s="25" t="s">
        <v>125</v>
      </c>
      <c r="B233" s="25" t="s">
        <v>5</v>
      </c>
      <c r="C233" s="26" t="s">
        <v>151</v>
      </c>
      <c r="D233" s="27">
        <v>46290.833333333299</v>
      </c>
      <c r="E233" s="27">
        <v>46291.25</v>
      </c>
      <c r="F233" s="26" t="s">
        <v>149</v>
      </c>
    </row>
    <row r="234" spans="1:6" ht="93" x14ac:dyDescent="0.35">
      <c r="A234" s="25" t="s">
        <v>125</v>
      </c>
      <c r="B234" s="25" t="s">
        <v>24</v>
      </c>
      <c r="C234" s="26" t="s">
        <v>887</v>
      </c>
      <c r="D234" s="27">
        <v>46290.833333333299</v>
      </c>
      <c r="E234" s="27">
        <v>46291.25</v>
      </c>
      <c r="F234" s="26" t="s">
        <v>162</v>
      </c>
    </row>
    <row r="235" spans="1:6" ht="93" x14ac:dyDescent="0.35">
      <c r="A235" s="25" t="s">
        <v>125</v>
      </c>
      <c r="B235" s="25" t="s">
        <v>24</v>
      </c>
      <c r="C235" s="26" t="s">
        <v>888</v>
      </c>
      <c r="D235" s="27">
        <v>46290.833333333299</v>
      </c>
      <c r="E235" s="27">
        <v>46291.25</v>
      </c>
      <c r="F235" s="26" t="s">
        <v>162</v>
      </c>
    </row>
    <row r="236" spans="1:6" ht="46.5" x14ac:dyDescent="0.35">
      <c r="A236" s="25" t="s">
        <v>125</v>
      </c>
      <c r="B236" s="25" t="s">
        <v>4</v>
      </c>
      <c r="C236" s="26" t="s">
        <v>889</v>
      </c>
      <c r="D236" s="27">
        <v>46290.875</v>
      </c>
      <c r="E236" s="27">
        <v>46291.25</v>
      </c>
      <c r="F236" s="26" t="s">
        <v>890</v>
      </c>
    </row>
    <row r="237" spans="1:6" ht="46.5" x14ac:dyDescent="0.35">
      <c r="A237" s="25" t="s">
        <v>125</v>
      </c>
      <c r="B237" s="25" t="s">
        <v>4</v>
      </c>
      <c r="C237" s="26" t="s">
        <v>918</v>
      </c>
      <c r="D237" s="27">
        <v>46290.875</v>
      </c>
      <c r="E237" s="27">
        <v>46291.25</v>
      </c>
      <c r="F237" s="26" t="s">
        <v>919</v>
      </c>
    </row>
    <row r="238" spans="1:6" ht="46.5" x14ac:dyDescent="0.35">
      <c r="A238" s="25" t="s">
        <v>125</v>
      </c>
      <c r="B238" s="25" t="s">
        <v>4</v>
      </c>
      <c r="C238" s="26" t="s">
        <v>920</v>
      </c>
      <c r="D238" s="27">
        <v>46290.875</v>
      </c>
      <c r="E238" s="27">
        <v>46291.25</v>
      </c>
      <c r="F238" s="26" t="s">
        <v>919</v>
      </c>
    </row>
    <row r="239" spans="1:6" ht="46.5" x14ac:dyDescent="0.35">
      <c r="A239" s="25" t="s">
        <v>125</v>
      </c>
      <c r="B239" s="25" t="s">
        <v>4</v>
      </c>
      <c r="C239" s="26" t="s">
        <v>921</v>
      </c>
      <c r="D239" s="27">
        <v>46290.875</v>
      </c>
      <c r="E239" s="27">
        <v>46291.25</v>
      </c>
      <c r="F239" s="26" t="s">
        <v>919</v>
      </c>
    </row>
    <row r="240" spans="1:6" ht="46.5" x14ac:dyDescent="0.35">
      <c r="A240" s="25" t="s">
        <v>125</v>
      </c>
      <c r="B240" s="25" t="s">
        <v>4</v>
      </c>
      <c r="C240" s="26" t="s">
        <v>922</v>
      </c>
      <c r="D240" s="27">
        <v>46290.875</v>
      </c>
      <c r="E240" s="27">
        <v>46291.25</v>
      </c>
      <c r="F240" s="26" t="s">
        <v>919</v>
      </c>
    </row>
    <row r="241" spans="1:6" ht="46.5" x14ac:dyDescent="0.35">
      <c r="A241" s="25" t="s">
        <v>125</v>
      </c>
      <c r="B241" s="25" t="s">
        <v>5</v>
      </c>
      <c r="C241" s="26" t="s">
        <v>935</v>
      </c>
      <c r="D241" s="27">
        <v>46290.875</v>
      </c>
      <c r="E241" s="27">
        <v>46291.25</v>
      </c>
      <c r="F241" s="26" t="s">
        <v>936</v>
      </c>
    </row>
    <row r="242" spans="1:6" ht="46.5" x14ac:dyDescent="0.35">
      <c r="A242" s="25" t="s">
        <v>125</v>
      </c>
      <c r="B242" s="25" t="s">
        <v>4</v>
      </c>
      <c r="C242" s="26" t="s">
        <v>937</v>
      </c>
      <c r="D242" s="27">
        <v>46290.875</v>
      </c>
      <c r="E242" s="27">
        <v>46291.25</v>
      </c>
      <c r="F242" s="26" t="s">
        <v>936</v>
      </c>
    </row>
    <row r="243" spans="1:6" ht="46.5" x14ac:dyDescent="0.35">
      <c r="A243" s="25" t="s">
        <v>125</v>
      </c>
      <c r="B243" s="25" t="s">
        <v>5</v>
      </c>
      <c r="C243" s="26" t="s">
        <v>941</v>
      </c>
      <c r="D243" s="27">
        <v>46290.875</v>
      </c>
      <c r="E243" s="27">
        <v>46291.25</v>
      </c>
      <c r="F243" s="26" t="s">
        <v>942</v>
      </c>
    </row>
    <row r="244" spans="1:6" ht="46.5" x14ac:dyDescent="0.35">
      <c r="A244" s="25" t="s">
        <v>262</v>
      </c>
      <c r="B244" s="25" t="s">
        <v>4</v>
      </c>
      <c r="C244" s="26" t="s">
        <v>923</v>
      </c>
      <c r="D244" s="27">
        <v>46290.875</v>
      </c>
      <c r="E244" s="27">
        <v>46291.208333333299</v>
      </c>
      <c r="F244" s="26" t="s">
        <v>924</v>
      </c>
    </row>
    <row r="245" spans="1:6" ht="46.5" x14ac:dyDescent="0.35">
      <c r="A245" s="25" t="s">
        <v>262</v>
      </c>
      <c r="B245" s="25" t="s">
        <v>4</v>
      </c>
      <c r="C245" s="26" t="s">
        <v>926</v>
      </c>
      <c r="D245" s="27">
        <v>46290.875</v>
      </c>
      <c r="E245" s="27">
        <v>46291.208333333299</v>
      </c>
      <c r="F245" s="26" t="s">
        <v>924</v>
      </c>
    </row>
    <row r="246" spans="1:6" ht="46.5" x14ac:dyDescent="0.35">
      <c r="A246" s="25" t="s">
        <v>262</v>
      </c>
      <c r="B246" s="25" t="s">
        <v>4</v>
      </c>
      <c r="C246" s="26" t="s">
        <v>927</v>
      </c>
      <c r="D246" s="27">
        <v>46290.875</v>
      </c>
      <c r="E246" s="27">
        <v>46291.208333333299</v>
      </c>
      <c r="F246" s="26" t="s">
        <v>924</v>
      </c>
    </row>
    <row r="247" spans="1:6" ht="93" x14ac:dyDescent="0.35">
      <c r="A247" s="25" t="s">
        <v>535</v>
      </c>
      <c r="B247" s="25" t="s">
        <v>6</v>
      </c>
      <c r="C247" s="26" t="s">
        <v>876</v>
      </c>
      <c r="D247" s="27">
        <v>46290.833333333299</v>
      </c>
      <c r="E247" s="27">
        <v>46291.25</v>
      </c>
      <c r="F247" s="26" t="s">
        <v>877</v>
      </c>
    </row>
    <row r="248" spans="1:6" ht="93" x14ac:dyDescent="0.35">
      <c r="A248" s="25" t="s">
        <v>535</v>
      </c>
      <c r="B248" s="25" t="s">
        <v>6</v>
      </c>
      <c r="C248" s="26" t="s">
        <v>878</v>
      </c>
      <c r="D248" s="27">
        <v>46290.833333333299</v>
      </c>
      <c r="E248" s="27">
        <v>46291.25</v>
      </c>
      <c r="F248" s="26" t="s">
        <v>877</v>
      </c>
    </row>
    <row r="249" spans="1:6" ht="93" x14ac:dyDescent="0.35">
      <c r="A249" s="25" t="s">
        <v>535</v>
      </c>
      <c r="B249" s="25" t="s">
        <v>6</v>
      </c>
      <c r="C249" s="26" t="s">
        <v>879</v>
      </c>
      <c r="D249" s="27">
        <v>46290.833333333299</v>
      </c>
      <c r="E249" s="27">
        <v>46291.25</v>
      </c>
      <c r="F249" s="26" t="s">
        <v>877</v>
      </c>
    </row>
  </sheetData>
  <autoFilter ref="A2:F178" xr:uid="{2C771D35-AF12-4691-B1F6-9CE13ED007CF}">
    <sortState xmlns:xlrd2="http://schemas.microsoft.com/office/spreadsheetml/2017/richdata2" ref="A3:F249">
      <sortCondition ref="A2:A178"/>
    </sortState>
  </autoFilter>
  <mergeCells count="1">
    <mergeCell ref="A1:F1"/>
  </mergeCells>
  <conditionalFormatting sqref="A3:F249">
    <cfRule type="expression" dxfId="6" priority="1">
      <formula>$J3="Over 12 hours"</formula>
    </cfRule>
  </conditionalFormatting>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65D7B-57FC-49D8-9449-344F9A89E60C}">
  <sheetPr>
    <tabColor theme="7"/>
  </sheetPr>
  <dimension ref="A1:K179"/>
  <sheetViews>
    <sheetView zoomScaleNormal="100" workbookViewId="0">
      <pane ySplit="1" topLeftCell="A2" activePane="bottomLeft" state="frozenSplit"/>
      <selection sqref="A1:F1"/>
      <selection pane="bottomLeft" activeCell="C5" sqref="C5"/>
    </sheetView>
  </sheetViews>
  <sheetFormatPr defaultColWidth="0" defaultRowHeight="15.5" x14ac:dyDescent="0.35"/>
  <cols>
    <col min="1" max="1" width="15.07421875" style="3" customWidth="1"/>
    <col min="2" max="2" width="13.23046875" style="3" customWidth="1"/>
    <col min="3" max="3" width="61.765625" style="3" customWidth="1"/>
    <col min="4" max="4" width="17.765625" style="3" customWidth="1"/>
    <col min="5" max="5" width="17.765625" style="13" customWidth="1"/>
    <col min="6" max="6" width="47" style="13" customWidth="1"/>
    <col min="7" max="11" width="0" hidden="1" customWidth="1"/>
    <col min="12" max="16384" width="8.765625" hidden="1"/>
  </cols>
  <sheetData>
    <row r="1" spans="1:6" ht="32.5" x14ac:dyDescent="0.35">
      <c r="A1" s="35" t="str">
        <f>"Daily closure report: "&amp;'Front page'!A7</f>
        <v>Daily closure report: Saturday, 26 September</v>
      </c>
      <c r="B1" s="35"/>
      <c r="C1" s="35"/>
      <c r="D1" s="35"/>
      <c r="E1" s="35"/>
      <c r="F1" s="35"/>
    </row>
    <row r="2" spans="1:6" s="12" customFormat="1" ht="28" x14ac:dyDescent="0.35">
      <c r="A2" s="12" t="s">
        <v>9</v>
      </c>
      <c r="B2" s="12" t="s">
        <v>1</v>
      </c>
      <c r="C2" s="12" t="s">
        <v>0</v>
      </c>
      <c r="D2" s="12" t="s">
        <v>11</v>
      </c>
      <c r="E2" s="12" t="s">
        <v>12</v>
      </c>
      <c r="F2" s="12" t="s">
        <v>10</v>
      </c>
    </row>
    <row r="3" spans="1:6" s="6" customFormat="1" ht="62" x14ac:dyDescent="0.35">
      <c r="A3" s="25" t="s">
        <v>38</v>
      </c>
      <c r="B3" s="25" t="s">
        <v>24</v>
      </c>
      <c r="C3" s="26" t="s">
        <v>49</v>
      </c>
      <c r="D3" s="27">
        <v>45847.208333333299</v>
      </c>
      <c r="E3" s="27">
        <v>46507.999305555597</v>
      </c>
      <c r="F3" s="26" t="s">
        <v>50</v>
      </c>
    </row>
    <row r="4" spans="1:6" s="6" customFormat="1" ht="77.5" x14ac:dyDescent="0.35">
      <c r="A4" s="25" t="s">
        <v>38</v>
      </c>
      <c r="B4" s="25" t="s">
        <v>6</v>
      </c>
      <c r="C4" s="26" t="s">
        <v>713</v>
      </c>
      <c r="D4" s="27">
        <v>46292.25</v>
      </c>
      <c r="E4" s="27">
        <v>46292.5</v>
      </c>
      <c r="F4" s="26" t="s">
        <v>714</v>
      </c>
    </row>
    <row r="5" spans="1:6" s="6" customFormat="1" ht="46.5" x14ac:dyDescent="0.35">
      <c r="A5" s="25" t="s">
        <v>38</v>
      </c>
      <c r="B5" s="25" t="s">
        <v>6</v>
      </c>
      <c r="C5" s="26" t="s">
        <v>715</v>
      </c>
      <c r="D5" s="27">
        <v>46292.25</v>
      </c>
      <c r="E5" s="27">
        <v>46292.5</v>
      </c>
      <c r="F5" s="26" t="s">
        <v>714</v>
      </c>
    </row>
    <row r="6" spans="1:6" s="6" customFormat="1" ht="62" x14ac:dyDescent="0.35">
      <c r="A6" s="25" t="s">
        <v>217</v>
      </c>
      <c r="B6" s="25" t="s">
        <v>4</v>
      </c>
      <c r="C6" s="26" t="s">
        <v>612</v>
      </c>
      <c r="D6" s="27">
        <v>46083.999305555597</v>
      </c>
      <c r="E6" s="27">
        <v>46293.999305555597</v>
      </c>
      <c r="F6" s="26" t="s">
        <v>219</v>
      </c>
    </row>
    <row r="7" spans="1:6" s="6" customFormat="1" ht="62" x14ac:dyDescent="0.35">
      <c r="A7" s="25" t="s">
        <v>217</v>
      </c>
      <c r="B7" s="25" t="s">
        <v>5</v>
      </c>
      <c r="C7" s="26" t="s">
        <v>613</v>
      </c>
      <c r="D7" s="27">
        <v>46083.999305555597</v>
      </c>
      <c r="E7" s="27">
        <v>46293.999305555597</v>
      </c>
      <c r="F7" s="26" t="s">
        <v>219</v>
      </c>
    </row>
    <row r="8" spans="1:6" s="6" customFormat="1" ht="46.5" x14ac:dyDescent="0.35">
      <c r="A8" s="25" t="s">
        <v>377</v>
      </c>
      <c r="B8" s="25" t="s">
        <v>5</v>
      </c>
      <c r="C8" s="26" t="s">
        <v>821</v>
      </c>
      <c r="D8" s="27">
        <v>46291.916666666701</v>
      </c>
      <c r="E8" s="27">
        <v>46292</v>
      </c>
      <c r="F8" s="26" t="s">
        <v>654</v>
      </c>
    </row>
    <row r="9" spans="1:6" s="6" customFormat="1" ht="93" x14ac:dyDescent="0.35">
      <c r="A9" s="25" t="s">
        <v>377</v>
      </c>
      <c r="B9" s="25" t="s">
        <v>5</v>
      </c>
      <c r="C9" s="26" t="s">
        <v>822</v>
      </c>
      <c r="D9" s="27">
        <v>46291.916666666701</v>
      </c>
      <c r="E9" s="27">
        <v>46292</v>
      </c>
      <c r="F9" s="26" t="s">
        <v>654</v>
      </c>
    </row>
    <row r="10" spans="1:6" s="6" customFormat="1" ht="77.5" x14ac:dyDescent="0.35">
      <c r="A10" s="25" t="s">
        <v>377</v>
      </c>
      <c r="B10" s="25" t="s">
        <v>5</v>
      </c>
      <c r="C10" s="26" t="s">
        <v>823</v>
      </c>
      <c r="D10" s="27">
        <v>46292.000694444403</v>
      </c>
      <c r="E10" s="27">
        <v>46292.25</v>
      </c>
      <c r="F10" s="26" t="s">
        <v>654</v>
      </c>
    </row>
    <row r="11" spans="1:6" s="6" customFormat="1" ht="77.5" x14ac:dyDescent="0.35">
      <c r="A11" s="25" t="s">
        <v>658</v>
      </c>
      <c r="B11" s="25" t="s">
        <v>6</v>
      </c>
      <c r="C11" s="26" t="s">
        <v>824</v>
      </c>
      <c r="D11" s="27">
        <v>46291.833333333299</v>
      </c>
      <c r="E11" s="27">
        <v>46292.25</v>
      </c>
      <c r="F11" s="26" t="s">
        <v>825</v>
      </c>
    </row>
    <row r="12" spans="1:6" s="6" customFormat="1" ht="77.5" x14ac:dyDescent="0.35">
      <c r="A12" s="25" t="s">
        <v>396</v>
      </c>
      <c r="B12" s="25" t="s">
        <v>2</v>
      </c>
      <c r="C12" s="26" t="s">
        <v>397</v>
      </c>
      <c r="D12" s="27">
        <v>46291.833333333299</v>
      </c>
      <c r="E12" s="27">
        <v>46292.25</v>
      </c>
      <c r="F12" s="26" t="s">
        <v>398</v>
      </c>
    </row>
    <row r="13" spans="1:6" s="6" customFormat="1" ht="31" x14ac:dyDescent="0.35">
      <c r="A13" s="25" t="s">
        <v>359</v>
      </c>
      <c r="B13" s="25" t="s">
        <v>5</v>
      </c>
      <c r="C13" s="26" t="s">
        <v>759</v>
      </c>
      <c r="D13" s="27">
        <v>46291.875</v>
      </c>
      <c r="E13" s="27">
        <v>46292.625</v>
      </c>
      <c r="F13" s="26" t="s">
        <v>638</v>
      </c>
    </row>
    <row r="14" spans="1:6" s="6" customFormat="1" ht="62" x14ac:dyDescent="0.35">
      <c r="A14" s="25" t="s">
        <v>429</v>
      </c>
      <c r="B14" s="25" t="s">
        <v>2</v>
      </c>
      <c r="C14" s="26" t="s">
        <v>767</v>
      </c>
      <c r="D14" s="27">
        <v>46291.875</v>
      </c>
      <c r="E14" s="27">
        <v>46292.375</v>
      </c>
      <c r="F14" s="26" t="s">
        <v>828</v>
      </c>
    </row>
    <row r="15" spans="1:6" s="6" customFormat="1" ht="46.5" x14ac:dyDescent="0.35">
      <c r="A15" s="25" t="s">
        <v>467</v>
      </c>
      <c r="B15" s="25" t="s">
        <v>4</v>
      </c>
      <c r="C15" s="26" t="s">
        <v>473</v>
      </c>
      <c r="D15" s="27">
        <v>46272.25</v>
      </c>
      <c r="E15" s="27">
        <v>46341.833333333299</v>
      </c>
      <c r="F15" s="26" t="s">
        <v>474</v>
      </c>
    </row>
    <row r="16" spans="1:6" s="6" customFormat="1" ht="62" x14ac:dyDescent="0.35">
      <c r="A16" s="25" t="s">
        <v>327</v>
      </c>
      <c r="B16" s="25" t="s">
        <v>2</v>
      </c>
      <c r="C16" s="26" t="s">
        <v>761</v>
      </c>
      <c r="D16" s="27">
        <v>46291.916666666701</v>
      </c>
      <c r="E16" s="27">
        <v>46292.25</v>
      </c>
      <c r="F16" s="26" t="s">
        <v>762</v>
      </c>
    </row>
    <row r="17" spans="1:6" s="6" customFormat="1" ht="108.5" x14ac:dyDescent="0.35">
      <c r="A17" s="25" t="s">
        <v>470</v>
      </c>
      <c r="B17" s="25" t="s">
        <v>6</v>
      </c>
      <c r="C17" s="26" t="s">
        <v>521</v>
      </c>
      <c r="D17" s="27">
        <v>46202.875</v>
      </c>
      <c r="E17" s="27">
        <v>46508.208333333299</v>
      </c>
      <c r="F17" s="26" t="s">
        <v>522</v>
      </c>
    </row>
    <row r="18" spans="1:6" s="6" customFormat="1" ht="108.5" x14ac:dyDescent="0.35">
      <c r="A18" s="25" t="s">
        <v>470</v>
      </c>
      <c r="B18" s="25" t="s">
        <v>2</v>
      </c>
      <c r="C18" s="26" t="s">
        <v>523</v>
      </c>
      <c r="D18" s="27">
        <v>46266.333333333299</v>
      </c>
      <c r="E18" s="27">
        <v>46507</v>
      </c>
      <c r="F18" s="26" t="s">
        <v>522</v>
      </c>
    </row>
    <row r="19" spans="1:6" s="6" customFormat="1" ht="62" x14ac:dyDescent="0.35">
      <c r="A19" s="25" t="s">
        <v>702</v>
      </c>
      <c r="B19" s="25" t="s">
        <v>5</v>
      </c>
      <c r="C19" s="26" t="s">
        <v>703</v>
      </c>
      <c r="D19" s="27">
        <v>46290.833333333299</v>
      </c>
      <c r="E19" s="27">
        <v>46293.25</v>
      </c>
      <c r="F19" s="26" t="s">
        <v>704</v>
      </c>
    </row>
    <row r="20" spans="1:6" s="6" customFormat="1" ht="77.5" x14ac:dyDescent="0.35">
      <c r="A20" s="25" t="s">
        <v>492</v>
      </c>
      <c r="B20" s="25" t="s">
        <v>2</v>
      </c>
      <c r="C20" s="26" t="s">
        <v>780</v>
      </c>
      <c r="D20" s="27">
        <v>46290.958333333299</v>
      </c>
      <c r="E20" s="27">
        <v>46293.25</v>
      </c>
      <c r="F20" s="26" t="s">
        <v>781</v>
      </c>
    </row>
    <row r="21" spans="1:6" s="6" customFormat="1" ht="77.5" x14ac:dyDescent="0.35">
      <c r="A21" s="25" t="s">
        <v>492</v>
      </c>
      <c r="B21" s="25" t="s">
        <v>6</v>
      </c>
      <c r="C21" s="26" t="s">
        <v>782</v>
      </c>
      <c r="D21" s="27">
        <v>46290.958333333299</v>
      </c>
      <c r="E21" s="27">
        <v>46293.25</v>
      </c>
      <c r="F21" s="26" t="s">
        <v>783</v>
      </c>
    </row>
    <row r="22" spans="1:6" s="6" customFormat="1" ht="62" x14ac:dyDescent="0.35">
      <c r="A22" s="25" t="s">
        <v>708</v>
      </c>
      <c r="B22" s="25" t="s">
        <v>5</v>
      </c>
      <c r="C22" s="26" t="s">
        <v>709</v>
      </c>
      <c r="D22" s="27">
        <v>46291.833333333299</v>
      </c>
      <c r="E22" s="27">
        <v>46292.25</v>
      </c>
      <c r="F22" s="26" t="s">
        <v>710</v>
      </c>
    </row>
    <row r="23" spans="1:6" s="6" customFormat="1" ht="93" x14ac:dyDescent="0.35">
      <c r="A23" s="25" t="s">
        <v>545</v>
      </c>
      <c r="B23" s="25" t="s">
        <v>7</v>
      </c>
      <c r="C23" s="26" t="s">
        <v>546</v>
      </c>
      <c r="D23" s="27">
        <v>46217.625</v>
      </c>
      <c r="E23" s="27">
        <v>46387.875</v>
      </c>
      <c r="F23" s="26" t="s">
        <v>547</v>
      </c>
    </row>
    <row r="24" spans="1:6" s="6" customFormat="1" ht="77.5" x14ac:dyDescent="0.35">
      <c r="A24" s="25" t="s">
        <v>23</v>
      </c>
      <c r="B24" s="25" t="s">
        <v>24</v>
      </c>
      <c r="C24" s="26" t="s">
        <v>788</v>
      </c>
      <c r="D24" s="27">
        <v>46291.833333333299</v>
      </c>
      <c r="E24" s="27">
        <v>46292.25</v>
      </c>
      <c r="F24" s="26" t="s">
        <v>789</v>
      </c>
    </row>
    <row r="25" spans="1:6" s="6" customFormat="1" ht="46.5" x14ac:dyDescent="0.35">
      <c r="A25" s="25" t="s">
        <v>529</v>
      </c>
      <c r="B25" s="25" t="s">
        <v>5</v>
      </c>
      <c r="C25" s="26" t="s">
        <v>838</v>
      </c>
      <c r="D25" s="27">
        <v>46291.833333333299</v>
      </c>
      <c r="E25" s="27">
        <v>46292.208333333299</v>
      </c>
      <c r="F25" s="26" t="s">
        <v>839</v>
      </c>
    </row>
    <row r="26" spans="1:6" s="6" customFormat="1" ht="77.5" x14ac:dyDescent="0.35">
      <c r="A26" s="25" t="s">
        <v>537</v>
      </c>
      <c r="B26" s="25" t="s">
        <v>24</v>
      </c>
      <c r="C26" s="26" t="s">
        <v>538</v>
      </c>
      <c r="D26" s="27">
        <v>46230.833333333299</v>
      </c>
      <c r="E26" s="27">
        <v>46403.25</v>
      </c>
      <c r="F26" s="26" t="s">
        <v>539</v>
      </c>
    </row>
    <row r="27" spans="1:6" s="6" customFormat="1" ht="93" x14ac:dyDescent="0.35">
      <c r="A27" s="25" t="s">
        <v>120</v>
      </c>
      <c r="B27" s="25" t="s">
        <v>24</v>
      </c>
      <c r="C27" s="26" t="s">
        <v>711</v>
      </c>
      <c r="D27" s="27">
        <v>46291.833333333299</v>
      </c>
      <c r="E27" s="27">
        <v>46292.25</v>
      </c>
      <c r="F27" s="26" t="s">
        <v>712</v>
      </c>
    </row>
    <row r="28" spans="1:6" s="6" customFormat="1" ht="77.5" x14ac:dyDescent="0.35">
      <c r="A28" s="25" t="s">
        <v>120</v>
      </c>
      <c r="B28" s="25" t="s">
        <v>5</v>
      </c>
      <c r="C28" s="26" t="s">
        <v>792</v>
      </c>
      <c r="D28" s="27">
        <v>46291.833333333299</v>
      </c>
      <c r="E28" s="27">
        <v>46292.25</v>
      </c>
      <c r="F28" s="26" t="s">
        <v>793</v>
      </c>
    </row>
    <row r="29" spans="1:6" s="6" customFormat="1" ht="77.5" x14ac:dyDescent="0.35">
      <c r="A29" s="25" t="s">
        <v>120</v>
      </c>
      <c r="B29" s="25" t="s">
        <v>5</v>
      </c>
      <c r="C29" s="26" t="s">
        <v>794</v>
      </c>
      <c r="D29" s="27">
        <v>46291.833333333299</v>
      </c>
      <c r="E29" s="27">
        <v>46292.25</v>
      </c>
      <c r="F29" s="26" t="s">
        <v>793</v>
      </c>
    </row>
    <row r="30" spans="1:6" s="6" customFormat="1" ht="46.5" x14ac:dyDescent="0.35">
      <c r="A30" s="25" t="s">
        <v>273</v>
      </c>
      <c r="B30" s="25" t="s">
        <v>4</v>
      </c>
      <c r="C30" s="26" t="s">
        <v>807</v>
      </c>
      <c r="D30" s="27">
        <v>46291.875</v>
      </c>
      <c r="E30" s="27">
        <v>46292.25</v>
      </c>
      <c r="F30" s="26" t="s">
        <v>808</v>
      </c>
    </row>
    <row r="31" spans="1:6" s="6" customFormat="1" ht="46.5" x14ac:dyDescent="0.35">
      <c r="A31" s="25" t="s">
        <v>273</v>
      </c>
      <c r="B31" s="25" t="s">
        <v>4</v>
      </c>
      <c r="C31" s="26" t="s">
        <v>809</v>
      </c>
      <c r="D31" s="27">
        <v>46291.875</v>
      </c>
      <c r="E31" s="27">
        <v>46292.25</v>
      </c>
      <c r="F31" s="26" t="s">
        <v>808</v>
      </c>
    </row>
    <row r="32" spans="1:6" s="6" customFormat="1" ht="46.5" x14ac:dyDescent="0.35">
      <c r="A32" s="25" t="s">
        <v>273</v>
      </c>
      <c r="B32" s="25" t="s">
        <v>4</v>
      </c>
      <c r="C32" s="26" t="s">
        <v>810</v>
      </c>
      <c r="D32" s="27">
        <v>46291.875</v>
      </c>
      <c r="E32" s="27">
        <v>46292.25</v>
      </c>
      <c r="F32" s="26" t="s">
        <v>808</v>
      </c>
    </row>
    <row r="33" spans="1:6" s="6" customFormat="1" ht="62" x14ac:dyDescent="0.35">
      <c r="A33" s="25" t="s">
        <v>744</v>
      </c>
      <c r="B33" s="25" t="s">
        <v>2</v>
      </c>
      <c r="C33" s="26" t="s">
        <v>811</v>
      </c>
      <c r="D33" s="27">
        <v>46291.875</v>
      </c>
      <c r="E33" s="27">
        <v>46292.25</v>
      </c>
      <c r="F33" s="26" t="s">
        <v>812</v>
      </c>
    </row>
    <row r="34" spans="1:6" s="6" customFormat="1" ht="46.5" x14ac:dyDescent="0.35">
      <c r="A34" s="25" t="s">
        <v>840</v>
      </c>
      <c r="B34" s="25" t="s">
        <v>6</v>
      </c>
      <c r="C34" s="26" t="s">
        <v>841</v>
      </c>
      <c r="D34" s="27">
        <v>46291.833333333299</v>
      </c>
      <c r="E34" s="27">
        <v>46292.208333333299</v>
      </c>
      <c r="F34" s="26" t="s">
        <v>839</v>
      </c>
    </row>
    <row r="35" spans="1:6" s="6" customFormat="1" ht="93" x14ac:dyDescent="0.35">
      <c r="A35" s="25" t="s">
        <v>166</v>
      </c>
      <c r="B35" s="25" t="s">
        <v>6</v>
      </c>
      <c r="C35" s="26" t="s">
        <v>167</v>
      </c>
      <c r="D35" s="27">
        <v>46237.833333333299</v>
      </c>
      <c r="E35" s="27">
        <v>46326.25</v>
      </c>
      <c r="F35" s="26" t="s">
        <v>168</v>
      </c>
    </row>
    <row r="36" spans="1:6" s="6" customFormat="1" ht="93" x14ac:dyDescent="0.35">
      <c r="A36" s="25" t="s">
        <v>166</v>
      </c>
      <c r="B36" s="25" t="s">
        <v>2</v>
      </c>
      <c r="C36" s="26" t="s">
        <v>169</v>
      </c>
      <c r="D36" s="27">
        <v>46237.833333333299</v>
      </c>
      <c r="E36" s="27">
        <v>46326.25</v>
      </c>
      <c r="F36" s="26" t="s">
        <v>168</v>
      </c>
    </row>
    <row r="37" spans="1:6" s="6" customFormat="1" ht="46.5" x14ac:dyDescent="0.35">
      <c r="A37" s="25" t="s">
        <v>201</v>
      </c>
      <c r="B37" s="25" t="s">
        <v>24</v>
      </c>
      <c r="C37" s="26" t="s">
        <v>757</v>
      </c>
      <c r="D37" s="27">
        <v>46290.791666666701</v>
      </c>
      <c r="E37" s="27">
        <v>46293.25</v>
      </c>
      <c r="F37" s="26" t="s">
        <v>758</v>
      </c>
    </row>
    <row r="38" spans="1:6" s="6" customFormat="1" ht="46.5" x14ac:dyDescent="0.35">
      <c r="A38" s="25" t="s">
        <v>55</v>
      </c>
      <c r="B38" s="25" t="s">
        <v>6</v>
      </c>
      <c r="C38" s="26" t="s">
        <v>790</v>
      </c>
      <c r="D38" s="27">
        <v>46291.916666666701</v>
      </c>
      <c r="E38" s="27">
        <v>46292.208333333299</v>
      </c>
      <c r="F38" s="26" t="s">
        <v>791</v>
      </c>
    </row>
    <row r="39" spans="1:6" s="6" customFormat="1" ht="62" x14ac:dyDescent="0.35">
      <c r="A39" s="25" t="s">
        <v>46</v>
      </c>
      <c r="B39" s="25" t="s">
        <v>2</v>
      </c>
      <c r="C39" s="26" t="s">
        <v>700</v>
      </c>
      <c r="D39" s="27">
        <v>46291.875</v>
      </c>
      <c r="E39" s="27">
        <v>46292.208333333299</v>
      </c>
      <c r="F39" s="26" t="s">
        <v>701</v>
      </c>
    </row>
    <row r="40" spans="1:6" s="6" customFormat="1" ht="108.5" x14ac:dyDescent="0.35">
      <c r="A40" s="25" t="s">
        <v>46</v>
      </c>
      <c r="B40" s="25" t="s">
        <v>6</v>
      </c>
      <c r="C40" s="26" t="s">
        <v>833</v>
      </c>
      <c r="D40" s="27">
        <v>46291.916666666701</v>
      </c>
      <c r="E40" s="27">
        <v>46292.229166666701</v>
      </c>
      <c r="F40" s="26" t="s">
        <v>834</v>
      </c>
    </row>
    <row r="41" spans="1:6" s="6" customFormat="1" ht="108.5" x14ac:dyDescent="0.35">
      <c r="A41" s="25" t="s">
        <v>46</v>
      </c>
      <c r="B41" s="25" t="s">
        <v>6</v>
      </c>
      <c r="C41" s="26" t="s">
        <v>835</v>
      </c>
      <c r="D41" s="27">
        <v>46291.916666666701</v>
      </c>
      <c r="E41" s="27">
        <v>46292.229166666701</v>
      </c>
      <c r="F41" s="26" t="s">
        <v>834</v>
      </c>
    </row>
    <row r="42" spans="1:6" s="6" customFormat="1" ht="46.5" x14ac:dyDescent="0.35">
      <c r="A42" s="25" t="s">
        <v>399</v>
      </c>
      <c r="B42" s="25" t="s">
        <v>5</v>
      </c>
      <c r="C42" s="26" t="s">
        <v>820</v>
      </c>
      <c r="D42" s="27">
        <v>46291.833333333299</v>
      </c>
      <c r="E42" s="27">
        <v>46291.916666666701</v>
      </c>
      <c r="F42" s="26" t="s">
        <v>654</v>
      </c>
    </row>
    <row r="43" spans="1:6" s="6" customFormat="1" ht="31" x14ac:dyDescent="0.35">
      <c r="A43" s="25" t="s">
        <v>386</v>
      </c>
      <c r="B43" s="25" t="s">
        <v>4</v>
      </c>
      <c r="C43" s="26" t="s">
        <v>826</v>
      </c>
      <c r="D43" s="27">
        <v>46291.833333333299</v>
      </c>
      <c r="E43" s="27">
        <v>46292.166666666701</v>
      </c>
      <c r="F43" s="26" t="s">
        <v>827</v>
      </c>
    </row>
    <row r="44" spans="1:6" s="6" customFormat="1" ht="46.5" x14ac:dyDescent="0.35">
      <c r="A44" s="25" t="s">
        <v>421</v>
      </c>
      <c r="B44" s="25" t="s">
        <v>7</v>
      </c>
      <c r="C44" s="26" t="s">
        <v>829</v>
      </c>
      <c r="D44" s="27">
        <v>46291.885416666701</v>
      </c>
      <c r="E44" s="27">
        <v>46292.375</v>
      </c>
      <c r="F44" s="26" t="s">
        <v>830</v>
      </c>
    </row>
    <row r="45" spans="1:6" s="6" customFormat="1" ht="62" x14ac:dyDescent="0.35">
      <c r="A45" s="25" t="s">
        <v>421</v>
      </c>
      <c r="B45" s="25" t="s">
        <v>7</v>
      </c>
      <c r="C45" s="26" t="s">
        <v>831</v>
      </c>
      <c r="D45" s="27">
        <v>46291.895833333299</v>
      </c>
      <c r="E45" s="27">
        <v>46292.375</v>
      </c>
      <c r="F45" s="26" t="s">
        <v>832</v>
      </c>
    </row>
    <row r="46" spans="1:6" s="6" customFormat="1" ht="77.5" x14ac:dyDescent="0.35">
      <c r="A46" s="25" t="s">
        <v>421</v>
      </c>
      <c r="B46" s="25" t="s">
        <v>24</v>
      </c>
      <c r="C46" s="26" t="s">
        <v>836</v>
      </c>
      <c r="D46" s="27">
        <v>46291.958333333299</v>
      </c>
      <c r="E46" s="27">
        <v>46292.25</v>
      </c>
      <c r="F46" s="26" t="s">
        <v>837</v>
      </c>
    </row>
    <row r="47" spans="1:6" s="6" customFormat="1" ht="93" x14ac:dyDescent="0.35">
      <c r="A47" s="25" t="s">
        <v>421</v>
      </c>
      <c r="B47" s="25" t="s">
        <v>7</v>
      </c>
      <c r="C47" s="26" t="s">
        <v>771</v>
      </c>
      <c r="D47" s="27">
        <v>46291.916666666701</v>
      </c>
      <c r="E47" s="27">
        <v>46292.229166666701</v>
      </c>
      <c r="F47" s="26" t="s">
        <v>772</v>
      </c>
    </row>
    <row r="48" spans="1:6" s="6" customFormat="1" ht="62" x14ac:dyDescent="0.35">
      <c r="A48" s="25" t="s">
        <v>421</v>
      </c>
      <c r="B48" s="25" t="s">
        <v>8</v>
      </c>
      <c r="C48" s="26" t="s">
        <v>776</v>
      </c>
      <c r="D48" s="27">
        <v>46291.916666666701</v>
      </c>
      <c r="E48" s="27">
        <v>46292.25</v>
      </c>
      <c r="F48" s="26" t="s">
        <v>777</v>
      </c>
    </row>
    <row r="49" spans="1:6" s="6" customFormat="1" ht="62" x14ac:dyDescent="0.35">
      <c r="A49" s="25" t="s">
        <v>324</v>
      </c>
      <c r="B49" s="25" t="s">
        <v>2</v>
      </c>
      <c r="C49" s="26" t="s">
        <v>325</v>
      </c>
      <c r="D49" s="27">
        <v>46237.25</v>
      </c>
      <c r="E49" s="27">
        <v>46692.25</v>
      </c>
      <c r="F49" s="26" t="s">
        <v>326</v>
      </c>
    </row>
    <row r="50" spans="1:6" s="6" customFormat="1" ht="108.5" x14ac:dyDescent="0.35">
      <c r="A50" s="25" t="s">
        <v>373</v>
      </c>
      <c r="B50" s="25" t="s">
        <v>5</v>
      </c>
      <c r="C50" s="26" t="s">
        <v>516</v>
      </c>
      <c r="D50" s="27">
        <v>46291.875</v>
      </c>
      <c r="E50" s="27">
        <v>46292.25</v>
      </c>
      <c r="F50" s="26" t="s">
        <v>517</v>
      </c>
    </row>
    <row r="51" spans="1:6" s="6" customFormat="1" ht="62" x14ac:dyDescent="0.35">
      <c r="A51" s="25" t="s">
        <v>518</v>
      </c>
      <c r="B51" s="25" t="s">
        <v>4</v>
      </c>
      <c r="C51" s="26" t="s">
        <v>519</v>
      </c>
      <c r="D51" s="27">
        <v>46291.833333333299</v>
      </c>
      <c r="E51" s="27">
        <v>46292.25</v>
      </c>
      <c r="F51" s="26" t="s">
        <v>520</v>
      </c>
    </row>
    <row r="52" spans="1:6" s="6" customFormat="1" ht="217" x14ac:dyDescent="0.35">
      <c r="A52" s="25" t="s">
        <v>495</v>
      </c>
      <c r="B52" s="25" t="s">
        <v>6</v>
      </c>
      <c r="C52" s="26" t="s">
        <v>778</v>
      </c>
      <c r="D52" s="27">
        <v>46291.916666666701</v>
      </c>
      <c r="E52" s="27">
        <v>46292.25</v>
      </c>
      <c r="F52" s="26" t="s">
        <v>779</v>
      </c>
    </row>
    <row r="53" spans="1:6" s="6" customFormat="1" ht="46.5" x14ac:dyDescent="0.35">
      <c r="A53" s="25" t="s">
        <v>237</v>
      </c>
      <c r="B53" s="25" t="s">
        <v>6</v>
      </c>
      <c r="C53" s="26" t="s">
        <v>798</v>
      </c>
      <c r="D53" s="27">
        <v>46291.875</v>
      </c>
      <c r="E53" s="27">
        <v>46292.25</v>
      </c>
      <c r="F53" s="26" t="s">
        <v>236</v>
      </c>
    </row>
    <row r="54" spans="1:6" s="6" customFormat="1" ht="46.5" x14ac:dyDescent="0.35">
      <c r="A54" s="25" t="s">
        <v>237</v>
      </c>
      <c r="B54" s="25" t="s">
        <v>6</v>
      </c>
      <c r="C54" s="26" t="s">
        <v>799</v>
      </c>
      <c r="D54" s="27">
        <v>46291.875</v>
      </c>
      <c r="E54" s="27">
        <v>46292.25</v>
      </c>
      <c r="F54" s="26" t="s">
        <v>236</v>
      </c>
    </row>
    <row r="55" spans="1:6" s="6" customFormat="1" ht="46.5" x14ac:dyDescent="0.35">
      <c r="A55" s="25" t="s">
        <v>237</v>
      </c>
      <c r="B55" s="25" t="s">
        <v>6</v>
      </c>
      <c r="C55" s="26" t="s">
        <v>800</v>
      </c>
      <c r="D55" s="27">
        <v>46291.875</v>
      </c>
      <c r="E55" s="27">
        <v>46292.25</v>
      </c>
      <c r="F55" s="26" t="s">
        <v>236</v>
      </c>
    </row>
    <row r="56" spans="1:6" s="6" customFormat="1" ht="46.5" x14ac:dyDescent="0.35">
      <c r="A56" s="25" t="s">
        <v>237</v>
      </c>
      <c r="B56" s="25" t="s">
        <v>6</v>
      </c>
      <c r="C56" s="26" t="s">
        <v>801</v>
      </c>
      <c r="D56" s="27">
        <v>46291.875</v>
      </c>
      <c r="E56" s="27">
        <v>46292.25</v>
      </c>
      <c r="F56" s="26" t="s">
        <v>236</v>
      </c>
    </row>
    <row r="57" spans="1:6" s="6" customFormat="1" ht="46.5" x14ac:dyDescent="0.35">
      <c r="A57" s="25" t="s">
        <v>237</v>
      </c>
      <c r="B57" s="25" t="s">
        <v>6</v>
      </c>
      <c r="C57" s="26" t="s">
        <v>802</v>
      </c>
      <c r="D57" s="27">
        <v>46291.875</v>
      </c>
      <c r="E57" s="27">
        <v>46292.25</v>
      </c>
      <c r="F57" s="26" t="s">
        <v>236</v>
      </c>
    </row>
    <row r="58" spans="1:6" s="6" customFormat="1" ht="46.5" x14ac:dyDescent="0.35">
      <c r="A58" s="25" t="s">
        <v>237</v>
      </c>
      <c r="B58" s="25" t="s">
        <v>6</v>
      </c>
      <c r="C58" s="26" t="s">
        <v>803</v>
      </c>
      <c r="D58" s="27">
        <v>46291.875</v>
      </c>
      <c r="E58" s="27">
        <v>46292.25</v>
      </c>
      <c r="F58" s="26" t="s">
        <v>236</v>
      </c>
    </row>
    <row r="59" spans="1:6" s="6" customFormat="1" ht="46.5" x14ac:dyDescent="0.35">
      <c r="A59" s="25" t="s">
        <v>237</v>
      </c>
      <c r="B59" s="25" t="s">
        <v>6</v>
      </c>
      <c r="C59" s="26" t="s">
        <v>804</v>
      </c>
      <c r="D59" s="27">
        <v>46291.875</v>
      </c>
      <c r="E59" s="27">
        <v>46292.25</v>
      </c>
      <c r="F59" s="26" t="s">
        <v>236</v>
      </c>
    </row>
    <row r="60" spans="1:6" s="6" customFormat="1" ht="62" x14ac:dyDescent="0.35">
      <c r="A60" s="25" t="s">
        <v>817</v>
      </c>
      <c r="B60" s="25" t="s">
        <v>4</v>
      </c>
      <c r="C60" s="26" t="s">
        <v>818</v>
      </c>
      <c r="D60" s="27">
        <v>46291.875</v>
      </c>
      <c r="E60" s="27">
        <v>46292.25</v>
      </c>
      <c r="F60" s="26" t="s">
        <v>816</v>
      </c>
    </row>
    <row r="61" spans="1:6" s="6" customFormat="1" ht="46.5" x14ac:dyDescent="0.35">
      <c r="A61" s="25" t="s">
        <v>231</v>
      </c>
      <c r="B61" s="25" t="s">
        <v>6</v>
      </c>
      <c r="C61" s="26" t="s">
        <v>232</v>
      </c>
      <c r="D61" s="27">
        <v>45804.208333333299</v>
      </c>
      <c r="E61" s="27">
        <v>46418.208333333299</v>
      </c>
      <c r="F61" s="26" t="s">
        <v>233</v>
      </c>
    </row>
    <row r="62" spans="1:6" s="6" customFormat="1" ht="31" x14ac:dyDescent="0.35">
      <c r="A62" s="25" t="s">
        <v>231</v>
      </c>
      <c r="B62" s="25" t="s">
        <v>2</v>
      </c>
      <c r="C62" s="26" t="s">
        <v>269</v>
      </c>
      <c r="D62" s="27">
        <v>46267.833333333299</v>
      </c>
      <c r="E62" s="27">
        <v>46323.25</v>
      </c>
      <c r="F62" s="26" t="s">
        <v>270</v>
      </c>
    </row>
    <row r="63" spans="1:6" s="6" customFormat="1" ht="77.5" x14ac:dyDescent="0.35">
      <c r="A63" s="25" t="s">
        <v>93</v>
      </c>
      <c r="B63" s="25" t="s">
        <v>6</v>
      </c>
      <c r="C63" s="26" t="s">
        <v>94</v>
      </c>
      <c r="D63" s="27">
        <v>46291.25</v>
      </c>
      <c r="E63" s="27">
        <v>46291.833333333299</v>
      </c>
      <c r="F63" s="26" t="s">
        <v>95</v>
      </c>
    </row>
    <row r="64" spans="1:6" s="6" customFormat="1" ht="46.5" x14ac:dyDescent="0.35">
      <c r="A64" s="25" t="s">
        <v>93</v>
      </c>
      <c r="B64" s="25" t="s">
        <v>6</v>
      </c>
      <c r="C64" s="26" t="s">
        <v>752</v>
      </c>
      <c r="D64" s="27">
        <v>46291.875</v>
      </c>
      <c r="E64" s="27">
        <v>46292.25</v>
      </c>
      <c r="F64" s="26" t="s">
        <v>753</v>
      </c>
    </row>
    <row r="65" spans="1:6" s="6" customFormat="1" ht="62" x14ac:dyDescent="0.35">
      <c r="A65" s="25" t="s">
        <v>93</v>
      </c>
      <c r="B65" s="25" t="s">
        <v>2</v>
      </c>
      <c r="C65" s="26" t="s">
        <v>815</v>
      </c>
      <c r="D65" s="27">
        <v>46291.875</v>
      </c>
      <c r="E65" s="27">
        <v>46292.25</v>
      </c>
      <c r="F65" s="26" t="s">
        <v>816</v>
      </c>
    </row>
    <row r="66" spans="1:6" s="6" customFormat="1" ht="62" x14ac:dyDescent="0.35">
      <c r="A66" s="25" t="s">
        <v>93</v>
      </c>
      <c r="B66" s="25" t="s">
        <v>2</v>
      </c>
      <c r="C66" s="26" t="s">
        <v>819</v>
      </c>
      <c r="D66" s="27">
        <v>46291.875</v>
      </c>
      <c r="E66" s="27">
        <v>46292.25</v>
      </c>
      <c r="F66" s="26" t="s">
        <v>816</v>
      </c>
    </row>
    <row r="67" spans="1:6" s="6" customFormat="1" ht="77.5" x14ac:dyDescent="0.35">
      <c r="A67" s="25" t="s">
        <v>93</v>
      </c>
      <c r="B67" s="25" t="s">
        <v>6</v>
      </c>
      <c r="C67" s="26" t="s">
        <v>784</v>
      </c>
      <c r="D67" s="27">
        <v>46291.916666666701</v>
      </c>
      <c r="E67" s="27">
        <v>46292.208333333299</v>
      </c>
      <c r="F67" s="26" t="s">
        <v>785</v>
      </c>
    </row>
    <row r="68" spans="1:6" s="6" customFormat="1" ht="46.5" x14ac:dyDescent="0.35">
      <c r="A68" s="25" t="s">
        <v>250</v>
      </c>
      <c r="B68" s="25" t="s">
        <v>7</v>
      </c>
      <c r="C68" s="26" t="s">
        <v>805</v>
      </c>
      <c r="D68" s="27">
        <v>46292.208333333299</v>
      </c>
      <c r="E68" s="27">
        <v>46292.416666666701</v>
      </c>
      <c r="F68" s="26" t="s">
        <v>806</v>
      </c>
    </row>
    <row r="69" spans="1:6" s="6" customFormat="1" ht="46.5" x14ac:dyDescent="0.35">
      <c r="A69" s="25" t="s">
        <v>250</v>
      </c>
      <c r="B69" s="25" t="s">
        <v>8</v>
      </c>
      <c r="C69" s="26" t="s">
        <v>733</v>
      </c>
      <c r="D69" s="27">
        <v>46291.833333333299</v>
      </c>
      <c r="E69" s="27">
        <v>46293.25</v>
      </c>
      <c r="F69" s="26" t="s">
        <v>311</v>
      </c>
    </row>
    <row r="70" spans="1:6" s="6" customFormat="1" ht="46.5" x14ac:dyDescent="0.35">
      <c r="A70" s="25" t="s">
        <v>250</v>
      </c>
      <c r="B70" s="25" t="s">
        <v>8</v>
      </c>
      <c r="C70" s="26" t="s">
        <v>734</v>
      </c>
      <c r="D70" s="27">
        <v>46291.833333333299</v>
      </c>
      <c r="E70" s="27">
        <v>46293.25</v>
      </c>
      <c r="F70" s="26" t="s">
        <v>311</v>
      </c>
    </row>
    <row r="71" spans="1:6" s="6" customFormat="1" ht="46.5" x14ac:dyDescent="0.35">
      <c r="A71" s="25" t="s">
        <v>250</v>
      </c>
      <c r="B71" s="25" t="s">
        <v>8</v>
      </c>
      <c r="C71" s="26" t="s">
        <v>735</v>
      </c>
      <c r="D71" s="27">
        <v>46291.833333333299</v>
      </c>
      <c r="E71" s="27">
        <v>46293.25</v>
      </c>
      <c r="F71" s="26" t="s">
        <v>311</v>
      </c>
    </row>
    <row r="72" spans="1:6" s="6" customFormat="1" ht="46.5" x14ac:dyDescent="0.35">
      <c r="A72" s="25" t="s">
        <v>250</v>
      </c>
      <c r="B72" s="25" t="s">
        <v>8</v>
      </c>
      <c r="C72" s="26" t="s">
        <v>736</v>
      </c>
      <c r="D72" s="27">
        <v>46291.833333333299</v>
      </c>
      <c r="E72" s="27">
        <v>46293.25</v>
      </c>
      <c r="F72" s="26" t="s">
        <v>311</v>
      </c>
    </row>
    <row r="73" spans="1:6" s="6" customFormat="1" ht="46.5" x14ac:dyDescent="0.35">
      <c r="A73" s="25" t="s">
        <v>250</v>
      </c>
      <c r="B73" s="25" t="s">
        <v>7</v>
      </c>
      <c r="C73" s="26" t="s">
        <v>738</v>
      </c>
      <c r="D73" s="27">
        <v>46291.916666666701</v>
      </c>
      <c r="E73" s="27">
        <v>46293.25</v>
      </c>
      <c r="F73" s="26" t="s">
        <v>311</v>
      </c>
    </row>
    <row r="74" spans="1:6" s="6" customFormat="1" ht="46.5" x14ac:dyDescent="0.35">
      <c r="A74" s="25" t="s">
        <v>250</v>
      </c>
      <c r="B74" s="25" t="s">
        <v>7</v>
      </c>
      <c r="C74" s="26" t="s">
        <v>739</v>
      </c>
      <c r="D74" s="27">
        <v>46291.916666666701</v>
      </c>
      <c r="E74" s="27">
        <v>46293.25</v>
      </c>
      <c r="F74" s="26" t="s">
        <v>311</v>
      </c>
    </row>
    <row r="75" spans="1:6" s="6" customFormat="1" ht="46.5" x14ac:dyDescent="0.35">
      <c r="A75" s="25" t="s">
        <v>250</v>
      </c>
      <c r="B75" s="25" t="s">
        <v>7</v>
      </c>
      <c r="C75" s="26" t="s">
        <v>740</v>
      </c>
      <c r="D75" s="27">
        <v>46291.916666666701</v>
      </c>
      <c r="E75" s="27">
        <v>46293.25</v>
      </c>
      <c r="F75" s="26" t="s">
        <v>311</v>
      </c>
    </row>
    <row r="76" spans="1:6" s="6" customFormat="1" ht="46.5" x14ac:dyDescent="0.35">
      <c r="A76" s="25" t="s">
        <v>250</v>
      </c>
      <c r="B76" s="25" t="s">
        <v>7</v>
      </c>
      <c r="C76" s="26" t="s">
        <v>741</v>
      </c>
      <c r="D76" s="27">
        <v>46291.916666666701</v>
      </c>
      <c r="E76" s="27">
        <v>46293.25</v>
      </c>
      <c r="F76" s="26" t="s">
        <v>311</v>
      </c>
    </row>
    <row r="77" spans="1:6" s="6" customFormat="1" ht="46.5" x14ac:dyDescent="0.35">
      <c r="A77" s="25" t="s">
        <v>250</v>
      </c>
      <c r="B77" s="25" t="s">
        <v>8</v>
      </c>
      <c r="C77" s="26" t="s">
        <v>747</v>
      </c>
      <c r="D77" s="27">
        <v>46291.875</v>
      </c>
      <c r="E77" s="27">
        <v>46292.25</v>
      </c>
      <c r="F77" s="26" t="s">
        <v>748</v>
      </c>
    </row>
    <row r="78" spans="1:6" s="6" customFormat="1" ht="46.5" x14ac:dyDescent="0.35">
      <c r="A78" s="25" t="s">
        <v>250</v>
      </c>
      <c r="B78" s="25" t="s">
        <v>8</v>
      </c>
      <c r="C78" s="26" t="s">
        <v>749</v>
      </c>
      <c r="D78" s="27">
        <v>46291.875</v>
      </c>
      <c r="E78" s="27">
        <v>46292.25</v>
      </c>
      <c r="F78" s="26" t="s">
        <v>748</v>
      </c>
    </row>
    <row r="79" spans="1:6" s="6" customFormat="1" ht="46.5" x14ac:dyDescent="0.35">
      <c r="A79" s="25" t="s">
        <v>250</v>
      </c>
      <c r="B79" s="25" t="s">
        <v>8</v>
      </c>
      <c r="C79" s="26" t="s">
        <v>750</v>
      </c>
      <c r="D79" s="27">
        <v>46291.875</v>
      </c>
      <c r="E79" s="27">
        <v>46292.25</v>
      </c>
      <c r="F79" s="26" t="s">
        <v>748</v>
      </c>
    </row>
    <row r="80" spans="1:6" s="6" customFormat="1" ht="46.5" x14ac:dyDescent="0.35">
      <c r="A80" s="25" t="s">
        <v>250</v>
      </c>
      <c r="B80" s="25" t="s">
        <v>8</v>
      </c>
      <c r="C80" s="26" t="s">
        <v>751</v>
      </c>
      <c r="D80" s="27">
        <v>46291.875</v>
      </c>
      <c r="E80" s="27">
        <v>46292.25</v>
      </c>
      <c r="F80" s="26" t="s">
        <v>748</v>
      </c>
    </row>
    <row r="81" spans="1:6" s="6" customFormat="1" ht="46.5" x14ac:dyDescent="0.35">
      <c r="A81" s="25" t="s">
        <v>155</v>
      </c>
      <c r="B81" s="25" t="s">
        <v>2</v>
      </c>
      <c r="C81" s="26" t="s">
        <v>724</v>
      </c>
      <c r="D81" s="27">
        <v>46291.833333333299</v>
      </c>
      <c r="E81" s="27">
        <v>46292.208333333299</v>
      </c>
      <c r="F81" s="26" t="s">
        <v>725</v>
      </c>
    </row>
    <row r="82" spans="1:6" s="8" customFormat="1" ht="77.5" x14ac:dyDescent="0.35">
      <c r="A82" s="25" t="s">
        <v>125</v>
      </c>
      <c r="B82" s="25" t="s">
        <v>4</v>
      </c>
      <c r="C82" s="26" t="s">
        <v>126</v>
      </c>
      <c r="D82" s="27">
        <v>46290.25</v>
      </c>
      <c r="E82" s="27">
        <v>46502.25</v>
      </c>
      <c r="F82" s="26" t="s">
        <v>127</v>
      </c>
    </row>
    <row r="83" spans="1:6" s="6" customFormat="1" ht="93" x14ac:dyDescent="0.35">
      <c r="A83" s="25" t="s">
        <v>125</v>
      </c>
      <c r="B83" s="25" t="s">
        <v>5</v>
      </c>
      <c r="C83" s="26" t="s">
        <v>148</v>
      </c>
      <c r="D83" s="27">
        <v>46291.833333333299</v>
      </c>
      <c r="E83" s="27">
        <v>46292.25</v>
      </c>
      <c r="F83" s="26" t="s">
        <v>149</v>
      </c>
    </row>
    <row r="84" spans="1:6" s="6" customFormat="1" ht="93" x14ac:dyDescent="0.35">
      <c r="A84" s="25" t="s">
        <v>125</v>
      </c>
      <c r="B84" s="25" t="s">
        <v>5</v>
      </c>
      <c r="C84" s="26" t="s">
        <v>150</v>
      </c>
      <c r="D84" s="27">
        <v>46291.833333333299</v>
      </c>
      <c r="E84" s="27">
        <v>46292.25</v>
      </c>
      <c r="F84" s="26" t="s">
        <v>149</v>
      </c>
    </row>
    <row r="85" spans="1:6" s="6" customFormat="1" ht="93" x14ac:dyDescent="0.35">
      <c r="A85" s="25" t="s">
        <v>125</v>
      </c>
      <c r="B85" s="25" t="s">
        <v>5</v>
      </c>
      <c r="C85" s="26" t="s">
        <v>151</v>
      </c>
      <c r="D85" s="27">
        <v>46291.833333333299</v>
      </c>
      <c r="E85" s="27">
        <v>46292.25</v>
      </c>
      <c r="F85" s="26" t="s">
        <v>149</v>
      </c>
    </row>
    <row r="86" spans="1:6" s="6" customFormat="1" ht="62" x14ac:dyDescent="0.35">
      <c r="A86" s="25" t="s">
        <v>125</v>
      </c>
      <c r="B86" s="25" t="s">
        <v>4</v>
      </c>
      <c r="C86" s="26" t="s">
        <v>722</v>
      </c>
      <c r="D86" s="27">
        <v>46291.833333333299</v>
      </c>
      <c r="E86" s="27">
        <v>46292.208333333299</v>
      </c>
      <c r="F86" s="26" t="s">
        <v>723</v>
      </c>
    </row>
    <row r="87" spans="1:6" s="6" customFormat="1" ht="46.5" x14ac:dyDescent="0.35">
      <c r="A87" s="25" t="s">
        <v>125</v>
      </c>
      <c r="B87" s="25" t="s">
        <v>5</v>
      </c>
      <c r="C87" s="26" t="s">
        <v>737</v>
      </c>
      <c r="D87" s="27">
        <v>46291.833333333299</v>
      </c>
      <c r="E87" s="27">
        <v>46293.25</v>
      </c>
      <c r="F87" s="26" t="s">
        <v>311</v>
      </c>
    </row>
    <row r="88" spans="1:6" s="5" customFormat="1" ht="46.5" x14ac:dyDescent="0.35">
      <c r="A88" s="25" t="s">
        <v>125</v>
      </c>
      <c r="B88" s="25" t="s">
        <v>4</v>
      </c>
      <c r="C88" s="26" t="s">
        <v>813</v>
      </c>
      <c r="D88" s="27">
        <v>46291.875</v>
      </c>
      <c r="E88" s="27">
        <v>46292.25</v>
      </c>
      <c r="F88" s="26" t="s">
        <v>814</v>
      </c>
    </row>
    <row r="89" spans="1:6" s="6" customFormat="1" ht="46.5" x14ac:dyDescent="0.35">
      <c r="A89" s="25" t="s">
        <v>125</v>
      </c>
      <c r="B89" s="25" t="s">
        <v>5</v>
      </c>
      <c r="C89" s="26" t="s">
        <v>258</v>
      </c>
      <c r="D89" s="27">
        <v>46291.958333333299</v>
      </c>
      <c r="E89" s="27">
        <v>46292.25</v>
      </c>
      <c r="F89" s="26" t="s">
        <v>814</v>
      </c>
    </row>
    <row r="90" spans="1:6" s="6" customFormat="1" ht="77.5" x14ac:dyDescent="0.35">
      <c r="A90" s="25" t="s">
        <v>170</v>
      </c>
      <c r="B90" s="25" t="s">
        <v>8</v>
      </c>
      <c r="C90" s="26" t="s">
        <v>795</v>
      </c>
      <c r="D90" s="27">
        <v>46291.875</v>
      </c>
      <c r="E90" s="27">
        <v>46291.979166666701</v>
      </c>
      <c r="F90" s="26" t="s">
        <v>796</v>
      </c>
    </row>
    <row r="91" spans="1:6" s="6" customFormat="1" ht="77.5" x14ac:dyDescent="0.35">
      <c r="A91" s="25" t="s">
        <v>170</v>
      </c>
      <c r="B91" s="25" t="s">
        <v>8</v>
      </c>
      <c r="C91" s="26" t="s">
        <v>171</v>
      </c>
      <c r="D91" s="27">
        <v>46291.875</v>
      </c>
      <c r="E91" s="27">
        <v>46291.979166666701</v>
      </c>
      <c r="F91" s="26" t="s">
        <v>796</v>
      </c>
    </row>
    <row r="92" spans="1:6" s="6" customFormat="1" ht="77.5" x14ac:dyDescent="0.35">
      <c r="A92" s="25" t="s">
        <v>170</v>
      </c>
      <c r="B92" s="25" t="s">
        <v>8</v>
      </c>
      <c r="C92" s="26" t="s">
        <v>797</v>
      </c>
      <c r="D92" s="27">
        <v>46291.979166666701</v>
      </c>
      <c r="E92" s="27">
        <v>46292.25</v>
      </c>
      <c r="F92" s="26" t="s">
        <v>796</v>
      </c>
    </row>
    <row r="93" spans="1:6" s="6" customFormat="1" x14ac:dyDescent="0.35">
      <c r="A93" s="25"/>
      <c r="B93" s="25"/>
      <c r="C93" s="26"/>
      <c r="D93" s="27"/>
      <c r="E93" s="27"/>
      <c r="F93" s="26"/>
    </row>
    <row r="94" spans="1:6" s="6" customFormat="1" x14ac:dyDescent="0.35">
      <c r="A94" s="25"/>
      <c r="B94" s="25"/>
      <c r="C94" s="26"/>
      <c r="D94" s="27"/>
      <c r="E94" s="27"/>
      <c r="F94" s="26"/>
    </row>
    <row r="95" spans="1:6" s="6" customFormat="1" x14ac:dyDescent="0.35">
      <c r="A95" s="25"/>
      <c r="B95" s="25"/>
      <c r="C95" s="26"/>
      <c r="D95" s="27"/>
      <c r="E95" s="27"/>
      <c r="F95" s="26"/>
    </row>
    <row r="96" spans="1:6" s="6" customFormat="1" x14ac:dyDescent="0.35">
      <c r="A96" s="25"/>
      <c r="B96" s="25"/>
      <c r="C96" s="26"/>
      <c r="D96" s="27"/>
      <c r="E96" s="27"/>
      <c r="F96" s="26"/>
    </row>
    <row r="97" spans="1:6" s="6" customFormat="1" x14ac:dyDescent="0.35">
      <c r="A97" s="25"/>
      <c r="B97" s="25"/>
      <c r="C97" s="26"/>
      <c r="D97" s="27"/>
      <c r="E97" s="27"/>
      <c r="F97" s="26"/>
    </row>
    <row r="98" spans="1:6" s="6" customFormat="1" x14ac:dyDescent="0.35">
      <c r="A98" s="25"/>
      <c r="B98" s="25"/>
      <c r="C98" s="26"/>
      <c r="D98" s="27"/>
      <c r="E98" s="27"/>
      <c r="F98" s="26"/>
    </row>
    <row r="99" spans="1:6" s="6" customFormat="1" x14ac:dyDescent="0.35">
      <c r="A99" s="25"/>
      <c r="B99" s="25"/>
      <c r="C99" s="26"/>
      <c r="D99" s="27"/>
      <c r="E99" s="27"/>
      <c r="F99" s="26"/>
    </row>
    <row r="100" spans="1:6" s="6" customFormat="1" x14ac:dyDescent="0.35">
      <c r="A100" s="25"/>
      <c r="B100" s="25"/>
      <c r="C100" s="26"/>
      <c r="D100" s="27"/>
      <c r="E100" s="27"/>
      <c r="F100" s="26"/>
    </row>
    <row r="101" spans="1:6" s="6" customFormat="1" x14ac:dyDescent="0.35">
      <c r="A101" s="25"/>
      <c r="B101" s="25"/>
      <c r="C101" s="26"/>
      <c r="D101" s="27"/>
      <c r="E101" s="27"/>
      <c r="F101" s="26"/>
    </row>
    <row r="102" spans="1:6" s="6" customFormat="1" x14ac:dyDescent="0.35">
      <c r="A102" s="25"/>
      <c r="B102" s="25"/>
      <c r="C102" s="26"/>
      <c r="D102" s="27"/>
      <c r="E102" s="27"/>
      <c r="F102" s="26"/>
    </row>
    <row r="103" spans="1:6" s="6" customFormat="1" x14ac:dyDescent="0.35">
      <c r="A103" s="25"/>
      <c r="B103" s="25"/>
      <c r="C103" s="26"/>
      <c r="D103" s="27"/>
      <c r="E103" s="27"/>
      <c r="F103" s="26"/>
    </row>
    <row r="104" spans="1:6" s="6" customFormat="1" x14ac:dyDescent="0.35">
      <c r="A104" s="25"/>
      <c r="B104" s="25"/>
      <c r="C104" s="26"/>
      <c r="D104" s="27"/>
      <c r="E104" s="27"/>
      <c r="F104" s="26"/>
    </row>
    <row r="105" spans="1:6" s="6" customFormat="1" x14ac:dyDescent="0.35">
      <c r="A105" s="25"/>
      <c r="B105" s="25"/>
      <c r="C105" s="26"/>
      <c r="D105" s="27"/>
      <c r="E105" s="27"/>
      <c r="F105" s="26"/>
    </row>
    <row r="106" spans="1:6" s="6" customFormat="1" x14ac:dyDescent="0.35">
      <c r="A106" s="25"/>
      <c r="B106" s="25"/>
      <c r="C106" s="26"/>
      <c r="D106" s="27"/>
      <c r="E106" s="27"/>
      <c r="F106" s="26"/>
    </row>
    <row r="107" spans="1:6" s="6" customFormat="1" x14ac:dyDescent="0.35">
      <c r="A107" s="25"/>
      <c r="B107" s="25"/>
      <c r="C107" s="26"/>
      <c r="D107" s="27"/>
      <c r="E107" s="27"/>
      <c r="F107" s="26"/>
    </row>
    <row r="108" spans="1:6" s="14" customFormat="1" x14ac:dyDescent="0.35">
      <c r="A108" s="25"/>
      <c r="B108" s="25"/>
      <c r="C108" s="26"/>
      <c r="D108" s="27"/>
      <c r="E108" s="27"/>
      <c r="F108" s="26"/>
    </row>
    <row r="109" spans="1:6" s="6" customFormat="1" x14ac:dyDescent="0.35">
      <c r="A109" s="25"/>
      <c r="B109" s="25"/>
      <c r="C109" s="26"/>
      <c r="D109" s="27"/>
      <c r="E109" s="27"/>
      <c r="F109" s="26"/>
    </row>
    <row r="110" spans="1:6" s="6" customFormat="1" x14ac:dyDescent="0.35">
      <c r="A110" s="25"/>
      <c r="B110" s="25"/>
      <c r="C110" s="26"/>
      <c r="D110" s="27"/>
      <c r="E110" s="27"/>
      <c r="F110" s="26"/>
    </row>
    <row r="111" spans="1:6" s="6" customFormat="1" x14ac:dyDescent="0.35">
      <c r="A111" s="25"/>
      <c r="B111" s="25"/>
      <c r="C111" s="26"/>
      <c r="D111" s="27"/>
      <c r="E111" s="27"/>
      <c r="F111" s="26"/>
    </row>
    <row r="112" spans="1:6" s="5" customFormat="1" x14ac:dyDescent="0.35">
      <c r="A112" s="25"/>
      <c r="B112" s="25"/>
      <c r="C112" s="26"/>
      <c r="D112" s="27"/>
      <c r="E112" s="27"/>
      <c r="F112" s="26"/>
    </row>
    <row r="113" spans="1:6" s="5" customFormat="1" x14ac:dyDescent="0.35">
      <c r="A113" s="25"/>
      <c r="B113" s="25"/>
      <c r="C113" s="26"/>
      <c r="D113" s="27"/>
      <c r="E113" s="27"/>
      <c r="F113" s="26"/>
    </row>
    <row r="114" spans="1:6" s="5" customFormat="1" x14ac:dyDescent="0.35">
      <c r="A114" s="25"/>
      <c r="B114" s="25"/>
      <c r="C114" s="26"/>
      <c r="D114" s="27"/>
      <c r="E114" s="27"/>
      <c r="F114" s="26"/>
    </row>
    <row r="115" spans="1:6" s="5" customFormat="1" x14ac:dyDescent="0.35">
      <c r="A115" s="25"/>
      <c r="B115" s="25"/>
      <c r="C115" s="26"/>
      <c r="D115" s="27"/>
      <c r="E115" s="27"/>
      <c r="F115" s="26"/>
    </row>
    <row r="116" spans="1:6" s="5" customFormat="1" x14ac:dyDescent="0.35">
      <c r="A116" s="25"/>
      <c r="B116" s="25"/>
      <c r="C116" s="26"/>
      <c r="D116" s="27"/>
      <c r="E116" s="27"/>
      <c r="F116" s="26"/>
    </row>
    <row r="117" spans="1:6" s="5" customFormat="1" x14ac:dyDescent="0.35">
      <c r="A117" s="25"/>
      <c r="B117" s="25"/>
      <c r="C117" s="26"/>
      <c r="D117" s="27"/>
      <c r="E117" s="27"/>
      <c r="F117" s="26"/>
    </row>
    <row r="118" spans="1:6" s="5" customFormat="1" x14ac:dyDescent="0.35">
      <c r="A118" s="25"/>
      <c r="B118" s="25"/>
      <c r="C118" s="26"/>
      <c r="D118" s="27"/>
      <c r="E118" s="27"/>
      <c r="F118" s="26"/>
    </row>
    <row r="119" spans="1:6" s="5" customFormat="1" x14ac:dyDescent="0.35">
      <c r="A119" s="25"/>
      <c r="B119" s="25"/>
      <c r="C119" s="26"/>
      <c r="D119" s="27"/>
      <c r="E119" s="27"/>
      <c r="F119" s="26"/>
    </row>
    <row r="120" spans="1:6" s="5" customFormat="1" x14ac:dyDescent="0.35">
      <c r="A120" s="25"/>
      <c r="B120" s="25"/>
      <c r="C120" s="26"/>
      <c r="D120" s="27"/>
      <c r="E120" s="27"/>
      <c r="F120" s="26"/>
    </row>
    <row r="121" spans="1:6" s="5" customFormat="1" x14ac:dyDescent="0.35">
      <c r="A121" s="25"/>
      <c r="B121" s="25"/>
      <c r="C121" s="26"/>
      <c r="D121" s="27"/>
      <c r="E121" s="27"/>
      <c r="F121" s="26"/>
    </row>
    <row r="122" spans="1:6" s="5" customFormat="1" x14ac:dyDescent="0.35">
      <c r="A122" s="25"/>
      <c r="B122" s="25"/>
      <c r="C122" s="26"/>
      <c r="D122" s="27"/>
      <c r="E122" s="27"/>
      <c r="F122" s="26"/>
    </row>
    <row r="123" spans="1:6" s="5" customFormat="1" x14ac:dyDescent="0.35">
      <c r="A123" s="25"/>
      <c r="B123" s="25"/>
      <c r="C123" s="26"/>
      <c r="D123" s="27"/>
      <c r="E123" s="27"/>
      <c r="F123" s="26"/>
    </row>
    <row r="124" spans="1:6" s="5" customFormat="1" x14ac:dyDescent="0.35">
      <c r="A124" s="25"/>
      <c r="B124" s="25"/>
      <c r="C124" s="26"/>
      <c r="D124" s="27"/>
      <c r="E124" s="27"/>
      <c r="F124" s="26"/>
    </row>
    <row r="125" spans="1:6" s="5" customFormat="1" x14ac:dyDescent="0.35">
      <c r="A125" s="25"/>
      <c r="B125" s="25"/>
      <c r="C125" s="26"/>
      <c r="D125" s="27"/>
      <c r="E125" s="27"/>
      <c r="F125" s="26"/>
    </row>
    <row r="126" spans="1:6" s="5" customFormat="1" x14ac:dyDescent="0.35">
      <c r="A126" s="25"/>
      <c r="B126" s="25"/>
      <c r="C126" s="26"/>
      <c r="D126" s="27"/>
      <c r="E126" s="27"/>
      <c r="F126" s="26"/>
    </row>
    <row r="127" spans="1:6" s="5" customFormat="1" x14ac:dyDescent="0.35">
      <c r="A127" s="25"/>
      <c r="B127" s="25"/>
      <c r="C127" s="26"/>
      <c r="D127" s="27"/>
      <c r="E127" s="27"/>
      <c r="F127" s="26"/>
    </row>
    <row r="128" spans="1:6" s="5" customFormat="1" x14ac:dyDescent="0.35">
      <c r="A128" s="25"/>
      <c r="B128" s="25"/>
      <c r="C128" s="26"/>
      <c r="D128" s="27"/>
      <c r="E128" s="27"/>
      <c r="F128" s="26"/>
    </row>
    <row r="129" spans="1:6" s="5" customFormat="1" x14ac:dyDescent="0.35">
      <c r="A129" s="25"/>
      <c r="B129" s="25"/>
      <c r="C129" s="26"/>
      <c r="D129" s="27"/>
      <c r="E129" s="27"/>
      <c r="F129" s="26"/>
    </row>
    <row r="130" spans="1:6" x14ac:dyDescent="0.35">
      <c r="A130" s="25"/>
      <c r="B130" s="25"/>
      <c r="C130" s="26"/>
      <c r="D130" s="27"/>
      <c r="E130" s="27"/>
      <c r="F130" s="26"/>
    </row>
    <row r="131" spans="1:6" x14ac:dyDescent="0.35">
      <c r="A131" s="25"/>
      <c r="B131" s="25"/>
      <c r="C131" s="26"/>
      <c r="D131" s="27"/>
      <c r="E131" s="27"/>
      <c r="F131" s="26"/>
    </row>
    <row r="132" spans="1:6" x14ac:dyDescent="0.35">
      <c r="A132" s="25"/>
      <c r="B132" s="25"/>
      <c r="C132" s="26"/>
      <c r="D132" s="27"/>
      <c r="E132" s="27"/>
      <c r="F132" s="26"/>
    </row>
    <row r="133" spans="1:6" x14ac:dyDescent="0.35">
      <c r="A133" s="25"/>
      <c r="B133" s="25"/>
      <c r="C133" s="26"/>
      <c r="D133" s="27"/>
      <c r="E133" s="27"/>
      <c r="F133" s="26"/>
    </row>
    <row r="134" spans="1:6" x14ac:dyDescent="0.35">
      <c r="A134" s="25"/>
      <c r="B134" s="25"/>
      <c r="C134" s="26"/>
      <c r="D134" s="27"/>
      <c r="E134" s="27"/>
      <c r="F134" s="26"/>
    </row>
    <row r="135" spans="1:6" x14ac:dyDescent="0.35">
      <c r="A135" s="25"/>
      <c r="B135" s="25"/>
      <c r="C135" s="26"/>
      <c r="D135" s="27"/>
      <c r="E135" s="27"/>
      <c r="F135" s="26"/>
    </row>
    <row r="136" spans="1:6" x14ac:dyDescent="0.35">
      <c r="A136" s="25"/>
      <c r="B136" s="25"/>
      <c r="C136" s="26"/>
      <c r="D136" s="27"/>
      <c r="E136" s="27"/>
      <c r="F136" s="26"/>
    </row>
    <row r="137" spans="1:6" x14ac:dyDescent="0.35">
      <c r="A137" s="25"/>
      <c r="B137" s="25"/>
      <c r="C137" s="26"/>
      <c r="D137" s="27"/>
      <c r="E137" s="27"/>
      <c r="F137" s="26"/>
    </row>
    <row r="138" spans="1:6" x14ac:dyDescent="0.35">
      <c r="A138" s="25"/>
      <c r="B138" s="25"/>
      <c r="C138" s="26"/>
      <c r="D138" s="27"/>
      <c r="E138" s="27"/>
      <c r="F138" s="26"/>
    </row>
    <row r="139" spans="1:6" x14ac:dyDescent="0.35">
      <c r="A139" s="25"/>
      <c r="B139" s="25"/>
      <c r="C139" s="26"/>
      <c r="D139" s="27"/>
      <c r="E139" s="27"/>
      <c r="F139" s="26"/>
    </row>
    <row r="140" spans="1:6" x14ac:dyDescent="0.35">
      <c r="A140" s="25"/>
      <c r="B140" s="25"/>
      <c r="C140" s="26"/>
      <c r="D140" s="27"/>
      <c r="E140" s="27"/>
      <c r="F140" s="26"/>
    </row>
    <row r="141" spans="1:6" x14ac:dyDescent="0.35">
      <c r="A141" s="25"/>
      <c r="B141" s="25"/>
      <c r="C141" s="26"/>
      <c r="D141" s="27"/>
      <c r="E141" s="27"/>
      <c r="F141" s="26"/>
    </row>
    <row r="142" spans="1:6" x14ac:dyDescent="0.35">
      <c r="A142" s="25"/>
      <c r="B142" s="25"/>
      <c r="C142" s="26"/>
      <c r="D142" s="27"/>
      <c r="E142" s="27"/>
      <c r="F142" s="26"/>
    </row>
    <row r="143" spans="1:6" x14ac:dyDescent="0.35">
      <c r="A143" s="25"/>
      <c r="B143" s="25"/>
      <c r="C143" s="26"/>
      <c r="D143" s="27"/>
      <c r="E143" s="27"/>
      <c r="F143" s="26"/>
    </row>
    <row r="144" spans="1:6" x14ac:dyDescent="0.35">
      <c r="A144" s="25"/>
      <c r="B144" s="25"/>
      <c r="C144" s="26"/>
      <c r="D144" s="27"/>
      <c r="E144" s="27"/>
      <c r="F144" s="26"/>
    </row>
    <row r="145" spans="1:6" x14ac:dyDescent="0.35">
      <c r="A145" s="25"/>
      <c r="B145" s="25"/>
      <c r="C145" s="26"/>
      <c r="D145" s="27"/>
      <c r="E145" s="27"/>
      <c r="F145" s="26"/>
    </row>
    <row r="146" spans="1:6" x14ac:dyDescent="0.35">
      <c r="A146" s="25"/>
      <c r="B146" s="25"/>
      <c r="C146" s="26"/>
      <c r="D146" s="27"/>
      <c r="E146" s="27"/>
      <c r="F146" s="26"/>
    </row>
    <row r="147" spans="1:6" x14ac:dyDescent="0.35">
      <c r="A147" s="25"/>
      <c r="B147" s="25"/>
      <c r="C147" s="26"/>
      <c r="D147" s="27"/>
      <c r="E147" s="27"/>
      <c r="F147" s="26"/>
    </row>
    <row r="148" spans="1:6" x14ac:dyDescent="0.35">
      <c r="A148" s="25"/>
      <c r="B148" s="25"/>
      <c r="C148" s="26"/>
      <c r="D148" s="27"/>
      <c r="E148" s="27"/>
      <c r="F148" s="26"/>
    </row>
    <row r="149" spans="1:6" x14ac:dyDescent="0.35">
      <c r="A149" s="25"/>
      <c r="B149" s="25"/>
      <c r="C149" s="26"/>
      <c r="D149" s="27"/>
      <c r="E149" s="27"/>
      <c r="F149" s="26"/>
    </row>
    <row r="150" spans="1:6" x14ac:dyDescent="0.35">
      <c r="A150" s="25"/>
      <c r="B150" s="25"/>
      <c r="C150" s="26"/>
      <c r="D150" s="27"/>
      <c r="E150" s="27"/>
      <c r="F150" s="26"/>
    </row>
    <row r="151" spans="1:6" x14ac:dyDescent="0.35">
      <c r="A151" s="25"/>
      <c r="B151" s="25"/>
      <c r="C151" s="26"/>
      <c r="D151" s="27"/>
      <c r="E151" s="27"/>
      <c r="F151" s="26"/>
    </row>
    <row r="152" spans="1:6" x14ac:dyDescent="0.35">
      <c r="A152" s="25"/>
      <c r="B152" s="25"/>
      <c r="C152" s="26"/>
      <c r="D152" s="27"/>
      <c r="E152" s="27"/>
      <c r="F152" s="26"/>
    </row>
    <row r="153" spans="1:6" x14ac:dyDescent="0.35">
      <c r="A153" s="25"/>
      <c r="B153" s="25"/>
      <c r="C153" s="26"/>
      <c r="D153" s="27"/>
      <c r="E153" s="27"/>
      <c r="F153" s="26"/>
    </row>
    <row r="154" spans="1:6" x14ac:dyDescent="0.35">
      <c r="A154" s="25"/>
      <c r="B154" s="25"/>
      <c r="C154" s="26"/>
      <c r="D154" s="27"/>
      <c r="E154" s="27"/>
      <c r="F154" s="26"/>
    </row>
    <row r="155" spans="1:6" x14ac:dyDescent="0.35">
      <c r="A155" s="25"/>
      <c r="B155" s="25"/>
      <c r="C155" s="26"/>
      <c r="D155" s="27"/>
      <c r="E155" s="27"/>
      <c r="F155" s="26"/>
    </row>
    <row r="156" spans="1:6" x14ac:dyDescent="0.35">
      <c r="A156" s="25"/>
      <c r="B156" s="25"/>
      <c r="C156" s="26"/>
      <c r="D156" s="27"/>
      <c r="E156" s="27"/>
      <c r="F156" s="26"/>
    </row>
    <row r="157" spans="1:6" x14ac:dyDescent="0.35">
      <c r="A157" s="25"/>
      <c r="B157" s="25"/>
      <c r="C157" s="26"/>
      <c r="D157" s="27"/>
      <c r="E157" s="27"/>
      <c r="F157" s="26"/>
    </row>
    <row r="158" spans="1:6" x14ac:dyDescent="0.35">
      <c r="A158" s="25"/>
      <c r="B158" s="25"/>
      <c r="C158" s="26"/>
      <c r="D158" s="27"/>
      <c r="E158" s="27"/>
      <c r="F158" s="26"/>
    </row>
    <row r="159" spans="1:6" x14ac:dyDescent="0.35">
      <c r="A159" s="25"/>
      <c r="B159" s="25"/>
      <c r="C159" s="26"/>
      <c r="D159" s="27"/>
      <c r="E159" s="27"/>
      <c r="F159" s="26"/>
    </row>
    <row r="160" spans="1:6" x14ac:dyDescent="0.35">
      <c r="A160" s="25"/>
      <c r="B160" s="25"/>
      <c r="C160" s="26"/>
      <c r="D160" s="27"/>
      <c r="E160" s="27"/>
      <c r="F160" s="26"/>
    </row>
    <row r="161" spans="1:6" x14ac:dyDescent="0.35">
      <c r="A161" s="25"/>
      <c r="B161" s="25"/>
      <c r="C161" s="26"/>
      <c r="D161" s="27"/>
      <c r="E161" s="27"/>
      <c r="F161" s="26"/>
    </row>
    <row r="162" spans="1:6" x14ac:dyDescent="0.35">
      <c r="A162" s="25"/>
      <c r="B162" s="25"/>
      <c r="C162" s="26"/>
      <c r="D162" s="27"/>
      <c r="E162" s="27"/>
      <c r="F162" s="26"/>
    </row>
    <row r="163" spans="1:6" x14ac:dyDescent="0.35">
      <c r="A163" s="25"/>
      <c r="B163" s="25"/>
      <c r="C163" s="26"/>
      <c r="D163" s="27"/>
      <c r="E163" s="27"/>
      <c r="F163" s="26"/>
    </row>
    <row r="164" spans="1:6" x14ac:dyDescent="0.35">
      <c r="A164" s="25"/>
      <c r="B164" s="25"/>
      <c r="C164" s="26"/>
      <c r="D164" s="27"/>
      <c r="E164" s="27"/>
      <c r="F164" s="26"/>
    </row>
    <row r="165" spans="1:6" x14ac:dyDescent="0.35">
      <c r="A165" s="25"/>
      <c r="B165" s="25"/>
      <c r="C165" s="26"/>
      <c r="D165" s="27"/>
      <c r="E165" s="27"/>
      <c r="F165" s="26"/>
    </row>
    <row r="166" spans="1:6" x14ac:dyDescent="0.35">
      <c r="A166" s="25"/>
      <c r="B166" s="25"/>
      <c r="C166" s="26"/>
      <c r="D166" s="27"/>
      <c r="E166" s="27"/>
      <c r="F166" s="26"/>
    </row>
    <row r="167" spans="1:6" x14ac:dyDescent="0.35">
      <c r="A167" s="25"/>
      <c r="B167" s="25"/>
      <c r="C167" s="26"/>
      <c r="D167" s="27"/>
      <c r="E167" s="27"/>
      <c r="F167" s="26"/>
    </row>
    <row r="168" spans="1:6" x14ac:dyDescent="0.35">
      <c r="A168" s="25"/>
      <c r="B168" s="25"/>
      <c r="C168" s="26"/>
      <c r="D168" s="27"/>
      <c r="E168" s="27"/>
      <c r="F168" s="26"/>
    </row>
    <row r="169" spans="1:6" x14ac:dyDescent="0.35">
      <c r="A169" s="25"/>
      <c r="B169" s="25"/>
      <c r="C169" s="26"/>
      <c r="D169" s="27"/>
      <c r="E169" s="27"/>
      <c r="F169" s="26"/>
    </row>
    <row r="170" spans="1:6" x14ac:dyDescent="0.35">
      <c r="A170" s="25"/>
      <c r="B170" s="25"/>
      <c r="C170" s="26"/>
      <c r="D170" s="27"/>
      <c r="E170" s="27"/>
      <c r="F170" s="26"/>
    </row>
    <row r="171" spans="1:6" x14ac:dyDescent="0.35">
      <c r="A171" s="25"/>
      <c r="B171" s="25"/>
      <c r="C171" s="26"/>
      <c r="D171" s="27"/>
      <c r="E171" s="27"/>
      <c r="F171" s="26"/>
    </row>
    <row r="172" spans="1:6" x14ac:dyDescent="0.35">
      <c r="A172" s="25"/>
      <c r="B172" s="25"/>
      <c r="C172" s="26"/>
      <c r="D172" s="27"/>
      <c r="E172" s="27"/>
      <c r="F172" s="26"/>
    </row>
    <row r="173" spans="1:6" x14ac:dyDescent="0.35">
      <c r="A173" s="25"/>
      <c r="B173" s="25"/>
      <c r="C173" s="26"/>
      <c r="D173" s="27"/>
      <c r="E173" s="27"/>
      <c r="F173" s="26"/>
    </row>
    <row r="174" spans="1:6" x14ac:dyDescent="0.35">
      <c r="A174" s="25"/>
      <c r="B174" s="25"/>
      <c r="C174" s="26"/>
      <c r="D174" s="27"/>
      <c r="E174" s="27"/>
      <c r="F174" s="26"/>
    </row>
    <row r="175" spans="1:6" x14ac:dyDescent="0.35">
      <c r="A175" s="25"/>
      <c r="B175" s="25"/>
      <c r="C175" s="26"/>
      <c r="D175" s="27"/>
      <c r="E175" s="27"/>
      <c r="F175" s="26"/>
    </row>
    <row r="176" spans="1:6" x14ac:dyDescent="0.35">
      <c r="A176" s="25"/>
      <c r="B176" s="25"/>
      <c r="C176" s="26"/>
      <c r="D176" s="27"/>
      <c r="E176" s="27"/>
      <c r="F176" s="26"/>
    </row>
    <row r="177" spans="1:6" x14ac:dyDescent="0.35">
      <c r="A177" s="19"/>
      <c r="B177" s="19"/>
      <c r="C177" s="19"/>
      <c r="D177" s="20"/>
      <c r="E177" s="20"/>
      <c r="F177" s="20"/>
    </row>
    <row r="178" spans="1:6" x14ac:dyDescent="0.35">
      <c r="A178" s="19"/>
      <c r="B178" s="19"/>
      <c r="C178" s="19"/>
      <c r="D178" s="20"/>
      <c r="E178" s="20"/>
      <c r="F178" s="20"/>
    </row>
    <row r="179" spans="1:6" x14ac:dyDescent="0.35">
      <c r="A179" s="17"/>
      <c r="B179" s="17"/>
      <c r="C179" s="17"/>
      <c r="D179" s="16"/>
      <c r="E179" s="16"/>
      <c r="F179" s="16"/>
    </row>
  </sheetData>
  <autoFilter ref="A2:F179" xr:uid="{98E6E4FC-49FA-4D37-80CA-04CABC7A9057}">
    <sortState xmlns:xlrd2="http://schemas.microsoft.com/office/spreadsheetml/2017/richdata2" ref="A3:F179">
      <sortCondition ref="A2:A179"/>
    </sortState>
  </autoFilter>
  <mergeCells count="1">
    <mergeCell ref="A1:F1"/>
  </mergeCells>
  <conditionalFormatting sqref="A3:F176">
    <cfRule type="expression" dxfId="5" priority="1">
      <formula>$J3="Over 12 hours"</formula>
    </cfRule>
  </conditionalFormatting>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BF4A4-B66D-4257-8AE0-B9912594B487}">
  <sheetPr>
    <tabColor theme="8"/>
  </sheetPr>
  <dimension ref="A1:WVK227"/>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1.765625" style="3" customWidth="1"/>
    <col min="4" max="4" width="16.765625" style="3" customWidth="1"/>
    <col min="5" max="5" width="18.53515625" style="13" customWidth="1"/>
    <col min="6" max="6" width="47" style="13" customWidth="1"/>
    <col min="7" max="11" width="0" hidden="1" customWidth="1"/>
    <col min="12" max="255" width="8.765625" hidden="1" customWidth="1"/>
    <col min="256" max="256" width="7.421875E-2" customWidth="1"/>
    <col min="257" max="257" width="16.765625" hidden="1"/>
    <col min="258" max="258" width="18.53515625" hidden="1"/>
    <col min="259" max="259" width="47" hidden="1"/>
    <col min="260" max="509" width="7.421875E-2" hidden="1"/>
    <col min="510" max="511" width="13.23046875" hidden="1"/>
    <col min="512" max="512" width="61.765625" hidden="1"/>
    <col min="513" max="513" width="16.765625" hidden="1"/>
    <col min="514" max="514" width="18.53515625" hidden="1"/>
    <col min="515" max="515" width="47" hidden="1"/>
    <col min="516" max="765" width="7.421875E-2" hidden="1"/>
    <col min="766" max="767" width="13.23046875" hidden="1"/>
    <col min="768" max="768" width="61.765625" hidden="1"/>
    <col min="769" max="769" width="16.765625" hidden="1"/>
    <col min="770" max="770" width="18.53515625" hidden="1"/>
    <col min="771" max="771" width="47" hidden="1"/>
    <col min="772" max="1021" width="7.421875E-2" hidden="1"/>
    <col min="1022" max="1023" width="13.23046875" hidden="1"/>
    <col min="1024" max="1024" width="61.765625" hidden="1"/>
    <col min="1025" max="1025" width="16.765625" hidden="1"/>
    <col min="1026" max="1026" width="18.53515625" hidden="1"/>
    <col min="1027" max="1027" width="47" hidden="1"/>
    <col min="1028" max="1277" width="7.421875E-2" hidden="1"/>
    <col min="1278" max="1279" width="13.23046875" hidden="1"/>
    <col min="1280" max="1280" width="61.765625" hidden="1"/>
    <col min="1281" max="1281" width="16.765625" hidden="1"/>
    <col min="1282" max="1282" width="18.53515625" hidden="1"/>
    <col min="1283" max="1283" width="47" hidden="1"/>
    <col min="1284" max="1533" width="7.421875E-2" hidden="1"/>
    <col min="1534" max="1535" width="13.23046875" hidden="1"/>
    <col min="1536" max="1536" width="61.765625" hidden="1"/>
    <col min="1537" max="1537" width="16.765625" hidden="1"/>
    <col min="1538" max="1538" width="18.53515625" hidden="1"/>
    <col min="1539" max="1539" width="47" hidden="1"/>
    <col min="1540" max="1789" width="7.421875E-2" hidden="1"/>
    <col min="1790" max="1791" width="13.23046875" hidden="1"/>
    <col min="1792" max="1792" width="61.765625" hidden="1"/>
    <col min="1793" max="1793" width="16.765625" hidden="1"/>
    <col min="1794" max="1794" width="18.53515625" hidden="1"/>
    <col min="1795" max="1795" width="47" hidden="1"/>
    <col min="1796" max="2045" width="7.421875E-2" hidden="1"/>
    <col min="2046" max="2047" width="13.23046875" hidden="1"/>
    <col min="2048" max="2048" width="61.765625" hidden="1"/>
    <col min="2049" max="2049" width="16.765625" hidden="1"/>
    <col min="2050" max="2050" width="18.53515625" hidden="1"/>
    <col min="2051" max="2051" width="47" hidden="1"/>
    <col min="2052" max="2301" width="7.421875E-2" hidden="1"/>
    <col min="2302" max="2303" width="13.23046875" hidden="1"/>
    <col min="2304" max="2304" width="61.765625" hidden="1"/>
    <col min="2305" max="2305" width="16.765625" hidden="1"/>
    <col min="2306" max="2306" width="18.53515625" hidden="1"/>
    <col min="2307" max="2307" width="47" hidden="1"/>
    <col min="2308" max="2557" width="7.421875E-2" hidden="1"/>
    <col min="2558" max="2559" width="13.23046875" hidden="1"/>
    <col min="2560" max="2560" width="61.765625" hidden="1"/>
    <col min="2561" max="2561" width="16.765625" hidden="1"/>
    <col min="2562" max="2562" width="18.53515625" hidden="1"/>
    <col min="2563" max="2563" width="47" hidden="1"/>
    <col min="2564" max="2813" width="7.421875E-2" hidden="1"/>
    <col min="2814" max="2815" width="13.23046875" hidden="1"/>
    <col min="2816" max="2816" width="61.765625" hidden="1"/>
    <col min="2817" max="2817" width="16.765625" hidden="1"/>
    <col min="2818" max="2818" width="18.53515625" hidden="1"/>
    <col min="2819" max="2819" width="47" hidden="1"/>
    <col min="2820" max="3069" width="7.421875E-2" hidden="1"/>
    <col min="3070" max="3071" width="13.23046875" hidden="1"/>
    <col min="3072" max="3072" width="61.765625" hidden="1"/>
    <col min="3073" max="3073" width="16.765625" hidden="1"/>
    <col min="3074" max="3074" width="18.53515625" hidden="1"/>
    <col min="3075" max="3075" width="47" hidden="1"/>
    <col min="3076" max="3325" width="7.421875E-2" hidden="1"/>
    <col min="3326" max="3327" width="13.23046875" hidden="1"/>
    <col min="3328" max="3328" width="61.765625" hidden="1"/>
    <col min="3329" max="3329" width="16.765625" hidden="1"/>
    <col min="3330" max="3330" width="18.53515625" hidden="1"/>
    <col min="3331" max="3331" width="47" hidden="1"/>
    <col min="3332" max="3581" width="7.421875E-2" hidden="1"/>
    <col min="3582" max="3583" width="13.23046875" hidden="1"/>
    <col min="3584" max="3584" width="61.765625" hidden="1"/>
    <col min="3585" max="3585" width="16.765625" hidden="1"/>
    <col min="3586" max="3586" width="18.53515625" hidden="1"/>
    <col min="3587" max="3587" width="47" hidden="1"/>
    <col min="3588" max="3837" width="7.421875E-2" hidden="1"/>
    <col min="3838" max="3839" width="13.23046875" hidden="1"/>
    <col min="3840" max="3840" width="61.765625" hidden="1"/>
    <col min="3841" max="3841" width="16.765625" hidden="1"/>
    <col min="3842" max="3842" width="18.53515625" hidden="1"/>
    <col min="3843" max="3843" width="47" hidden="1"/>
    <col min="3844" max="4093" width="7.421875E-2" hidden="1"/>
    <col min="4094" max="4095" width="13.23046875" hidden="1"/>
    <col min="4096" max="4096" width="61.765625" hidden="1"/>
    <col min="4097" max="4097" width="16.765625" hidden="1"/>
    <col min="4098" max="4098" width="18.53515625" hidden="1"/>
    <col min="4099" max="4099" width="47" hidden="1"/>
    <col min="4100" max="4349" width="7.421875E-2" hidden="1"/>
    <col min="4350" max="4351" width="13.23046875" hidden="1"/>
    <col min="4352" max="4352" width="61.765625" hidden="1"/>
    <col min="4353" max="4353" width="16.765625" hidden="1"/>
    <col min="4354" max="4354" width="18.53515625" hidden="1"/>
    <col min="4355" max="4355" width="47" hidden="1"/>
    <col min="4356" max="4605" width="7.421875E-2" hidden="1"/>
    <col min="4606" max="4607" width="13.23046875" hidden="1"/>
    <col min="4608" max="4608" width="61.765625" hidden="1"/>
    <col min="4609" max="4609" width="16.765625" hidden="1"/>
    <col min="4610" max="4610" width="18.53515625" hidden="1"/>
    <col min="4611" max="4611" width="47" hidden="1"/>
    <col min="4612" max="4861" width="7.421875E-2" hidden="1"/>
    <col min="4862" max="4863" width="13.23046875" hidden="1"/>
    <col min="4864" max="4864" width="61.765625" hidden="1"/>
    <col min="4865" max="4865" width="16.765625" hidden="1"/>
    <col min="4866" max="4866" width="18.53515625" hidden="1"/>
    <col min="4867" max="4867" width="47" hidden="1"/>
    <col min="4868" max="5117" width="7.421875E-2" hidden="1"/>
    <col min="5118" max="5119" width="13.23046875" hidden="1"/>
    <col min="5120" max="5120" width="61.765625" hidden="1"/>
    <col min="5121" max="5121" width="16.765625" hidden="1"/>
    <col min="5122" max="5122" width="18.53515625" hidden="1"/>
    <col min="5123" max="5123" width="47" hidden="1"/>
    <col min="5124" max="5373" width="7.421875E-2" hidden="1"/>
    <col min="5374" max="5375" width="13.23046875" hidden="1"/>
    <col min="5376" max="5376" width="61.765625" hidden="1"/>
    <col min="5377" max="5377" width="16.765625" hidden="1"/>
    <col min="5378" max="5378" width="18.53515625" hidden="1"/>
    <col min="5379" max="5379" width="47" hidden="1"/>
    <col min="5380" max="5629" width="7.421875E-2" hidden="1"/>
    <col min="5630" max="5631" width="13.23046875" hidden="1"/>
    <col min="5632" max="5632" width="61.765625" hidden="1"/>
    <col min="5633" max="5633" width="16.765625" hidden="1"/>
    <col min="5634" max="5634" width="18.53515625" hidden="1"/>
    <col min="5635" max="5635" width="47" hidden="1"/>
    <col min="5636" max="5885" width="7.421875E-2" hidden="1"/>
    <col min="5886" max="5887" width="13.23046875" hidden="1"/>
    <col min="5888" max="5888" width="61.765625" hidden="1"/>
    <col min="5889" max="5889" width="16.765625" hidden="1"/>
    <col min="5890" max="5890" width="18.53515625" hidden="1"/>
    <col min="5891" max="5891" width="47" hidden="1"/>
    <col min="5892" max="6141" width="7.421875E-2" hidden="1"/>
    <col min="6142" max="6143" width="13.23046875" hidden="1"/>
    <col min="6144" max="6144" width="61.765625" hidden="1"/>
    <col min="6145" max="6145" width="16.765625" hidden="1"/>
    <col min="6146" max="6146" width="18.53515625" hidden="1"/>
    <col min="6147" max="6147" width="47" hidden="1"/>
    <col min="6148" max="6397" width="7.421875E-2" hidden="1"/>
    <col min="6398" max="6399" width="13.23046875" hidden="1"/>
    <col min="6400" max="6400" width="61.765625" hidden="1"/>
    <col min="6401" max="6401" width="16.765625" hidden="1"/>
    <col min="6402" max="6402" width="18.53515625" hidden="1"/>
    <col min="6403" max="6403" width="47" hidden="1"/>
    <col min="6404" max="6653" width="7.421875E-2" hidden="1"/>
    <col min="6654" max="6655" width="13.23046875" hidden="1"/>
    <col min="6656" max="6656" width="61.765625" hidden="1"/>
    <col min="6657" max="6657" width="16.765625" hidden="1"/>
    <col min="6658" max="6658" width="18.53515625" hidden="1"/>
    <col min="6659" max="6659" width="47" hidden="1"/>
    <col min="6660" max="6909" width="7.421875E-2" hidden="1"/>
    <col min="6910" max="6911" width="13.23046875" hidden="1"/>
    <col min="6912" max="6912" width="61.765625" hidden="1"/>
    <col min="6913" max="6913" width="16.765625" hidden="1"/>
    <col min="6914" max="6914" width="18.53515625" hidden="1"/>
    <col min="6915" max="6915" width="47" hidden="1"/>
    <col min="6916" max="7165" width="7.421875E-2" hidden="1"/>
    <col min="7166" max="7167" width="13.23046875" hidden="1"/>
    <col min="7168" max="7168" width="61.765625" hidden="1"/>
    <col min="7169" max="7169" width="16.765625" hidden="1"/>
    <col min="7170" max="7170" width="18.53515625" hidden="1"/>
    <col min="7171" max="7171" width="47" hidden="1"/>
    <col min="7172" max="7421" width="7.421875E-2" hidden="1"/>
    <col min="7422" max="7423" width="13.23046875" hidden="1"/>
    <col min="7424" max="7424" width="61.765625" hidden="1"/>
    <col min="7425" max="7425" width="16.765625" hidden="1"/>
    <col min="7426" max="7426" width="18.53515625" hidden="1"/>
    <col min="7427" max="7427" width="47" hidden="1"/>
    <col min="7428" max="7677" width="7.421875E-2" hidden="1"/>
    <col min="7678" max="7679" width="13.23046875" hidden="1"/>
    <col min="7680" max="7680" width="61.765625" hidden="1"/>
    <col min="7681" max="7681" width="16.765625" hidden="1"/>
    <col min="7682" max="7682" width="18.53515625" hidden="1"/>
    <col min="7683" max="7683" width="47" hidden="1"/>
    <col min="7684" max="7933" width="7.421875E-2" hidden="1"/>
    <col min="7934" max="7935" width="13.23046875" hidden="1"/>
    <col min="7936" max="7936" width="61.765625" hidden="1"/>
    <col min="7937" max="7937" width="16.765625" hidden="1"/>
    <col min="7938" max="7938" width="18.53515625" hidden="1"/>
    <col min="7939" max="7939" width="47" hidden="1"/>
    <col min="7940" max="8189" width="7.421875E-2" hidden="1"/>
    <col min="8190" max="8191" width="13.23046875" hidden="1"/>
    <col min="8192" max="8192" width="61.765625" hidden="1"/>
    <col min="8193" max="8193" width="16.765625" hidden="1"/>
    <col min="8194" max="8194" width="18.53515625" hidden="1"/>
    <col min="8195" max="8195" width="47" hidden="1"/>
    <col min="8196" max="8445" width="7.421875E-2" hidden="1"/>
    <col min="8446" max="8447" width="13.23046875" hidden="1"/>
    <col min="8448" max="8448" width="61.765625" hidden="1"/>
    <col min="8449" max="8449" width="16.765625" hidden="1"/>
    <col min="8450" max="8450" width="18.53515625" hidden="1"/>
    <col min="8451" max="8451" width="47" hidden="1"/>
    <col min="8452" max="8701" width="7.421875E-2" hidden="1"/>
    <col min="8702" max="8703" width="13.23046875" hidden="1"/>
    <col min="8704" max="8704" width="61.765625" hidden="1"/>
    <col min="8705" max="8705" width="16.765625" hidden="1"/>
    <col min="8706" max="8706" width="18.53515625" hidden="1"/>
    <col min="8707" max="8707" width="47" hidden="1"/>
    <col min="8708" max="8957" width="7.421875E-2" hidden="1"/>
    <col min="8958" max="8959" width="13.23046875" hidden="1"/>
    <col min="8960" max="8960" width="61.765625" hidden="1"/>
    <col min="8961" max="8961" width="16.765625" hidden="1"/>
    <col min="8962" max="8962" width="18.53515625" hidden="1"/>
    <col min="8963" max="8963" width="47" hidden="1"/>
    <col min="8964" max="9213" width="7.421875E-2" hidden="1"/>
    <col min="9214" max="9215" width="13.23046875" hidden="1"/>
    <col min="9216" max="9216" width="61.765625" hidden="1"/>
    <col min="9217" max="9217" width="16.765625" hidden="1"/>
    <col min="9218" max="9218" width="18.53515625" hidden="1"/>
    <col min="9219" max="9219" width="47" hidden="1"/>
    <col min="9220" max="9469" width="7.421875E-2" hidden="1"/>
    <col min="9470" max="9471" width="13.23046875" hidden="1"/>
    <col min="9472" max="9472" width="61.765625" hidden="1"/>
    <col min="9473" max="9473" width="16.765625" hidden="1"/>
    <col min="9474" max="9474" width="18.53515625" hidden="1"/>
    <col min="9475" max="9475" width="47" hidden="1"/>
    <col min="9476" max="9725" width="7.421875E-2" hidden="1"/>
    <col min="9726" max="9727" width="13.23046875" hidden="1"/>
    <col min="9728" max="9728" width="61.765625" hidden="1"/>
    <col min="9729" max="9729" width="16.765625" hidden="1"/>
    <col min="9730" max="9730" width="18.53515625" hidden="1"/>
    <col min="9731" max="9731" width="47" hidden="1"/>
    <col min="9732" max="9981" width="7.421875E-2" hidden="1"/>
    <col min="9982" max="9983" width="13.23046875" hidden="1"/>
    <col min="9984" max="9984" width="61.765625" hidden="1"/>
    <col min="9985" max="9985" width="16.765625" hidden="1"/>
    <col min="9986" max="9986" width="18.53515625" hidden="1"/>
    <col min="9987" max="9987" width="47" hidden="1"/>
    <col min="9988" max="10237" width="7.421875E-2" hidden="1"/>
    <col min="10238" max="10239" width="13.23046875" hidden="1"/>
    <col min="10240" max="10240" width="61.765625" hidden="1"/>
    <col min="10241" max="10241" width="16.765625" hidden="1"/>
    <col min="10242" max="10242" width="18.53515625" hidden="1"/>
    <col min="10243" max="10243" width="47" hidden="1"/>
    <col min="10244" max="10493" width="7.421875E-2" hidden="1"/>
    <col min="10494" max="10495" width="13.23046875" hidden="1"/>
    <col min="10496" max="10496" width="61.765625" hidden="1"/>
    <col min="10497" max="10497" width="16.765625" hidden="1"/>
    <col min="10498" max="10498" width="18.53515625" hidden="1"/>
    <col min="10499" max="10499" width="47" hidden="1"/>
    <col min="10500" max="10749" width="7.421875E-2" hidden="1"/>
    <col min="10750" max="10751" width="13.23046875" hidden="1"/>
    <col min="10752" max="10752" width="61.765625" hidden="1"/>
    <col min="10753" max="10753" width="16.765625" hidden="1"/>
    <col min="10754" max="10754" width="18.53515625" hidden="1"/>
    <col min="10755" max="10755" width="47" hidden="1"/>
    <col min="10756" max="11005" width="7.421875E-2" hidden="1"/>
    <col min="11006" max="11007" width="13.23046875" hidden="1"/>
    <col min="11008" max="11008" width="61.765625" hidden="1"/>
    <col min="11009" max="11009" width="16.765625" hidden="1"/>
    <col min="11010" max="11010" width="18.53515625" hidden="1"/>
    <col min="11011" max="11011" width="47" hidden="1"/>
    <col min="11012" max="11261" width="7.421875E-2" hidden="1"/>
    <col min="11262" max="11263" width="13.23046875" hidden="1"/>
    <col min="11264" max="11264" width="61.765625" hidden="1"/>
    <col min="11265" max="11265" width="16.765625" hidden="1"/>
    <col min="11266" max="11266" width="18.53515625" hidden="1"/>
    <col min="11267" max="11267" width="47" hidden="1"/>
    <col min="11268" max="11517" width="7.421875E-2" hidden="1"/>
    <col min="11518" max="11519" width="13.23046875" hidden="1"/>
    <col min="11520" max="11520" width="61.765625" hidden="1"/>
    <col min="11521" max="11521" width="16.765625" hidden="1"/>
    <col min="11522" max="11522" width="18.53515625" hidden="1"/>
    <col min="11523" max="11523" width="47" hidden="1"/>
    <col min="11524" max="11773" width="7.421875E-2" hidden="1"/>
    <col min="11774" max="11775" width="13.23046875" hidden="1"/>
    <col min="11776" max="11776" width="61.765625" hidden="1"/>
    <col min="11777" max="11777" width="16.765625" hidden="1"/>
    <col min="11778" max="11778" width="18.53515625" hidden="1"/>
    <col min="11779" max="11779" width="47" hidden="1"/>
    <col min="11780" max="12029" width="7.421875E-2" hidden="1"/>
    <col min="12030" max="12031" width="13.23046875" hidden="1"/>
    <col min="12032" max="12032" width="61.765625" hidden="1"/>
    <col min="12033" max="12033" width="16.765625" hidden="1"/>
    <col min="12034" max="12034" width="18.53515625" hidden="1"/>
    <col min="12035" max="12035" width="47" hidden="1"/>
    <col min="12036" max="12285" width="7.421875E-2" hidden="1"/>
    <col min="12286" max="12287" width="13.23046875" hidden="1"/>
    <col min="12288" max="12288" width="61.765625" hidden="1"/>
    <col min="12289" max="12289" width="16.765625" hidden="1"/>
    <col min="12290" max="12290" width="18.53515625" hidden="1"/>
    <col min="12291" max="12291" width="47" hidden="1"/>
    <col min="12292" max="12541" width="7.421875E-2" hidden="1"/>
    <col min="12542" max="12543" width="13.23046875" hidden="1"/>
    <col min="12544" max="12544" width="61.765625" hidden="1"/>
    <col min="12545" max="12545" width="16.765625" hidden="1"/>
    <col min="12546" max="12546" width="18.53515625" hidden="1"/>
    <col min="12547" max="12547" width="47" hidden="1"/>
    <col min="12548" max="12797" width="7.421875E-2" hidden="1"/>
    <col min="12798" max="12799" width="13.23046875" hidden="1"/>
    <col min="12800" max="12800" width="61.765625" hidden="1"/>
    <col min="12801" max="12801" width="16.765625" hidden="1"/>
    <col min="12802" max="12802" width="18.53515625" hidden="1"/>
    <col min="12803" max="12803" width="47" hidden="1"/>
    <col min="12804" max="13053" width="7.421875E-2" hidden="1"/>
    <col min="13054" max="13055" width="13.23046875" hidden="1"/>
    <col min="13056" max="13056" width="61.765625" hidden="1"/>
    <col min="13057" max="13057" width="16.765625" hidden="1"/>
    <col min="13058" max="13058" width="18.53515625" hidden="1"/>
    <col min="13059" max="13059" width="47" hidden="1"/>
    <col min="13060" max="13309" width="7.421875E-2" hidden="1"/>
    <col min="13310" max="13311" width="13.23046875" hidden="1"/>
    <col min="13312" max="13312" width="61.765625" hidden="1"/>
    <col min="13313" max="13313" width="16.765625" hidden="1"/>
    <col min="13314" max="13314" width="18.53515625" hidden="1"/>
    <col min="13315" max="13315" width="47" hidden="1"/>
    <col min="13316" max="13565" width="7.421875E-2" hidden="1"/>
    <col min="13566" max="13567" width="13.23046875" hidden="1"/>
    <col min="13568" max="13568" width="61.765625" hidden="1"/>
    <col min="13569" max="13569" width="16.765625" hidden="1"/>
    <col min="13570" max="13570" width="18.53515625" hidden="1"/>
    <col min="13571" max="13571" width="47" hidden="1"/>
    <col min="13572" max="13821" width="7.421875E-2" hidden="1"/>
    <col min="13822" max="13823" width="13.23046875" hidden="1"/>
    <col min="13824" max="13824" width="61.765625" hidden="1"/>
    <col min="13825" max="13825" width="16.765625" hidden="1"/>
    <col min="13826" max="13826" width="18.53515625" hidden="1"/>
    <col min="13827" max="13827" width="47" hidden="1"/>
    <col min="13828" max="14077" width="7.421875E-2" hidden="1"/>
    <col min="14078" max="14079" width="13.23046875" hidden="1"/>
    <col min="14080" max="14080" width="61.765625" hidden="1"/>
    <col min="14081" max="14081" width="16.765625" hidden="1"/>
    <col min="14082" max="14082" width="18.53515625" hidden="1"/>
    <col min="14083" max="14083" width="47" hidden="1"/>
    <col min="14084" max="14333" width="7.421875E-2" hidden="1"/>
    <col min="14334" max="14335" width="13.23046875" hidden="1"/>
    <col min="14336" max="14336" width="61.765625" hidden="1"/>
    <col min="14337" max="14337" width="16.765625" hidden="1"/>
    <col min="14338" max="14338" width="18.53515625" hidden="1"/>
    <col min="14339" max="14339" width="47" hidden="1"/>
    <col min="14340" max="14589" width="7.421875E-2" hidden="1"/>
    <col min="14590" max="14591" width="13.23046875" hidden="1"/>
    <col min="14592" max="14592" width="61.765625" hidden="1"/>
    <col min="14593" max="14593" width="16.765625" hidden="1"/>
    <col min="14594" max="14594" width="18.53515625" hidden="1"/>
    <col min="14595" max="14595" width="47" hidden="1"/>
    <col min="14596" max="14845" width="7.421875E-2" hidden="1"/>
    <col min="14846" max="14847" width="13.23046875" hidden="1"/>
    <col min="14848" max="14848" width="61.765625" hidden="1"/>
    <col min="14849" max="14849" width="16.765625" hidden="1"/>
    <col min="14850" max="14850" width="18.53515625" hidden="1"/>
    <col min="14851" max="14851" width="47" hidden="1"/>
    <col min="14852" max="15101" width="7.421875E-2" hidden="1"/>
    <col min="15102" max="15103" width="13.23046875" hidden="1"/>
    <col min="15104" max="15104" width="61.765625" hidden="1"/>
    <col min="15105" max="15105" width="16.765625" hidden="1"/>
    <col min="15106" max="15106" width="18.53515625" hidden="1"/>
    <col min="15107" max="15107" width="47" hidden="1"/>
    <col min="15108" max="15357" width="7.421875E-2" hidden="1"/>
    <col min="15358" max="15359" width="13.23046875" hidden="1"/>
    <col min="15360" max="15360" width="61.765625" hidden="1"/>
    <col min="15361" max="15361" width="16.765625" hidden="1"/>
    <col min="15362" max="15362" width="18.53515625" hidden="1"/>
    <col min="15363" max="15363" width="47" hidden="1"/>
    <col min="15364" max="15613" width="7.421875E-2" hidden="1"/>
    <col min="15614" max="15615" width="13.23046875" hidden="1"/>
    <col min="15616" max="15616" width="61.765625" hidden="1"/>
    <col min="15617" max="15617" width="16.765625" hidden="1"/>
    <col min="15618" max="15618" width="18.53515625" hidden="1"/>
    <col min="15619" max="15619" width="47" hidden="1"/>
    <col min="15620" max="15869" width="7.421875E-2" hidden="1"/>
    <col min="15870" max="15871" width="13.23046875" hidden="1"/>
    <col min="15872" max="15872" width="61.765625" hidden="1"/>
    <col min="15873" max="15873" width="16.765625" hidden="1"/>
    <col min="15874" max="15874" width="18.53515625" hidden="1"/>
    <col min="15875" max="15875" width="47" hidden="1"/>
    <col min="15876" max="16125" width="7.421875E-2" hidden="1"/>
    <col min="16126" max="16127" width="13.23046875" hidden="1"/>
    <col min="16128" max="16128" width="61.765625" hidden="1"/>
    <col min="16129" max="16129" width="16.765625" hidden="1"/>
    <col min="16130" max="16130" width="18.53515625" hidden="1"/>
    <col min="16131" max="16131" width="47" hidden="1"/>
    <col min="16132" max="16384" width="7.421875E-2" hidden="1"/>
  </cols>
  <sheetData>
    <row r="1" spans="1:6" ht="32.5" x14ac:dyDescent="0.35">
      <c r="A1" s="35" t="str">
        <f>"Daily closure report: "&amp;'Front page'!A8</f>
        <v>Daily closure report: Sunday, 27 September</v>
      </c>
      <c r="B1" s="35"/>
      <c r="C1" s="35"/>
      <c r="D1" s="35"/>
      <c r="E1" s="35"/>
      <c r="F1" s="35"/>
    </row>
    <row r="2" spans="1:6" s="5" customFormat="1" ht="28" x14ac:dyDescent="0.35">
      <c r="A2" s="12" t="s">
        <v>9</v>
      </c>
      <c r="B2" s="12" t="s">
        <v>1</v>
      </c>
      <c r="C2" s="12" t="s">
        <v>0</v>
      </c>
      <c r="D2" s="11" t="s">
        <v>11</v>
      </c>
      <c r="E2" s="11" t="s">
        <v>12</v>
      </c>
      <c r="F2" s="12" t="s">
        <v>10</v>
      </c>
    </row>
    <row r="3" spans="1:6" s="23" customFormat="1" ht="62" x14ac:dyDescent="0.35">
      <c r="A3" s="25" t="s">
        <v>38</v>
      </c>
      <c r="B3" s="25" t="s">
        <v>24</v>
      </c>
      <c r="C3" s="26" t="s">
        <v>49</v>
      </c>
      <c r="D3" s="27">
        <v>45847.208333333299</v>
      </c>
      <c r="E3" s="27">
        <v>46507.999305555597</v>
      </c>
      <c r="F3" s="26" t="s">
        <v>50</v>
      </c>
    </row>
    <row r="4" spans="1:6" s="23" customFormat="1" ht="46.5" x14ac:dyDescent="0.35">
      <c r="A4" s="25" t="s">
        <v>38</v>
      </c>
      <c r="B4" s="25" t="s">
        <v>6</v>
      </c>
      <c r="C4" s="26" t="s">
        <v>713</v>
      </c>
      <c r="D4" s="27">
        <v>46292.25</v>
      </c>
      <c r="E4" s="27">
        <v>46292.5</v>
      </c>
      <c r="F4" s="26" t="s">
        <v>714</v>
      </c>
    </row>
    <row r="5" spans="1:6" s="23" customFormat="1" ht="62" x14ac:dyDescent="0.35">
      <c r="A5" s="25" t="s">
        <v>38</v>
      </c>
      <c r="B5" s="25" t="s">
        <v>6</v>
      </c>
      <c r="C5" s="26" t="s">
        <v>715</v>
      </c>
      <c r="D5" s="27">
        <v>46292.25</v>
      </c>
      <c r="E5" s="27">
        <v>46292.5</v>
      </c>
      <c r="F5" s="26" t="s">
        <v>714</v>
      </c>
    </row>
    <row r="6" spans="1:6" s="23" customFormat="1" ht="77.5" x14ac:dyDescent="0.35">
      <c r="A6" s="25" t="s">
        <v>38</v>
      </c>
      <c r="B6" s="25" t="s">
        <v>2</v>
      </c>
      <c r="C6" s="26" t="s">
        <v>208</v>
      </c>
      <c r="D6" s="27">
        <v>46292.833333333299</v>
      </c>
      <c r="E6" s="27">
        <v>46293.25</v>
      </c>
      <c r="F6" s="26" t="s">
        <v>209</v>
      </c>
    </row>
    <row r="7" spans="1:6" s="23" customFormat="1" ht="77.5" x14ac:dyDescent="0.35">
      <c r="A7" s="25" t="s">
        <v>38</v>
      </c>
      <c r="B7" s="25" t="s">
        <v>2</v>
      </c>
      <c r="C7" s="26" t="s">
        <v>210</v>
      </c>
      <c r="D7" s="27">
        <v>46292.833333333299</v>
      </c>
      <c r="E7" s="27">
        <v>46293.25</v>
      </c>
      <c r="F7" s="26" t="s">
        <v>209</v>
      </c>
    </row>
    <row r="8" spans="1:6" s="23" customFormat="1" ht="62" x14ac:dyDescent="0.35">
      <c r="A8" s="25" t="s">
        <v>62</v>
      </c>
      <c r="B8" s="25" t="s">
        <v>6</v>
      </c>
      <c r="C8" s="26" t="s">
        <v>769</v>
      </c>
      <c r="D8" s="27">
        <v>46292.9375</v>
      </c>
      <c r="E8" s="27">
        <v>46293.229166666701</v>
      </c>
      <c r="F8" s="26" t="s">
        <v>770</v>
      </c>
    </row>
    <row r="9" spans="1:6" s="23" customFormat="1" ht="93" x14ac:dyDescent="0.35">
      <c r="A9" s="25" t="s">
        <v>728</v>
      </c>
      <c r="B9" s="25" t="s">
        <v>4</v>
      </c>
      <c r="C9" s="26" t="s">
        <v>729</v>
      </c>
      <c r="D9" s="27">
        <v>46292.833333333299</v>
      </c>
      <c r="E9" s="27">
        <v>46293.25</v>
      </c>
      <c r="F9" s="26" t="s">
        <v>730</v>
      </c>
    </row>
    <row r="10" spans="1:6" s="23" customFormat="1" ht="77.5" x14ac:dyDescent="0.35">
      <c r="A10" s="25" t="s">
        <v>217</v>
      </c>
      <c r="B10" s="25" t="s">
        <v>4</v>
      </c>
      <c r="C10" s="26" t="s">
        <v>612</v>
      </c>
      <c r="D10" s="27">
        <v>46083.999305555597</v>
      </c>
      <c r="E10" s="27">
        <v>46293.999305555597</v>
      </c>
      <c r="F10" s="26" t="s">
        <v>219</v>
      </c>
    </row>
    <row r="11" spans="1:6" s="23" customFormat="1" ht="46.5" x14ac:dyDescent="0.35">
      <c r="A11" s="25" t="s">
        <v>217</v>
      </c>
      <c r="B11" s="25" t="s">
        <v>5</v>
      </c>
      <c r="C11" s="26" t="s">
        <v>613</v>
      </c>
      <c r="D11" s="27">
        <v>46083.999305555597</v>
      </c>
      <c r="E11" s="27">
        <v>46293.999305555597</v>
      </c>
      <c r="F11" s="26" t="s">
        <v>219</v>
      </c>
    </row>
    <row r="12" spans="1:6" s="23" customFormat="1" ht="46.5" x14ac:dyDescent="0.35">
      <c r="A12" s="25" t="s">
        <v>377</v>
      </c>
      <c r="B12" s="25" t="s">
        <v>5</v>
      </c>
      <c r="C12" s="26" t="s">
        <v>765</v>
      </c>
      <c r="D12" s="27">
        <v>46292.833333333299</v>
      </c>
      <c r="E12" s="27">
        <v>46293.166666666701</v>
      </c>
      <c r="F12" s="26" t="s">
        <v>766</v>
      </c>
    </row>
    <row r="13" spans="1:6" s="23" customFormat="1" ht="77.5" x14ac:dyDescent="0.35">
      <c r="A13" s="25" t="s">
        <v>377</v>
      </c>
      <c r="B13" s="25" t="s">
        <v>5</v>
      </c>
      <c r="C13" s="26" t="s">
        <v>773</v>
      </c>
      <c r="D13" s="27">
        <v>46292.9375</v>
      </c>
      <c r="E13" s="27">
        <v>46293.208333333299</v>
      </c>
      <c r="F13" s="26" t="s">
        <v>774</v>
      </c>
    </row>
    <row r="14" spans="1:6" s="23" customFormat="1" ht="77.5" x14ac:dyDescent="0.35">
      <c r="A14" s="25" t="s">
        <v>377</v>
      </c>
      <c r="B14" s="25" t="s">
        <v>5</v>
      </c>
      <c r="C14" s="26" t="s">
        <v>775</v>
      </c>
      <c r="D14" s="27">
        <v>46292.9375</v>
      </c>
      <c r="E14" s="27">
        <v>46293.208333333299</v>
      </c>
      <c r="F14" s="26" t="s">
        <v>774</v>
      </c>
    </row>
    <row r="15" spans="1:6" s="24" customFormat="1" ht="77.5" x14ac:dyDescent="0.35">
      <c r="A15" s="25" t="s">
        <v>396</v>
      </c>
      <c r="B15" s="25" t="s">
        <v>2</v>
      </c>
      <c r="C15" s="26" t="s">
        <v>397</v>
      </c>
      <c r="D15" s="27">
        <v>46292.833333333299</v>
      </c>
      <c r="E15" s="27">
        <v>46293.25</v>
      </c>
      <c r="F15" s="26" t="s">
        <v>398</v>
      </c>
    </row>
    <row r="16" spans="1:6" s="24" customFormat="1" ht="31" x14ac:dyDescent="0.35">
      <c r="A16" s="25" t="s">
        <v>359</v>
      </c>
      <c r="B16" s="25" t="s">
        <v>5</v>
      </c>
      <c r="C16" s="26" t="s">
        <v>759</v>
      </c>
      <c r="D16" s="27">
        <v>46291.875</v>
      </c>
      <c r="E16" s="27">
        <v>46292.625</v>
      </c>
      <c r="F16" s="26" t="s">
        <v>638</v>
      </c>
    </row>
    <row r="17" spans="1:6" s="24" customFormat="1" ht="31" x14ac:dyDescent="0.35">
      <c r="A17" s="25" t="s">
        <v>359</v>
      </c>
      <c r="B17" s="25" t="s">
        <v>5</v>
      </c>
      <c r="C17" s="26" t="s">
        <v>760</v>
      </c>
      <c r="D17" s="27">
        <v>46292.625</v>
      </c>
      <c r="E17" s="27">
        <v>46293.25</v>
      </c>
      <c r="F17" s="26" t="s">
        <v>638</v>
      </c>
    </row>
    <row r="18" spans="1:6" s="24" customFormat="1" ht="62" x14ac:dyDescent="0.35">
      <c r="A18" s="25" t="s">
        <v>429</v>
      </c>
      <c r="B18" s="25" t="s">
        <v>2</v>
      </c>
      <c r="C18" s="26" t="s">
        <v>767</v>
      </c>
      <c r="D18" s="27">
        <v>46292.9375</v>
      </c>
      <c r="E18" s="27">
        <v>46293.229166666701</v>
      </c>
      <c r="F18" s="26" t="s">
        <v>768</v>
      </c>
    </row>
    <row r="19" spans="1:6" s="24" customFormat="1" ht="46.5" x14ac:dyDescent="0.35">
      <c r="A19" s="25" t="s">
        <v>467</v>
      </c>
      <c r="B19" s="25" t="s">
        <v>4</v>
      </c>
      <c r="C19" s="26" t="s">
        <v>473</v>
      </c>
      <c r="D19" s="27">
        <v>46272.25</v>
      </c>
      <c r="E19" s="27">
        <v>46341.833333333299</v>
      </c>
      <c r="F19" s="26" t="s">
        <v>474</v>
      </c>
    </row>
    <row r="20" spans="1:6" s="24" customFormat="1" ht="62" x14ac:dyDescent="0.35">
      <c r="A20" s="25" t="s">
        <v>327</v>
      </c>
      <c r="B20" s="25" t="s">
        <v>2</v>
      </c>
      <c r="C20" s="26" t="s">
        <v>761</v>
      </c>
      <c r="D20" s="27">
        <v>46292.916666666701</v>
      </c>
      <c r="E20" s="27">
        <v>46293.25</v>
      </c>
      <c r="F20" s="26" t="s">
        <v>762</v>
      </c>
    </row>
    <row r="21" spans="1:6" s="24" customFormat="1" ht="31" x14ac:dyDescent="0.35">
      <c r="A21" s="25" t="s">
        <v>327</v>
      </c>
      <c r="B21" s="25" t="s">
        <v>2</v>
      </c>
      <c r="C21" s="26" t="s">
        <v>763</v>
      </c>
      <c r="D21" s="27">
        <v>46292.875</v>
      </c>
      <c r="E21" s="27">
        <v>46293.25</v>
      </c>
      <c r="F21" s="26" t="s">
        <v>764</v>
      </c>
    </row>
    <row r="22" spans="1:6" s="24" customFormat="1" ht="77.5" x14ac:dyDescent="0.35">
      <c r="A22" s="25" t="s">
        <v>470</v>
      </c>
      <c r="B22" s="25" t="s">
        <v>4</v>
      </c>
      <c r="C22" s="26" t="s">
        <v>487</v>
      </c>
      <c r="D22" s="27">
        <v>46292.833333333299</v>
      </c>
      <c r="E22" s="27">
        <v>46293.25</v>
      </c>
      <c r="F22" s="26" t="s">
        <v>488</v>
      </c>
    </row>
    <row r="23" spans="1:6" s="24" customFormat="1" ht="108.5" x14ac:dyDescent="0.35">
      <c r="A23" s="25" t="s">
        <v>470</v>
      </c>
      <c r="B23" s="25" t="s">
        <v>6</v>
      </c>
      <c r="C23" s="26" t="s">
        <v>521</v>
      </c>
      <c r="D23" s="27">
        <v>46202.875</v>
      </c>
      <c r="E23" s="27">
        <v>46508.208333333299</v>
      </c>
      <c r="F23" s="26" t="s">
        <v>522</v>
      </c>
    </row>
    <row r="24" spans="1:6" s="24" customFormat="1" ht="108.5" x14ac:dyDescent="0.35">
      <c r="A24" s="25" t="s">
        <v>470</v>
      </c>
      <c r="B24" s="25" t="s">
        <v>2</v>
      </c>
      <c r="C24" s="26" t="s">
        <v>523</v>
      </c>
      <c r="D24" s="27">
        <v>46266.333333333299</v>
      </c>
      <c r="E24" s="27">
        <v>46507</v>
      </c>
      <c r="F24" s="26" t="s">
        <v>522</v>
      </c>
    </row>
    <row r="25" spans="1:6" s="24" customFormat="1" ht="62" x14ac:dyDescent="0.35">
      <c r="A25" s="25" t="s">
        <v>702</v>
      </c>
      <c r="B25" s="25" t="s">
        <v>5</v>
      </c>
      <c r="C25" s="26" t="s">
        <v>703</v>
      </c>
      <c r="D25" s="27">
        <v>46290.833333333299</v>
      </c>
      <c r="E25" s="27">
        <v>46293.25</v>
      </c>
      <c r="F25" s="26" t="s">
        <v>704</v>
      </c>
    </row>
    <row r="26" spans="1:6" s="24" customFormat="1" ht="77.5" x14ac:dyDescent="0.35">
      <c r="A26" s="25" t="s">
        <v>492</v>
      </c>
      <c r="B26" s="25" t="s">
        <v>2</v>
      </c>
      <c r="C26" s="26" t="s">
        <v>780</v>
      </c>
      <c r="D26" s="27">
        <v>46290.958333333299</v>
      </c>
      <c r="E26" s="27">
        <v>46293.25</v>
      </c>
      <c r="F26" s="26" t="s">
        <v>781</v>
      </c>
    </row>
    <row r="27" spans="1:6" s="24" customFormat="1" ht="77.5" x14ac:dyDescent="0.35">
      <c r="A27" s="25" t="s">
        <v>492</v>
      </c>
      <c r="B27" s="25" t="s">
        <v>6</v>
      </c>
      <c r="C27" s="26" t="s">
        <v>782</v>
      </c>
      <c r="D27" s="27">
        <v>46290.958333333299</v>
      </c>
      <c r="E27" s="27">
        <v>46293.25</v>
      </c>
      <c r="F27" s="26" t="s">
        <v>783</v>
      </c>
    </row>
    <row r="28" spans="1:6" s="24" customFormat="1" ht="62" x14ac:dyDescent="0.35">
      <c r="A28" s="25" t="s">
        <v>708</v>
      </c>
      <c r="B28" s="25" t="s">
        <v>5</v>
      </c>
      <c r="C28" s="26" t="s">
        <v>709</v>
      </c>
      <c r="D28" s="27">
        <v>46292.833333333299</v>
      </c>
      <c r="E28" s="27">
        <v>46293.25</v>
      </c>
      <c r="F28" s="26" t="s">
        <v>710</v>
      </c>
    </row>
    <row r="29" spans="1:6" s="24" customFormat="1" ht="93" x14ac:dyDescent="0.35">
      <c r="A29" s="25" t="s">
        <v>545</v>
      </c>
      <c r="B29" s="25" t="s">
        <v>7</v>
      </c>
      <c r="C29" s="26" t="s">
        <v>546</v>
      </c>
      <c r="D29" s="27">
        <v>46217.625</v>
      </c>
      <c r="E29" s="27">
        <v>46387.875</v>
      </c>
      <c r="F29" s="26" t="s">
        <v>547</v>
      </c>
    </row>
    <row r="30" spans="1:6" s="24" customFormat="1" ht="62" x14ac:dyDescent="0.35">
      <c r="A30" s="25" t="s">
        <v>529</v>
      </c>
      <c r="B30" s="25" t="s">
        <v>4</v>
      </c>
      <c r="C30" s="26" t="s">
        <v>786</v>
      </c>
      <c r="D30" s="27">
        <v>46292.875</v>
      </c>
      <c r="E30" s="27">
        <v>46293.25</v>
      </c>
      <c r="F30" s="26" t="s">
        <v>787</v>
      </c>
    </row>
    <row r="31" spans="1:6" s="24" customFormat="1" ht="77.5" x14ac:dyDescent="0.35">
      <c r="A31" s="25" t="s">
        <v>537</v>
      </c>
      <c r="B31" s="25" t="s">
        <v>24</v>
      </c>
      <c r="C31" s="26" t="s">
        <v>538</v>
      </c>
      <c r="D31" s="27">
        <v>46230.833333333299</v>
      </c>
      <c r="E31" s="27">
        <v>46403.25</v>
      </c>
      <c r="F31" s="26" t="s">
        <v>539</v>
      </c>
    </row>
    <row r="32" spans="1:6" s="24" customFormat="1" ht="93" x14ac:dyDescent="0.35">
      <c r="A32" s="25" t="s">
        <v>120</v>
      </c>
      <c r="B32" s="25" t="s">
        <v>24</v>
      </c>
      <c r="C32" s="26" t="s">
        <v>711</v>
      </c>
      <c r="D32" s="27">
        <v>46292.833333333299</v>
      </c>
      <c r="E32" s="27">
        <v>46293.25</v>
      </c>
      <c r="F32" s="26" t="s">
        <v>712</v>
      </c>
    </row>
    <row r="33" spans="1:6" s="24" customFormat="1" ht="46.5" x14ac:dyDescent="0.35">
      <c r="A33" s="25" t="s">
        <v>754</v>
      </c>
      <c r="B33" s="25" t="s">
        <v>24</v>
      </c>
      <c r="C33" s="26" t="s">
        <v>755</v>
      </c>
      <c r="D33" s="27">
        <v>46292.875</v>
      </c>
      <c r="E33" s="27">
        <v>46293.208333333299</v>
      </c>
      <c r="F33" s="26" t="s">
        <v>756</v>
      </c>
    </row>
    <row r="34" spans="1:6" s="24" customFormat="1" ht="46.5" x14ac:dyDescent="0.35">
      <c r="A34" s="25" t="s">
        <v>744</v>
      </c>
      <c r="B34" s="25" t="s">
        <v>6</v>
      </c>
      <c r="C34" s="26" t="s">
        <v>745</v>
      </c>
      <c r="D34" s="27">
        <v>46292.875</v>
      </c>
      <c r="E34" s="27">
        <v>46293.25</v>
      </c>
      <c r="F34" s="26" t="s">
        <v>743</v>
      </c>
    </row>
    <row r="35" spans="1:6" s="24" customFormat="1" ht="93" x14ac:dyDescent="0.35">
      <c r="A35" s="25" t="s">
        <v>166</v>
      </c>
      <c r="B35" s="25" t="s">
        <v>6</v>
      </c>
      <c r="C35" s="26" t="s">
        <v>167</v>
      </c>
      <c r="D35" s="27">
        <v>46237.833333333299</v>
      </c>
      <c r="E35" s="27">
        <v>46326.25</v>
      </c>
      <c r="F35" s="26" t="s">
        <v>168</v>
      </c>
    </row>
    <row r="36" spans="1:6" s="24" customFormat="1" ht="93" x14ac:dyDescent="0.35">
      <c r="A36" s="25" t="s">
        <v>166</v>
      </c>
      <c r="B36" s="25" t="s">
        <v>2</v>
      </c>
      <c r="C36" s="26" t="s">
        <v>169</v>
      </c>
      <c r="D36" s="27">
        <v>46237.833333333299</v>
      </c>
      <c r="E36" s="27">
        <v>46326.25</v>
      </c>
      <c r="F36" s="26" t="s">
        <v>168</v>
      </c>
    </row>
    <row r="37" spans="1:6" s="24" customFormat="1" ht="46.5" x14ac:dyDescent="0.35">
      <c r="A37" s="25" t="s">
        <v>201</v>
      </c>
      <c r="B37" s="25" t="s">
        <v>24</v>
      </c>
      <c r="C37" s="26" t="s">
        <v>757</v>
      </c>
      <c r="D37" s="27">
        <v>46290.791666666701</v>
      </c>
      <c r="E37" s="27">
        <v>46293.25</v>
      </c>
      <c r="F37" s="26" t="s">
        <v>758</v>
      </c>
    </row>
    <row r="38" spans="1:6" s="24" customFormat="1" ht="77.5" x14ac:dyDescent="0.35">
      <c r="A38" s="25" t="s">
        <v>55</v>
      </c>
      <c r="B38" s="25" t="s">
        <v>2</v>
      </c>
      <c r="C38" s="26" t="s">
        <v>705</v>
      </c>
      <c r="D38" s="27">
        <v>46292.916666666701</v>
      </c>
      <c r="E38" s="27">
        <v>46293.208333333299</v>
      </c>
      <c r="F38" s="26" t="s">
        <v>706</v>
      </c>
    </row>
    <row r="39" spans="1:6" s="24" customFormat="1" ht="77.5" x14ac:dyDescent="0.35">
      <c r="A39" s="25" t="s">
        <v>55</v>
      </c>
      <c r="B39" s="25" t="s">
        <v>6</v>
      </c>
      <c r="C39" s="26" t="s">
        <v>707</v>
      </c>
      <c r="D39" s="27">
        <v>46292.916666666701</v>
      </c>
      <c r="E39" s="27">
        <v>46293.208333333299</v>
      </c>
      <c r="F39" s="26" t="s">
        <v>706</v>
      </c>
    </row>
    <row r="40" spans="1:6" s="24" customFormat="1" ht="62" x14ac:dyDescent="0.35">
      <c r="A40" s="25" t="s">
        <v>46</v>
      </c>
      <c r="B40" s="25" t="s">
        <v>2</v>
      </c>
      <c r="C40" s="26" t="s">
        <v>700</v>
      </c>
      <c r="D40" s="27">
        <v>46292.875</v>
      </c>
      <c r="E40" s="27">
        <v>46293.208333333299</v>
      </c>
      <c r="F40" s="26" t="s">
        <v>701</v>
      </c>
    </row>
    <row r="41" spans="1:6" s="24" customFormat="1" ht="62" x14ac:dyDescent="0.35">
      <c r="A41" s="25" t="s">
        <v>598</v>
      </c>
      <c r="B41" s="25" t="s">
        <v>2</v>
      </c>
      <c r="C41" s="26" t="s">
        <v>718</v>
      </c>
      <c r="D41" s="27">
        <v>46292.875</v>
      </c>
      <c r="E41" s="27">
        <v>46293.25</v>
      </c>
      <c r="F41" s="26" t="s">
        <v>719</v>
      </c>
    </row>
    <row r="42" spans="1:6" s="24" customFormat="1" ht="62" x14ac:dyDescent="0.35">
      <c r="A42" s="25" t="s">
        <v>598</v>
      </c>
      <c r="B42" s="25" t="s">
        <v>2</v>
      </c>
      <c r="C42" s="26" t="s">
        <v>720</v>
      </c>
      <c r="D42" s="27">
        <v>46292.875</v>
      </c>
      <c r="E42" s="27">
        <v>46293.25</v>
      </c>
      <c r="F42" s="26" t="s">
        <v>719</v>
      </c>
    </row>
    <row r="43" spans="1:6" s="24" customFormat="1" ht="62" x14ac:dyDescent="0.35">
      <c r="A43" s="25" t="s">
        <v>598</v>
      </c>
      <c r="B43" s="25" t="s">
        <v>2</v>
      </c>
      <c r="C43" s="26" t="s">
        <v>721</v>
      </c>
      <c r="D43" s="27">
        <v>46292.875</v>
      </c>
      <c r="E43" s="27">
        <v>46293.25</v>
      </c>
      <c r="F43" s="26" t="s">
        <v>719</v>
      </c>
    </row>
    <row r="44" spans="1:6" s="24" customFormat="1" ht="93" x14ac:dyDescent="0.35">
      <c r="A44" s="25" t="s">
        <v>421</v>
      </c>
      <c r="B44" s="25" t="s">
        <v>7</v>
      </c>
      <c r="C44" s="26" t="s">
        <v>771</v>
      </c>
      <c r="D44" s="27">
        <v>46292.9375</v>
      </c>
      <c r="E44" s="27">
        <v>46293.229166666701</v>
      </c>
      <c r="F44" s="26" t="s">
        <v>772</v>
      </c>
    </row>
    <row r="45" spans="1:6" s="24" customFormat="1" ht="62" x14ac:dyDescent="0.35">
      <c r="A45" s="25" t="s">
        <v>421</v>
      </c>
      <c r="B45" s="25" t="s">
        <v>8</v>
      </c>
      <c r="C45" s="26" t="s">
        <v>776</v>
      </c>
      <c r="D45" s="27">
        <v>46292.9375</v>
      </c>
      <c r="E45" s="27">
        <v>46293.229166666701</v>
      </c>
      <c r="F45" s="26" t="s">
        <v>777</v>
      </c>
    </row>
    <row r="46" spans="1:6" s="24" customFormat="1" ht="62" x14ac:dyDescent="0.35">
      <c r="A46" s="25" t="s">
        <v>324</v>
      </c>
      <c r="B46" s="25" t="s">
        <v>2</v>
      </c>
      <c r="C46" s="26" t="s">
        <v>325</v>
      </c>
      <c r="D46" s="27">
        <v>46237.25</v>
      </c>
      <c r="E46" s="27">
        <v>46692.25</v>
      </c>
      <c r="F46" s="26" t="s">
        <v>326</v>
      </c>
    </row>
    <row r="47" spans="1:6" s="24" customFormat="1" ht="108.5" x14ac:dyDescent="0.35">
      <c r="A47" s="25" t="s">
        <v>373</v>
      </c>
      <c r="B47" s="25" t="s">
        <v>5</v>
      </c>
      <c r="C47" s="26" t="s">
        <v>516</v>
      </c>
      <c r="D47" s="27">
        <v>46292.875</v>
      </c>
      <c r="E47" s="27">
        <v>46293.25</v>
      </c>
      <c r="F47" s="26" t="s">
        <v>517</v>
      </c>
    </row>
    <row r="48" spans="1:6" s="24" customFormat="1" ht="217" x14ac:dyDescent="0.35">
      <c r="A48" s="25" t="s">
        <v>495</v>
      </c>
      <c r="B48" s="25" t="s">
        <v>6</v>
      </c>
      <c r="C48" s="26" t="s">
        <v>778</v>
      </c>
      <c r="D48" s="27">
        <v>46292.916666666701</v>
      </c>
      <c r="E48" s="27">
        <v>46293.25</v>
      </c>
      <c r="F48" s="26" t="s">
        <v>779</v>
      </c>
    </row>
    <row r="49" spans="1:6" s="24" customFormat="1" ht="46.5" x14ac:dyDescent="0.35">
      <c r="A49" s="25" t="s">
        <v>234</v>
      </c>
      <c r="B49" s="25" t="s">
        <v>5</v>
      </c>
      <c r="C49" s="26" t="s">
        <v>742</v>
      </c>
      <c r="D49" s="27">
        <v>46292.875</v>
      </c>
      <c r="E49" s="27">
        <v>46293.25</v>
      </c>
      <c r="F49" s="26" t="s">
        <v>743</v>
      </c>
    </row>
    <row r="50" spans="1:6" s="24" customFormat="1" ht="46.5" x14ac:dyDescent="0.35">
      <c r="A50" s="25" t="s">
        <v>234</v>
      </c>
      <c r="B50" s="25" t="s">
        <v>4</v>
      </c>
      <c r="C50" s="26" t="s">
        <v>746</v>
      </c>
      <c r="D50" s="27">
        <v>46292.875</v>
      </c>
      <c r="E50" s="27">
        <v>46293.25</v>
      </c>
      <c r="F50" s="26" t="s">
        <v>743</v>
      </c>
    </row>
    <row r="51" spans="1:6" s="24" customFormat="1" ht="46.5" x14ac:dyDescent="0.35">
      <c r="A51" s="25" t="s">
        <v>231</v>
      </c>
      <c r="B51" s="25" t="s">
        <v>6</v>
      </c>
      <c r="C51" s="26" t="s">
        <v>232</v>
      </c>
      <c r="D51" s="27">
        <v>45804.208333333299</v>
      </c>
      <c r="E51" s="27">
        <v>46418.208333333299</v>
      </c>
      <c r="F51" s="26" t="s">
        <v>233</v>
      </c>
    </row>
    <row r="52" spans="1:6" s="24" customFormat="1" ht="31" x14ac:dyDescent="0.35">
      <c r="A52" s="25" t="s">
        <v>231</v>
      </c>
      <c r="B52" s="25" t="s">
        <v>2</v>
      </c>
      <c r="C52" s="26" t="s">
        <v>269</v>
      </c>
      <c r="D52" s="27">
        <v>46267.833333333299</v>
      </c>
      <c r="E52" s="27">
        <v>46323.25</v>
      </c>
      <c r="F52" s="26" t="s">
        <v>270</v>
      </c>
    </row>
    <row r="53" spans="1:6" s="24" customFormat="1" ht="46.5" x14ac:dyDescent="0.35">
      <c r="A53" s="25" t="s">
        <v>93</v>
      </c>
      <c r="B53" s="25" t="s">
        <v>2</v>
      </c>
      <c r="C53" s="26" t="s">
        <v>285</v>
      </c>
      <c r="D53" s="27">
        <v>46292.875</v>
      </c>
      <c r="E53" s="27">
        <v>46293.25</v>
      </c>
      <c r="F53" s="26" t="s">
        <v>731</v>
      </c>
    </row>
    <row r="54" spans="1:6" s="24" customFormat="1" ht="46.5" x14ac:dyDescent="0.35">
      <c r="A54" s="25" t="s">
        <v>93</v>
      </c>
      <c r="B54" s="25" t="s">
        <v>2</v>
      </c>
      <c r="C54" s="26" t="s">
        <v>732</v>
      </c>
      <c r="D54" s="27">
        <v>46292.875</v>
      </c>
      <c r="E54" s="27">
        <v>46293.25</v>
      </c>
      <c r="F54" s="26" t="s">
        <v>731</v>
      </c>
    </row>
    <row r="55" spans="1:6" s="24" customFormat="1" ht="46.5" x14ac:dyDescent="0.35">
      <c r="A55" s="25" t="s">
        <v>93</v>
      </c>
      <c r="B55" s="25" t="s">
        <v>6</v>
      </c>
      <c r="C55" s="26" t="s">
        <v>752</v>
      </c>
      <c r="D55" s="27">
        <v>46292.875</v>
      </c>
      <c r="E55" s="27">
        <v>46293.25</v>
      </c>
      <c r="F55" s="26" t="s">
        <v>753</v>
      </c>
    </row>
    <row r="56" spans="1:6" s="24" customFormat="1" ht="77.5" x14ac:dyDescent="0.35">
      <c r="A56" s="25" t="s">
        <v>93</v>
      </c>
      <c r="B56" s="25" t="s">
        <v>6</v>
      </c>
      <c r="C56" s="26" t="s">
        <v>784</v>
      </c>
      <c r="D56" s="27">
        <v>46292.916666666701</v>
      </c>
      <c r="E56" s="27">
        <v>46293.208333333299</v>
      </c>
      <c r="F56" s="26" t="s">
        <v>785</v>
      </c>
    </row>
    <row r="57" spans="1:6" s="24" customFormat="1" ht="46.5" x14ac:dyDescent="0.35">
      <c r="A57" s="25" t="s">
        <v>250</v>
      </c>
      <c r="B57" s="25" t="s">
        <v>8</v>
      </c>
      <c r="C57" s="26" t="s">
        <v>733</v>
      </c>
      <c r="D57" s="27">
        <v>46291.833333333299</v>
      </c>
      <c r="E57" s="27">
        <v>46293.25</v>
      </c>
      <c r="F57" s="26" t="s">
        <v>311</v>
      </c>
    </row>
    <row r="58" spans="1:6" s="24" customFormat="1" ht="46.5" x14ac:dyDescent="0.35">
      <c r="A58" s="25" t="s">
        <v>250</v>
      </c>
      <c r="B58" s="25" t="s">
        <v>8</v>
      </c>
      <c r="C58" s="26" t="s">
        <v>734</v>
      </c>
      <c r="D58" s="27">
        <v>46291.833333333299</v>
      </c>
      <c r="E58" s="27">
        <v>46293.25</v>
      </c>
      <c r="F58" s="26" t="s">
        <v>311</v>
      </c>
    </row>
    <row r="59" spans="1:6" s="24" customFormat="1" ht="46.5" x14ac:dyDescent="0.35">
      <c r="A59" s="25" t="s">
        <v>250</v>
      </c>
      <c r="B59" s="25" t="s">
        <v>8</v>
      </c>
      <c r="C59" s="26" t="s">
        <v>735</v>
      </c>
      <c r="D59" s="27">
        <v>46291.833333333299</v>
      </c>
      <c r="E59" s="27">
        <v>46293.25</v>
      </c>
      <c r="F59" s="26" t="s">
        <v>311</v>
      </c>
    </row>
    <row r="60" spans="1:6" s="24" customFormat="1" ht="46.5" x14ac:dyDescent="0.35">
      <c r="A60" s="25" t="s">
        <v>250</v>
      </c>
      <c r="B60" s="25" t="s">
        <v>8</v>
      </c>
      <c r="C60" s="26" t="s">
        <v>736</v>
      </c>
      <c r="D60" s="27">
        <v>46291.833333333299</v>
      </c>
      <c r="E60" s="27">
        <v>46293.25</v>
      </c>
      <c r="F60" s="26" t="s">
        <v>311</v>
      </c>
    </row>
    <row r="61" spans="1:6" s="24" customFormat="1" ht="46.5" x14ac:dyDescent="0.35">
      <c r="A61" s="25" t="s">
        <v>250</v>
      </c>
      <c r="B61" s="25" t="s">
        <v>7</v>
      </c>
      <c r="C61" s="26" t="s">
        <v>738</v>
      </c>
      <c r="D61" s="27">
        <v>46291.916666666701</v>
      </c>
      <c r="E61" s="27">
        <v>46293.25</v>
      </c>
      <c r="F61" s="26" t="s">
        <v>311</v>
      </c>
    </row>
    <row r="62" spans="1:6" s="24" customFormat="1" ht="46.5" x14ac:dyDescent="0.35">
      <c r="A62" s="25" t="s">
        <v>250</v>
      </c>
      <c r="B62" s="25" t="s">
        <v>7</v>
      </c>
      <c r="C62" s="26" t="s">
        <v>739</v>
      </c>
      <c r="D62" s="27">
        <v>46291.916666666701</v>
      </c>
      <c r="E62" s="27">
        <v>46293.25</v>
      </c>
      <c r="F62" s="26" t="s">
        <v>311</v>
      </c>
    </row>
    <row r="63" spans="1:6" s="24" customFormat="1" ht="46.5" x14ac:dyDescent="0.35">
      <c r="A63" s="25" t="s">
        <v>250</v>
      </c>
      <c r="B63" s="25" t="s">
        <v>7</v>
      </c>
      <c r="C63" s="26" t="s">
        <v>740</v>
      </c>
      <c r="D63" s="27">
        <v>46291.916666666701</v>
      </c>
      <c r="E63" s="27">
        <v>46293.25</v>
      </c>
      <c r="F63" s="26" t="s">
        <v>311</v>
      </c>
    </row>
    <row r="64" spans="1:6" s="24" customFormat="1" ht="46.5" x14ac:dyDescent="0.35">
      <c r="A64" s="25" t="s">
        <v>250</v>
      </c>
      <c r="B64" s="25" t="s">
        <v>7</v>
      </c>
      <c r="C64" s="26" t="s">
        <v>741</v>
      </c>
      <c r="D64" s="27">
        <v>46291.916666666701</v>
      </c>
      <c r="E64" s="27">
        <v>46293.25</v>
      </c>
      <c r="F64" s="26" t="s">
        <v>311</v>
      </c>
    </row>
    <row r="65" spans="1:6" s="24" customFormat="1" ht="46.5" x14ac:dyDescent="0.35">
      <c r="A65" s="25" t="s">
        <v>250</v>
      </c>
      <c r="B65" s="25" t="s">
        <v>8</v>
      </c>
      <c r="C65" s="26" t="s">
        <v>747</v>
      </c>
      <c r="D65" s="27">
        <v>46292.875</v>
      </c>
      <c r="E65" s="27">
        <v>46293.25</v>
      </c>
      <c r="F65" s="26" t="s">
        <v>748</v>
      </c>
    </row>
    <row r="66" spans="1:6" s="24" customFormat="1" ht="46.5" x14ac:dyDescent="0.35">
      <c r="A66" s="25" t="s">
        <v>250</v>
      </c>
      <c r="B66" s="25" t="s">
        <v>8</v>
      </c>
      <c r="C66" s="26" t="s">
        <v>749</v>
      </c>
      <c r="D66" s="27">
        <v>46292.875</v>
      </c>
      <c r="E66" s="27">
        <v>46293.25</v>
      </c>
      <c r="F66" s="26" t="s">
        <v>748</v>
      </c>
    </row>
    <row r="67" spans="1:6" s="24" customFormat="1" ht="46.5" x14ac:dyDescent="0.35">
      <c r="A67" s="25" t="s">
        <v>250</v>
      </c>
      <c r="B67" s="25" t="s">
        <v>8</v>
      </c>
      <c r="C67" s="26" t="s">
        <v>750</v>
      </c>
      <c r="D67" s="27">
        <v>46292.875</v>
      </c>
      <c r="E67" s="27">
        <v>46293.25</v>
      </c>
      <c r="F67" s="26" t="s">
        <v>748</v>
      </c>
    </row>
    <row r="68" spans="1:6" s="24" customFormat="1" ht="46.5" x14ac:dyDescent="0.35">
      <c r="A68" s="25" t="s">
        <v>250</v>
      </c>
      <c r="B68" s="25" t="s">
        <v>8</v>
      </c>
      <c r="C68" s="26" t="s">
        <v>751</v>
      </c>
      <c r="D68" s="27">
        <v>46292.875</v>
      </c>
      <c r="E68" s="27">
        <v>46293.25</v>
      </c>
      <c r="F68" s="26" t="s">
        <v>748</v>
      </c>
    </row>
    <row r="69" spans="1:6" s="24" customFormat="1" ht="46.5" x14ac:dyDescent="0.35">
      <c r="A69" s="25" t="s">
        <v>155</v>
      </c>
      <c r="B69" s="25" t="s">
        <v>2</v>
      </c>
      <c r="C69" s="26" t="s">
        <v>724</v>
      </c>
      <c r="D69" s="27">
        <v>46292.833333333299</v>
      </c>
      <c r="E69" s="27">
        <v>46293.208333333299</v>
      </c>
      <c r="F69" s="26" t="s">
        <v>725</v>
      </c>
    </row>
    <row r="70" spans="1:6" s="24" customFormat="1" ht="77.5" x14ac:dyDescent="0.35">
      <c r="A70" s="25" t="s">
        <v>125</v>
      </c>
      <c r="B70" s="25" t="s">
        <v>4</v>
      </c>
      <c r="C70" s="26" t="s">
        <v>126</v>
      </c>
      <c r="D70" s="27">
        <v>46290.25</v>
      </c>
      <c r="E70" s="27">
        <v>46502.25</v>
      </c>
      <c r="F70" s="26" t="s">
        <v>127</v>
      </c>
    </row>
    <row r="71" spans="1:6" s="24" customFormat="1" ht="62" x14ac:dyDescent="0.35">
      <c r="A71" s="25" t="s">
        <v>125</v>
      </c>
      <c r="B71" s="25" t="s">
        <v>4</v>
      </c>
      <c r="C71" s="26" t="s">
        <v>716</v>
      </c>
      <c r="D71" s="27">
        <v>46292.833333333299</v>
      </c>
      <c r="E71" s="27">
        <v>46293.25</v>
      </c>
      <c r="F71" s="26" t="s">
        <v>717</v>
      </c>
    </row>
    <row r="72" spans="1:6" s="24" customFormat="1" ht="62" x14ac:dyDescent="0.35">
      <c r="A72" s="25" t="s">
        <v>125</v>
      </c>
      <c r="B72" s="25" t="s">
        <v>4</v>
      </c>
      <c r="C72" s="26" t="s">
        <v>722</v>
      </c>
      <c r="D72" s="27">
        <v>46292.833333333299</v>
      </c>
      <c r="E72" s="27">
        <v>46293.208333333299</v>
      </c>
      <c r="F72" s="26" t="s">
        <v>723</v>
      </c>
    </row>
    <row r="73" spans="1:6" s="24" customFormat="1" ht="77.5" x14ac:dyDescent="0.35">
      <c r="A73" s="25" t="s">
        <v>125</v>
      </c>
      <c r="B73" s="25" t="s">
        <v>5</v>
      </c>
      <c r="C73" s="26" t="s">
        <v>726</v>
      </c>
      <c r="D73" s="27">
        <v>46292.833333333299</v>
      </c>
      <c r="E73" s="27">
        <v>46293.25</v>
      </c>
      <c r="F73" s="26" t="s">
        <v>727</v>
      </c>
    </row>
    <row r="74" spans="1:6" s="24" customFormat="1" ht="46.5" x14ac:dyDescent="0.35">
      <c r="A74" s="25" t="s">
        <v>125</v>
      </c>
      <c r="B74" s="25" t="s">
        <v>5</v>
      </c>
      <c r="C74" s="26" t="s">
        <v>737</v>
      </c>
      <c r="D74" s="27">
        <v>46291.833333333299</v>
      </c>
      <c r="E74" s="27">
        <v>46293.25</v>
      </c>
      <c r="F74" s="26" t="s">
        <v>311</v>
      </c>
    </row>
    <row r="75" spans="1:6" s="24" customFormat="1" x14ac:dyDescent="0.35">
      <c r="A75" s="25"/>
      <c r="B75" s="25"/>
      <c r="C75" s="26"/>
      <c r="D75" s="27"/>
      <c r="E75" s="27"/>
      <c r="F75" s="26"/>
    </row>
    <row r="76" spans="1:6" s="24" customFormat="1" x14ac:dyDescent="0.35">
      <c r="A76" s="25"/>
      <c r="B76" s="25"/>
      <c r="C76" s="26"/>
      <c r="D76" s="27"/>
      <c r="E76" s="27"/>
      <c r="F76" s="26"/>
    </row>
    <row r="77" spans="1:6" s="24" customFormat="1" x14ac:dyDescent="0.35">
      <c r="A77" s="25"/>
      <c r="B77" s="25"/>
      <c r="C77" s="26"/>
      <c r="D77" s="27"/>
      <c r="E77" s="27"/>
      <c r="F77" s="26"/>
    </row>
    <row r="78" spans="1:6" s="24" customFormat="1" x14ac:dyDescent="0.35">
      <c r="A78" s="25"/>
      <c r="B78" s="25"/>
      <c r="C78" s="26"/>
      <c r="D78" s="27"/>
      <c r="E78" s="27"/>
      <c r="F78" s="26"/>
    </row>
    <row r="79" spans="1:6" s="24" customFormat="1" x14ac:dyDescent="0.35">
      <c r="A79" s="25"/>
      <c r="B79" s="25"/>
      <c r="C79" s="26"/>
      <c r="D79" s="27"/>
      <c r="E79" s="27"/>
      <c r="F79" s="26"/>
    </row>
    <row r="80" spans="1:6" s="24" customFormat="1" x14ac:dyDescent="0.35">
      <c r="A80" s="25"/>
      <c r="B80" s="25"/>
      <c r="C80" s="26"/>
      <c r="D80" s="27"/>
      <c r="E80" s="27"/>
      <c r="F80" s="26"/>
    </row>
    <row r="81" spans="1:6" s="24" customFormat="1" x14ac:dyDescent="0.35">
      <c r="A81" s="25"/>
      <c r="B81" s="25"/>
      <c r="C81" s="26"/>
      <c r="D81" s="27"/>
      <c r="E81" s="27"/>
      <c r="F81" s="26"/>
    </row>
    <row r="82" spans="1:6" s="24" customFormat="1" x14ac:dyDescent="0.35">
      <c r="A82" s="25"/>
      <c r="B82" s="25"/>
      <c r="C82" s="26"/>
      <c r="D82" s="27"/>
      <c r="E82" s="27"/>
      <c r="F82" s="26"/>
    </row>
    <row r="83" spans="1:6" s="24" customFormat="1" x14ac:dyDescent="0.35">
      <c r="A83" s="25"/>
      <c r="B83" s="25"/>
      <c r="C83" s="26"/>
      <c r="D83" s="27"/>
      <c r="E83" s="27"/>
      <c r="F83" s="26"/>
    </row>
    <row r="84" spans="1:6" s="24" customFormat="1" x14ac:dyDescent="0.35">
      <c r="A84" s="25"/>
      <c r="B84" s="25"/>
      <c r="C84" s="26"/>
      <c r="D84" s="27"/>
      <c r="E84" s="27"/>
      <c r="F84" s="26"/>
    </row>
    <row r="85" spans="1:6" s="24" customFormat="1" x14ac:dyDescent="0.35">
      <c r="A85" s="25"/>
      <c r="B85" s="25"/>
      <c r="C85" s="26"/>
      <c r="D85" s="27"/>
      <c r="E85" s="27"/>
      <c r="F85" s="26"/>
    </row>
    <row r="86" spans="1:6" s="24" customFormat="1" x14ac:dyDescent="0.35">
      <c r="A86" s="25"/>
      <c r="B86" s="25"/>
      <c r="C86" s="26"/>
      <c r="D86" s="27"/>
      <c r="E86" s="27"/>
      <c r="F86" s="26"/>
    </row>
    <row r="87" spans="1:6" s="24" customFormat="1" x14ac:dyDescent="0.35">
      <c r="A87" s="25"/>
      <c r="B87" s="25"/>
      <c r="C87" s="26"/>
      <c r="D87" s="27"/>
      <c r="E87" s="27"/>
      <c r="F87" s="26"/>
    </row>
    <row r="88" spans="1:6" s="24" customFormat="1" x14ac:dyDescent="0.35">
      <c r="A88" s="25"/>
      <c r="B88" s="25"/>
      <c r="C88" s="26"/>
      <c r="D88" s="27"/>
      <c r="E88" s="27"/>
      <c r="F88" s="26"/>
    </row>
    <row r="89" spans="1:6" s="24" customFormat="1" x14ac:dyDescent="0.35">
      <c r="A89" s="25"/>
      <c r="B89" s="25"/>
      <c r="C89" s="26"/>
      <c r="D89" s="27"/>
      <c r="E89" s="27"/>
      <c r="F89" s="26"/>
    </row>
    <row r="90" spans="1:6" s="24" customFormat="1" x14ac:dyDescent="0.35">
      <c r="A90" s="25"/>
      <c r="B90" s="25"/>
      <c r="C90" s="26"/>
      <c r="D90" s="27"/>
      <c r="E90" s="27"/>
      <c r="F90" s="26"/>
    </row>
    <row r="91" spans="1:6" s="24" customFormat="1" x14ac:dyDescent="0.35">
      <c r="A91" s="25"/>
      <c r="B91" s="25"/>
      <c r="C91" s="26"/>
      <c r="D91" s="27"/>
      <c r="E91" s="27"/>
      <c r="F91" s="26"/>
    </row>
    <row r="92" spans="1:6" s="24" customFormat="1" x14ac:dyDescent="0.35">
      <c r="A92" s="25"/>
      <c r="B92" s="25"/>
      <c r="C92" s="26"/>
      <c r="D92" s="27"/>
      <c r="E92" s="27"/>
      <c r="F92" s="26"/>
    </row>
    <row r="93" spans="1:6" s="24" customFormat="1" x14ac:dyDescent="0.35">
      <c r="A93" s="25"/>
      <c r="B93" s="25"/>
      <c r="C93" s="26"/>
      <c r="D93" s="27"/>
      <c r="E93" s="27"/>
      <c r="F93" s="26"/>
    </row>
    <row r="94" spans="1:6" s="24" customFormat="1" x14ac:dyDescent="0.35">
      <c r="A94" s="25"/>
      <c r="B94" s="25"/>
      <c r="C94" s="26"/>
      <c r="D94" s="27"/>
      <c r="E94" s="27"/>
      <c r="F94" s="26"/>
    </row>
    <row r="95" spans="1:6" s="24" customFormat="1" x14ac:dyDescent="0.35">
      <c r="A95" s="25"/>
      <c r="B95" s="25"/>
      <c r="C95" s="26"/>
      <c r="D95" s="27"/>
      <c r="E95" s="27"/>
      <c r="F95" s="26"/>
    </row>
    <row r="96" spans="1:6" s="24" customFormat="1" x14ac:dyDescent="0.35">
      <c r="A96" s="25"/>
      <c r="B96" s="25"/>
      <c r="C96" s="26"/>
      <c r="D96" s="27"/>
      <c r="E96" s="27"/>
      <c r="F96" s="26"/>
    </row>
    <row r="97" spans="1:6" s="24" customFormat="1" x14ac:dyDescent="0.35">
      <c r="A97" s="25"/>
      <c r="B97" s="25"/>
      <c r="C97" s="26"/>
      <c r="D97" s="27"/>
      <c r="E97" s="27"/>
      <c r="F97" s="26"/>
    </row>
    <row r="98" spans="1:6" s="24" customFormat="1" x14ac:dyDescent="0.35">
      <c r="A98" s="25"/>
      <c r="B98" s="25"/>
      <c r="C98" s="26"/>
      <c r="D98" s="27"/>
      <c r="E98" s="27"/>
      <c r="F98" s="26"/>
    </row>
    <row r="99" spans="1:6" s="24" customFormat="1" x14ac:dyDescent="0.35">
      <c r="A99" s="25"/>
      <c r="B99" s="25"/>
      <c r="C99" s="26"/>
      <c r="D99" s="27"/>
      <c r="E99" s="27"/>
      <c r="F99" s="26"/>
    </row>
    <row r="100" spans="1:6" s="24" customFormat="1" x14ac:dyDescent="0.35">
      <c r="A100" s="25"/>
      <c r="B100" s="25"/>
      <c r="C100" s="26"/>
      <c r="D100" s="27"/>
      <c r="E100" s="27"/>
      <c r="F100" s="26"/>
    </row>
    <row r="101" spans="1:6" s="24" customFormat="1" x14ac:dyDescent="0.35">
      <c r="A101" s="25"/>
      <c r="B101" s="25"/>
      <c r="C101" s="26"/>
      <c r="D101" s="27"/>
      <c r="E101" s="27"/>
      <c r="F101" s="26"/>
    </row>
    <row r="102" spans="1:6" s="24" customFormat="1" x14ac:dyDescent="0.35">
      <c r="A102" s="25"/>
      <c r="B102" s="25"/>
      <c r="C102" s="26"/>
      <c r="D102" s="27"/>
      <c r="E102" s="27"/>
      <c r="F102" s="26"/>
    </row>
    <row r="103" spans="1:6" s="24" customFormat="1" x14ac:dyDescent="0.35">
      <c r="A103" s="25"/>
      <c r="B103" s="25"/>
      <c r="C103" s="26"/>
      <c r="D103" s="27"/>
      <c r="E103" s="27"/>
      <c r="F103" s="26"/>
    </row>
    <row r="104" spans="1:6" s="24" customFormat="1" x14ac:dyDescent="0.35">
      <c r="A104" s="25"/>
      <c r="B104" s="25"/>
      <c r="C104" s="26"/>
      <c r="D104" s="27"/>
      <c r="E104" s="27"/>
      <c r="F104" s="26"/>
    </row>
    <row r="105" spans="1:6" s="24" customFormat="1" x14ac:dyDescent="0.35">
      <c r="A105" s="25"/>
      <c r="B105" s="25"/>
      <c r="C105" s="26"/>
      <c r="D105" s="27"/>
      <c r="E105" s="27"/>
      <c r="F105" s="26"/>
    </row>
    <row r="106" spans="1:6" s="24" customFormat="1" x14ac:dyDescent="0.35">
      <c r="A106" s="25"/>
      <c r="B106" s="25"/>
      <c r="C106" s="26"/>
      <c r="D106" s="27"/>
      <c r="E106" s="27"/>
      <c r="F106" s="26"/>
    </row>
    <row r="107" spans="1:6" s="24" customFormat="1" x14ac:dyDescent="0.35">
      <c r="A107" s="25"/>
      <c r="B107" s="25"/>
      <c r="C107" s="26"/>
      <c r="D107" s="27"/>
      <c r="E107" s="27"/>
      <c r="F107" s="26"/>
    </row>
    <row r="108" spans="1:6" s="24" customFormat="1" x14ac:dyDescent="0.35">
      <c r="A108" s="25"/>
      <c r="B108" s="25"/>
      <c r="C108" s="26"/>
      <c r="D108" s="27"/>
      <c r="E108" s="27"/>
      <c r="F108" s="26"/>
    </row>
    <row r="109" spans="1:6" s="24" customFormat="1" x14ac:dyDescent="0.35">
      <c r="A109" s="25"/>
      <c r="B109" s="25"/>
      <c r="C109" s="26"/>
      <c r="D109" s="27"/>
      <c r="E109" s="27"/>
      <c r="F109" s="26"/>
    </row>
    <row r="110" spans="1:6" s="24" customFormat="1" x14ac:dyDescent="0.35">
      <c r="A110" s="25"/>
      <c r="B110" s="25"/>
      <c r="C110" s="26"/>
      <c r="D110" s="27"/>
      <c r="E110" s="27"/>
      <c r="F110" s="26"/>
    </row>
    <row r="111" spans="1:6" s="24" customFormat="1" x14ac:dyDescent="0.35">
      <c r="A111" s="25"/>
      <c r="B111" s="25"/>
      <c r="C111" s="26"/>
      <c r="D111" s="27"/>
      <c r="E111" s="27"/>
      <c r="F111" s="26"/>
    </row>
    <row r="112" spans="1:6" s="24" customFormat="1" x14ac:dyDescent="0.35">
      <c r="A112" s="25"/>
      <c r="B112" s="25"/>
      <c r="C112" s="26"/>
      <c r="D112" s="27"/>
      <c r="E112" s="27"/>
      <c r="F112" s="26"/>
    </row>
    <row r="113" spans="1:6" s="24" customFormat="1" x14ac:dyDescent="0.35">
      <c r="A113" s="25"/>
      <c r="B113" s="25"/>
      <c r="C113" s="26"/>
      <c r="D113" s="27"/>
      <c r="E113" s="27"/>
      <c r="F113" s="26"/>
    </row>
    <row r="114" spans="1:6" s="24" customFormat="1" x14ac:dyDescent="0.35">
      <c r="A114" s="25"/>
      <c r="B114" s="25"/>
      <c r="C114" s="26"/>
      <c r="D114" s="27"/>
      <c r="E114" s="27"/>
      <c r="F114" s="26"/>
    </row>
    <row r="115" spans="1:6" s="24" customFormat="1" x14ac:dyDescent="0.35">
      <c r="A115" s="25"/>
      <c r="B115" s="25"/>
      <c r="C115" s="26"/>
      <c r="D115" s="27"/>
      <c r="E115" s="27"/>
      <c r="F115" s="26"/>
    </row>
    <row r="116" spans="1:6" s="24" customFormat="1" x14ac:dyDescent="0.35">
      <c r="A116" s="25"/>
      <c r="B116" s="25"/>
      <c r="C116" s="26"/>
      <c r="D116" s="27"/>
      <c r="E116" s="27"/>
      <c r="F116" s="26"/>
    </row>
    <row r="117" spans="1:6" s="24" customFormat="1" x14ac:dyDescent="0.35">
      <c r="A117" s="25"/>
      <c r="B117" s="25"/>
      <c r="C117" s="26"/>
      <c r="D117" s="27"/>
      <c r="E117" s="27"/>
      <c r="F117" s="26"/>
    </row>
    <row r="118" spans="1:6" s="24" customFormat="1" x14ac:dyDescent="0.35">
      <c r="A118" s="25"/>
      <c r="B118" s="25"/>
      <c r="C118" s="26"/>
      <c r="D118" s="27"/>
      <c r="E118" s="27"/>
      <c r="F118" s="26"/>
    </row>
    <row r="119" spans="1:6" s="24" customFormat="1" x14ac:dyDescent="0.35">
      <c r="A119" s="25"/>
      <c r="B119" s="25"/>
      <c r="C119" s="26"/>
      <c r="D119" s="27"/>
      <c r="E119" s="27"/>
      <c r="F119" s="26"/>
    </row>
    <row r="120" spans="1:6" s="24" customFormat="1" x14ac:dyDescent="0.35">
      <c r="A120" s="25"/>
      <c r="B120" s="25"/>
      <c r="C120" s="26"/>
      <c r="D120" s="27"/>
      <c r="E120" s="27"/>
      <c r="F120" s="26"/>
    </row>
    <row r="121" spans="1:6" s="24" customFormat="1" x14ac:dyDescent="0.35">
      <c r="A121" s="25"/>
      <c r="B121" s="25"/>
      <c r="C121" s="26"/>
      <c r="D121" s="27"/>
      <c r="E121" s="27"/>
      <c r="F121" s="26"/>
    </row>
    <row r="122" spans="1:6" s="24" customFormat="1" x14ac:dyDescent="0.35">
      <c r="A122" s="25"/>
      <c r="B122" s="25"/>
      <c r="C122" s="26"/>
      <c r="D122" s="27"/>
      <c r="E122" s="27"/>
      <c r="F122" s="26"/>
    </row>
    <row r="123" spans="1:6" s="24" customFormat="1" x14ac:dyDescent="0.35">
      <c r="A123" s="25"/>
      <c r="B123" s="25"/>
      <c r="C123" s="26"/>
      <c r="D123" s="27"/>
      <c r="E123" s="27"/>
      <c r="F123" s="26"/>
    </row>
    <row r="124" spans="1:6" s="24" customFormat="1" x14ac:dyDescent="0.35">
      <c r="A124" s="25"/>
      <c r="B124" s="25"/>
      <c r="C124" s="26"/>
      <c r="D124" s="27"/>
      <c r="E124" s="27"/>
      <c r="F124" s="26"/>
    </row>
    <row r="125" spans="1:6" s="24" customFormat="1" x14ac:dyDescent="0.35">
      <c r="A125" s="25"/>
      <c r="B125" s="25"/>
      <c r="C125" s="26"/>
      <c r="D125" s="27"/>
      <c r="E125" s="27"/>
      <c r="F125" s="26"/>
    </row>
    <row r="126" spans="1:6" s="24" customFormat="1" x14ac:dyDescent="0.35">
      <c r="A126" s="25"/>
      <c r="B126" s="25"/>
      <c r="C126" s="26"/>
      <c r="D126" s="27"/>
      <c r="E126" s="27"/>
      <c r="F126" s="26"/>
    </row>
    <row r="127" spans="1:6" s="24" customFormat="1" x14ac:dyDescent="0.35">
      <c r="A127" s="25"/>
      <c r="B127" s="25"/>
      <c r="C127" s="26"/>
      <c r="D127" s="27"/>
      <c r="E127" s="27"/>
      <c r="F127" s="26"/>
    </row>
    <row r="128" spans="1:6" s="24" customFormat="1" x14ac:dyDescent="0.35">
      <c r="A128" s="25"/>
      <c r="B128" s="25"/>
      <c r="C128" s="26"/>
      <c r="D128" s="27"/>
      <c r="E128" s="27"/>
      <c r="F128" s="26"/>
    </row>
    <row r="129" spans="1:6" s="24" customFormat="1" x14ac:dyDescent="0.35">
      <c r="A129" s="25"/>
      <c r="B129" s="25"/>
      <c r="C129" s="26"/>
      <c r="D129" s="27"/>
      <c r="E129" s="27"/>
      <c r="F129" s="26"/>
    </row>
    <row r="130" spans="1:6" s="24" customFormat="1" x14ac:dyDescent="0.35">
      <c r="A130" s="25"/>
      <c r="B130" s="25"/>
      <c r="C130" s="26"/>
      <c r="D130" s="27"/>
      <c r="E130" s="27"/>
      <c r="F130" s="26"/>
    </row>
    <row r="131" spans="1:6" s="24" customFormat="1" x14ac:dyDescent="0.35">
      <c r="A131" s="25"/>
      <c r="B131" s="25"/>
      <c r="C131" s="26"/>
      <c r="D131" s="27"/>
      <c r="E131" s="27"/>
      <c r="F131" s="26"/>
    </row>
    <row r="132" spans="1:6" s="24" customFormat="1" x14ac:dyDescent="0.35">
      <c r="A132" s="25"/>
      <c r="B132" s="25"/>
      <c r="C132" s="26"/>
      <c r="D132" s="27"/>
      <c r="E132" s="27"/>
      <c r="F132" s="26"/>
    </row>
    <row r="133" spans="1:6" s="24" customFormat="1" x14ac:dyDescent="0.35">
      <c r="A133" s="25"/>
      <c r="B133" s="25"/>
      <c r="C133" s="26"/>
      <c r="D133" s="27"/>
      <c r="E133" s="27"/>
      <c r="F133" s="26"/>
    </row>
    <row r="134" spans="1:6" s="24" customFormat="1" x14ac:dyDescent="0.35">
      <c r="A134" s="25"/>
      <c r="B134" s="25"/>
      <c r="C134" s="26"/>
      <c r="D134" s="27"/>
      <c r="E134" s="27"/>
      <c r="F134" s="26"/>
    </row>
    <row r="135" spans="1:6" s="24" customFormat="1" x14ac:dyDescent="0.35">
      <c r="A135" s="25"/>
      <c r="B135" s="25"/>
      <c r="C135" s="26"/>
      <c r="D135" s="27"/>
      <c r="E135" s="27"/>
      <c r="F135" s="26"/>
    </row>
    <row r="136" spans="1:6" s="24" customFormat="1" x14ac:dyDescent="0.35">
      <c r="A136" s="25"/>
      <c r="B136" s="25"/>
      <c r="C136" s="26"/>
      <c r="D136" s="27"/>
      <c r="E136" s="27"/>
      <c r="F136" s="26"/>
    </row>
    <row r="137" spans="1:6" s="24" customFormat="1" x14ac:dyDescent="0.35">
      <c r="A137" s="25"/>
      <c r="B137" s="25"/>
      <c r="C137" s="26"/>
      <c r="D137" s="27"/>
      <c r="E137" s="27"/>
      <c r="F137" s="26"/>
    </row>
    <row r="138" spans="1:6" x14ac:dyDescent="0.35">
      <c r="A138" s="25"/>
      <c r="B138" s="25"/>
      <c r="C138" s="26"/>
      <c r="D138" s="27"/>
      <c r="E138" s="27"/>
      <c r="F138" s="26"/>
    </row>
    <row r="139" spans="1:6" x14ac:dyDescent="0.35">
      <c r="A139" s="25"/>
      <c r="B139" s="25"/>
      <c r="C139" s="26"/>
      <c r="D139" s="27"/>
      <c r="E139" s="27"/>
      <c r="F139" s="26"/>
    </row>
    <row r="140" spans="1:6" x14ac:dyDescent="0.35">
      <c r="A140" s="25"/>
      <c r="B140" s="25"/>
      <c r="C140" s="26"/>
      <c r="D140" s="27"/>
      <c r="E140" s="27"/>
      <c r="F140" s="26"/>
    </row>
    <row r="141" spans="1:6" x14ac:dyDescent="0.35">
      <c r="A141" s="25"/>
      <c r="B141" s="25"/>
      <c r="C141" s="26"/>
      <c r="D141" s="27"/>
      <c r="E141" s="27"/>
      <c r="F141" s="26"/>
    </row>
    <row r="142" spans="1:6" x14ac:dyDescent="0.35">
      <c r="A142" s="25"/>
      <c r="B142" s="25"/>
      <c r="C142" s="26"/>
      <c r="D142" s="27"/>
      <c r="E142" s="27"/>
      <c r="F142" s="26"/>
    </row>
    <row r="143" spans="1:6" x14ac:dyDescent="0.35">
      <c r="A143" s="25"/>
      <c r="B143" s="25"/>
      <c r="C143" s="26"/>
      <c r="D143" s="27"/>
      <c r="E143" s="27"/>
      <c r="F143" s="26"/>
    </row>
    <row r="144" spans="1:6" x14ac:dyDescent="0.35">
      <c r="A144" s="25"/>
      <c r="B144" s="25"/>
      <c r="C144" s="26"/>
      <c r="D144" s="27"/>
      <c r="E144" s="27"/>
      <c r="F144" s="26"/>
    </row>
    <row r="145" spans="1:6" x14ac:dyDescent="0.35">
      <c r="A145" s="25"/>
      <c r="B145" s="25"/>
      <c r="C145" s="26"/>
      <c r="D145" s="27"/>
      <c r="E145" s="27"/>
      <c r="F145" s="26"/>
    </row>
    <row r="146" spans="1:6" x14ac:dyDescent="0.35">
      <c r="A146" s="25"/>
      <c r="B146" s="25"/>
      <c r="C146" s="26"/>
      <c r="D146" s="27"/>
      <c r="E146" s="27"/>
      <c r="F146" s="26"/>
    </row>
    <row r="147" spans="1:6" x14ac:dyDescent="0.35">
      <c r="A147" s="25"/>
      <c r="B147" s="25"/>
      <c r="C147" s="26"/>
      <c r="D147" s="27"/>
      <c r="E147" s="27"/>
      <c r="F147" s="26"/>
    </row>
    <row r="148" spans="1:6" x14ac:dyDescent="0.35">
      <c r="A148" s="25"/>
      <c r="B148" s="25"/>
      <c r="C148" s="26"/>
      <c r="D148" s="27"/>
      <c r="E148" s="27"/>
      <c r="F148" s="26"/>
    </row>
    <row r="149" spans="1:6" x14ac:dyDescent="0.35">
      <c r="A149" s="25"/>
      <c r="B149" s="25"/>
      <c r="C149" s="26"/>
      <c r="D149" s="27"/>
      <c r="E149" s="27"/>
      <c r="F149" s="26"/>
    </row>
    <row r="150" spans="1:6" x14ac:dyDescent="0.35">
      <c r="A150" s="25"/>
      <c r="B150" s="25"/>
      <c r="C150" s="26"/>
      <c r="D150" s="27"/>
      <c r="E150" s="27"/>
      <c r="F150" s="26"/>
    </row>
    <row r="151" spans="1:6" x14ac:dyDescent="0.35">
      <c r="A151" s="25"/>
      <c r="B151" s="25"/>
      <c r="C151" s="26"/>
      <c r="D151" s="27"/>
      <c r="E151" s="27"/>
      <c r="F151" s="26"/>
    </row>
    <row r="152" spans="1:6" x14ac:dyDescent="0.35">
      <c r="A152" s="25"/>
      <c r="B152" s="25"/>
      <c r="C152" s="26"/>
      <c r="D152" s="27"/>
      <c r="E152" s="27"/>
      <c r="F152" s="26"/>
    </row>
    <row r="153" spans="1:6" x14ac:dyDescent="0.35">
      <c r="A153" s="25"/>
      <c r="B153" s="25"/>
      <c r="C153" s="26"/>
      <c r="D153" s="27"/>
      <c r="E153" s="27"/>
      <c r="F153" s="26"/>
    </row>
    <row r="154" spans="1:6" x14ac:dyDescent="0.35">
      <c r="A154" s="25"/>
      <c r="B154" s="25"/>
      <c r="C154" s="26"/>
      <c r="D154" s="27"/>
      <c r="E154" s="27"/>
      <c r="F154" s="26"/>
    </row>
    <row r="155" spans="1:6" x14ac:dyDescent="0.35">
      <c r="A155" s="25"/>
      <c r="B155" s="25"/>
      <c r="C155" s="26"/>
      <c r="D155" s="27"/>
      <c r="E155" s="27"/>
      <c r="F155" s="26"/>
    </row>
    <row r="156" spans="1:6" x14ac:dyDescent="0.35">
      <c r="A156" s="25"/>
      <c r="B156" s="25"/>
      <c r="C156" s="26"/>
      <c r="D156" s="27"/>
      <c r="E156" s="27"/>
      <c r="F156" s="26"/>
    </row>
    <row r="157" spans="1:6" x14ac:dyDescent="0.35">
      <c r="A157" s="25"/>
      <c r="B157" s="25"/>
      <c r="C157" s="26"/>
      <c r="D157" s="27"/>
      <c r="E157" s="27"/>
      <c r="F157" s="26"/>
    </row>
    <row r="158" spans="1:6" x14ac:dyDescent="0.35">
      <c r="A158" s="25"/>
      <c r="B158" s="25"/>
      <c r="C158" s="26"/>
      <c r="D158" s="27"/>
      <c r="E158" s="27"/>
      <c r="F158" s="26"/>
    </row>
    <row r="159" spans="1:6" x14ac:dyDescent="0.35">
      <c r="A159" s="25"/>
      <c r="B159" s="25"/>
      <c r="C159" s="26"/>
      <c r="D159" s="27"/>
      <c r="E159" s="27"/>
      <c r="F159" s="26"/>
    </row>
    <row r="160" spans="1:6" x14ac:dyDescent="0.35">
      <c r="A160" s="25"/>
      <c r="B160" s="25"/>
      <c r="C160" s="26"/>
      <c r="D160" s="27"/>
      <c r="E160" s="27"/>
      <c r="F160" s="26"/>
    </row>
    <row r="161" spans="1:6" x14ac:dyDescent="0.35">
      <c r="A161" s="25"/>
      <c r="B161" s="25"/>
      <c r="C161" s="26"/>
      <c r="D161" s="27"/>
      <c r="E161" s="27"/>
      <c r="F161" s="26"/>
    </row>
    <row r="162" spans="1:6" x14ac:dyDescent="0.35">
      <c r="A162" s="25"/>
      <c r="B162" s="25"/>
      <c r="C162" s="26"/>
      <c r="D162" s="27"/>
      <c r="E162" s="27"/>
      <c r="F162" s="26"/>
    </row>
    <row r="163" spans="1:6" x14ac:dyDescent="0.35">
      <c r="A163" s="25"/>
      <c r="B163" s="25"/>
      <c r="C163" s="26"/>
      <c r="D163" s="27"/>
      <c r="E163" s="27"/>
      <c r="F163" s="26"/>
    </row>
    <row r="164" spans="1:6" x14ac:dyDescent="0.35">
      <c r="A164" s="25"/>
      <c r="B164" s="25"/>
      <c r="C164" s="26"/>
      <c r="D164" s="27"/>
      <c r="E164" s="27"/>
      <c r="F164" s="26"/>
    </row>
    <row r="165" spans="1:6" x14ac:dyDescent="0.35">
      <c r="A165" s="25"/>
      <c r="B165" s="25"/>
      <c r="C165" s="26"/>
      <c r="D165" s="27"/>
      <c r="E165" s="27"/>
      <c r="F165" s="26"/>
    </row>
    <row r="166" spans="1:6" x14ac:dyDescent="0.35">
      <c r="A166" s="25"/>
      <c r="B166" s="25"/>
      <c r="C166" s="26"/>
      <c r="D166" s="27"/>
      <c r="E166" s="27"/>
      <c r="F166" s="26"/>
    </row>
    <row r="167" spans="1:6" x14ac:dyDescent="0.35">
      <c r="A167" s="25"/>
      <c r="B167" s="25"/>
      <c r="C167" s="26"/>
      <c r="D167" s="27"/>
      <c r="E167" s="27"/>
      <c r="F167" s="26"/>
    </row>
    <row r="168" spans="1:6" x14ac:dyDescent="0.35">
      <c r="A168" s="25"/>
      <c r="B168" s="25"/>
      <c r="C168" s="26"/>
      <c r="D168" s="27"/>
      <c r="E168" s="27"/>
      <c r="F168" s="26"/>
    </row>
    <row r="169" spans="1:6" x14ac:dyDescent="0.35">
      <c r="A169" s="25"/>
      <c r="B169" s="25"/>
      <c r="C169" s="26"/>
      <c r="D169" s="27"/>
      <c r="E169" s="27"/>
      <c r="F169" s="26"/>
    </row>
    <row r="170" spans="1:6" x14ac:dyDescent="0.35">
      <c r="A170" s="25"/>
      <c r="B170" s="25"/>
      <c r="C170" s="26"/>
      <c r="D170" s="27"/>
      <c r="E170" s="27"/>
      <c r="F170" s="26"/>
    </row>
    <row r="171" spans="1:6" x14ac:dyDescent="0.35">
      <c r="A171" s="25"/>
      <c r="B171" s="25"/>
      <c r="C171" s="26"/>
      <c r="D171" s="27"/>
      <c r="E171" s="27"/>
      <c r="F171" s="26"/>
    </row>
    <row r="172" spans="1:6" x14ac:dyDescent="0.35">
      <c r="A172" s="25"/>
      <c r="B172" s="25"/>
      <c r="C172" s="26"/>
      <c r="D172" s="27"/>
      <c r="E172" s="27"/>
      <c r="F172" s="26"/>
    </row>
    <row r="173" spans="1:6" x14ac:dyDescent="0.35">
      <c r="A173" s="25"/>
      <c r="B173" s="25"/>
      <c r="C173" s="26"/>
      <c r="D173" s="27"/>
      <c r="E173" s="27"/>
      <c r="F173" s="26"/>
    </row>
    <row r="174" spans="1:6" x14ac:dyDescent="0.35">
      <c r="A174" s="25"/>
      <c r="B174" s="25"/>
      <c r="C174" s="26"/>
      <c r="D174" s="27"/>
      <c r="E174" s="27"/>
      <c r="F174" s="26"/>
    </row>
    <row r="175" spans="1:6" x14ac:dyDescent="0.35">
      <c r="A175" s="25"/>
      <c r="B175" s="25"/>
      <c r="C175" s="26"/>
      <c r="D175" s="27"/>
      <c r="E175" s="27"/>
      <c r="F175" s="26"/>
    </row>
    <row r="176" spans="1:6" x14ac:dyDescent="0.35">
      <c r="A176" s="17"/>
      <c r="B176" s="17"/>
      <c r="C176" s="17"/>
      <c r="D176" s="16"/>
      <c r="E176" s="16"/>
      <c r="F176" s="16"/>
    </row>
    <row r="177" spans="1:6" x14ac:dyDescent="0.35">
      <c r="A177" s="17"/>
      <c r="B177" s="17"/>
      <c r="C177" s="17"/>
      <c r="D177" s="16"/>
      <c r="E177" s="16"/>
      <c r="F177" s="16"/>
    </row>
    <row r="178" spans="1:6" x14ac:dyDescent="0.35">
      <c r="A178" s="17"/>
      <c r="B178" s="17"/>
      <c r="C178" s="17"/>
      <c r="D178" s="16"/>
      <c r="E178" s="16"/>
      <c r="F178" s="16"/>
    </row>
    <row r="179" spans="1:6" x14ac:dyDescent="0.35">
      <c r="A179" s="17"/>
      <c r="B179" s="17"/>
      <c r="C179" s="17"/>
      <c r="D179" s="16"/>
      <c r="E179" s="16"/>
      <c r="F179" s="16"/>
    </row>
    <row r="180" spans="1:6" x14ac:dyDescent="0.35">
      <c r="A180" s="17"/>
      <c r="B180" s="17"/>
      <c r="C180" s="17"/>
      <c r="D180" s="16"/>
      <c r="E180" s="16"/>
      <c r="F180" s="16"/>
    </row>
    <row r="181" spans="1:6" x14ac:dyDescent="0.35">
      <c r="A181" s="17"/>
      <c r="B181" s="17"/>
      <c r="C181" s="17"/>
      <c r="D181" s="16"/>
      <c r="E181" s="16"/>
      <c r="F181" s="16"/>
    </row>
    <row r="182" spans="1:6" x14ac:dyDescent="0.35">
      <c r="A182" s="17"/>
      <c r="B182" s="17"/>
      <c r="C182" s="17"/>
      <c r="D182" s="16"/>
      <c r="E182" s="16"/>
      <c r="F182" s="16"/>
    </row>
    <row r="183" spans="1:6" x14ac:dyDescent="0.35">
      <c r="A183" s="17"/>
      <c r="B183" s="17"/>
      <c r="C183" s="17"/>
      <c r="D183" s="16"/>
      <c r="E183" s="16"/>
      <c r="F183" s="16"/>
    </row>
    <row r="184" spans="1:6" x14ac:dyDescent="0.35">
      <c r="A184" s="17"/>
      <c r="B184" s="17"/>
      <c r="C184" s="17"/>
      <c r="D184" s="16"/>
      <c r="E184" s="16"/>
      <c r="F184" s="16"/>
    </row>
    <row r="185" spans="1:6" x14ac:dyDescent="0.35">
      <c r="A185" s="17"/>
      <c r="B185" s="17"/>
      <c r="C185" s="17"/>
      <c r="D185" s="16"/>
      <c r="E185" s="16"/>
      <c r="F185" s="16"/>
    </row>
    <row r="186" spans="1:6" x14ac:dyDescent="0.35">
      <c r="A186" s="17"/>
      <c r="B186" s="17"/>
      <c r="C186" s="17"/>
      <c r="D186" s="16"/>
      <c r="E186" s="16"/>
      <c r="F186" s="16"/>
    </row>
    <row r="187" spans="1:6" x14ac:dyDescent="0.35">
      <c r="A187" s="21"/>
      <c r="B187" s="21"/>
      <c r="C187" s="21"/>
      <c r="D187" s="22"/>
      <c r="E187" s="22"/>
      <c r="F187" s="21"/>
    </row>
    <row r="188" spans="1:6" x14ac:dyDescent="0.35">
      <c r="A188" s="21"/>
      <c r="B188" s="21"/>
      <c r="C188" s="21"/>
      <c r="D188" s="22"/>
      <c r="E188" s="22"/>
      <c r="F188" s="21"/>
    </row>
    <row r="189" spans="1:6" x14ac:dyDescent="0.35">
      <c r="A189" s="21"/>
      <c r="B189" s="21"/>
      <c r="C189" s="21"/>
      <c r="D189" s="22"/>
      <c r="E189" s="22"/>
      <c r="F189" s="21"/>
    </row>
    <row r="190" spans="1:6" x14ac:dyDescent="0.35">
      <c r="A190" s="21"/>
      <c r="B190" s="21"/>
      <c r="C190" s="21"/>
      <c r="D190" s="22"/>
      <c r="E190" s="22"/>
      <c r="F190" s="21"/>
    </row>
    <row r="191" spans="1:6" x14ac:dyDescent="0.35">
      <c r="A191" s="21"/>
      <c r="B191" s="21"/>
      <c r="C191" s="21"/>
      <c r="D191" s="22"/>
      <c r="E191" s="22"/>
      <c r="F191" s="21"/>
    </row>
    <row r="192" spans="1:6" x14ac:dyDescent="0.35">
      <c r="A192" s="21"/>
      <c r="B192" s="21"/>
      <c r="C192" s="21"/>
      <c r="D192" s="22"/>
      <c r="E192" s="22"/>
      <c r="F192" s="21"/>
    </row>
    <row r="193" spans="1:6" x14ac:dyDescent="0.35">
      <c r="A193" s="21"/>
      <c r="B193" s="21"/>
      <c r="C193" s="21"/>
      <c r="D193" s="22"/>
      <c r="E193" s="22"/>
      <c r="F193" s="21"/>
    </row>
    <row r="194" spans="1:6" x14ac:dyDescent="0.35">
      <c r="A194" s="21"/>
      <c r="B194" s="21"/>
      <c r="C194" s="21"/>
      <c r="D194" s="22"/>
      <c r="E194" s="22"/>
      <c r="F194" s="21"/>
    </row>
    <row r="195" spans="1:6" x14ac:dyDescent="0.35">
      <c r="A195" s="21"/>
      <c r="B195" s="21"/>
      <c r="C195" s="21"/>
      <c r="D195" s="22"/>
      <c r="E195" s="22"/>
      <c r="F195" s="21"/>
    </row>
    <row r="196" spans="1:6" x14ac:dyDescent="0.35">
      <c r="A196" s="21"/>
      <c r="B196" s="21"/>
      <c r="C196" s="21"/>
      <c r="D196" s="22"/>
      <c r="E196" s="22"/>
      <c r="F196" s="21"/>
    </row>
    <row r="197" spans="1:6" x14ac:dyDescent="0.35">
      <c r="A197" s="21"/>
      <c r="B197" s="21"/>
      <c r="C197" s="21"/>
      <c r="D197" s="22"/>
      <c r="E197" s="22"/>
      <c r="F197" s="21"/>
    </row>
    <row r="198" spans="1:6" x14ac:dyDescent="0.35">
      <c r="A198" s="21"/>
      <c r="B198" s="21"/>
      <c r="C198" s="21"/>
      <c r="D198" s="22"/>
      <c r="E198" s="22"/>
      <c r="F198" s="21"/>
    </row>
    <row r="199" spans="1:6" x14ac:dyDescent="0.35">
      <c r="A199" s="21"/>
      <c r="B199" s="21"/>
      <c r="C199" s="21"/>
      <c r="D199" s="22"/>
      <c r="E199" s="22"/>
      <c r="F199" s="21"/>
    </row>
    <row r="200" spans="1:6" x14ac:dyDescent="0.35">
      <c r="A200" s="21"/>
      <c r="B200" s="21"/>
      <c r="C200" s="21"/>
      <c r="D200" s="22"/>
      <c r="E200" s="22"/>
      <c r="F200" s="21"/>
    </row>
    <row r="201" spans="1:6" x14ac:dyDescent="0.35">
      <c r="A201" s="21"/>
      <c r="B201" s="21"/>
      <c r="C201" s="21"/>
      <c r="D201" s="22"/>
      <c r="E201" s="22"/>
      <c r="F201" s="21"/>
    </row>
    <row r="202" spans="1:6" x14ac:dyDescent="0.35">
      <c r="A202" s="21"/>
      <c r="B202" s="21"/>
      <c r="C202" s="21"/>
      <c r="D202" s="22"/>
      <c r="E202" s="22"/>
      <c r="F202" s="21"/>
    </row>
    <row r="203" spans="1:6" x14ac:dyDescent="0.35">
      <c r="A203" s="21"/>
      <c r="B203" s="21"/>
      <c r="C203" s="21"/>
      <c r="D203" s="22"/>
      <c r="E203" s="22"/>
      <c r="F203" s="21"/>
    </row>
    <row r="204" spans="1:6" x14ac:dyDescent="0.35">
      <c r="A204" s="21"/>
      <c r="B204" s="21"/>
      <c r="C204" s="21"/>
      <c r="D204" s="22"/>
      <c r="E204" s="22"/>
      <c r="F204" s="21"/>
    </row>
    <row r="205" spans="1:6" x14ac:dyDescent="0.35">
      <c r="A205" s="21"/>
      <c r="B205" s="21"/>
      <c r="C205" s="21"/>
      <c r="D205" s="22"/>
      <c r="E205" s="22"/>
      <c r="F205" s="21"/>
    </row>
    <row r="206" spans="1:6" x14ac:dyDescent="0.35">
      <c r="A206" s="21"/>
      <c r="B206" s="21"/>
      <c r="C206" s="21"/>
      <c r="D206" s="22"/>
      <c r="E206" s="22"/>
      <c r="F206" s="21"/>
    </row>
    <row r="207" spans="1:6" x14ac:dyDescent="0.35">
      <c r="A207" s="21"/>
      <c r="B207" s="21"/>
      <c r="C207" s="21"/>
      <c r="D207" s="22"/>
      <c r="E207" s="22"/>
      <c r="F207" s="21"/>
    </row>
    <row r="208" spans="1:6" x14ac:dyDescent="0.35">
      <c r="A208" s="21"/>
      <c r="B208" s="21"/>
      <c r="C208" s="21"/>
      <c r="D208" s="22"/>
      <c r="E208" s="22"/>
      <c r="F208" s="21"/>
    </row>
    <row r="209" spans="1:6" x14ac:dyDescent="0.35">
      <c r="A209" s="21"/>
      <c r="B209" s="21"/>
      <c r="C209" s="21"/>
      <c r="D209" s="22"/>
      <c r="E209" s="22"/>
      <c r="F209" s="21"/>
    </row>
    <row r="210" spans="1:6" x14ac:dyDescent="0.35">
      <c r="A210" s="21"/>
      <c r="B210" s="21"/>
      <c r="C210" s="21"/>
      <c r="D210" s="22"/>
      <c r="E210" s="22"/>
      <c r="F210" s="21"/>
    </row>
    <row r="211" spans="1:6" x14ac:dyDescent="0.35">
      <c r="A211" s="21"/>
      <c r="B211" s="21"/>
      <c r="C211" s="21"/>
      <c r="D211" s="22"/>
      <c r="E211" s="22"/>
      <c r="F211" s="21"/>
    </row>
    <row r="212" spans="1:6" x14ac:dyDescent="0.35">
      <c r="A212" s="21"/>
      <c r="B212" s="21"/>
      <c r="C212" s="21"/>
      <c r="D212" s="22"/>
      <c r="E212" s="22"/>
      <c r="F212" s="21"/>
    </row>
    <row r="213" spans="1:6" x14ac:dyDescent="0.35">
      <c r="A213" s="21"/>
      <c r="B213" s="21"/>
      <c r="C213" s="21"/>
      <c r="D213" s="22"/>
      <c r="E213" s="22"/>
      <c r="F213" s="21"/>
    </row>
    <row r="214" spans="1:6" x14ac:dyDescent="0.35">
      <c r="A214" s="21"/>
      <c r="B214" s="21"/>
      <c r="C214" s="21"/>
      <c r="D214" s="22"/>
      <c r="E214" s="22"/>
      <c r="F214" s="21"/>
    </row>
    <row r="215" spans="1:6" x14ac:dyDescent="0.35">
      <c r="A215" s="21"/>
      <c r="B215" s="21"/>
      <c r="C215" s="21"/>
      <c r="D215" s="22"/>
      <c r="E215" s="22"/>
      <c r="F215" s="21"/>
    </row>
    <row r="216" spans="1:6" x14ac:dyDescent="0.35">
      <c r="A216" s="21"/>
      <c r="B216" s="21"/>
      <c r="C216" s="21"/>
      <c r="D216" s="22"/>
      <c r="E216" s="22"/>
      <c r="F216" s="21"/>
    </row>
    <row r="217" spans="1:6" x14ac:dyDescent="0.35">
      <c r="A217" s="21"/>
      <c r="B217" s="21"/>
      <c r="C217" s="21"/>
      <c r="D217" s="22"/>
      <c r="E217" s="22"/>
      <c r="F217" s="21"/>
    </row>
    <row r="218" spans="1:6" x14ac:dyDescent="0.35">
      <c r="A218" s="21"/>
      <c r="B218" s="21"/>
      <c r="C218" s="21"/>
      <c r="D218" s="22"/>
      <c r="E218" s="22"/>
      <c r="F218" s="21"/>
    </row>
    <row r="219" spans="1:6" x14ac:dyDescent="0.35">
      <c r="A219" s="21"/>
      <c r="B219" s="21"/>
      <c r="C219" s="21"/>
      <c r="D219" s="22"/>
      <c r="E219" s="22"/>
      <c r="F219" s="21"/>
    </row>
    <row r="220" spans="1:6" x14ac:dyDescent="0.35">
      <c r="A220" s="21"/>
      <c r="B220" s="21"/>
      <c r="C220" s="21"/>
      <c r="D220" s="22"/>
      <c r="E220" s="22"/>
      <c r="F220" s="21"/>
    </row>
    <row r="221" spans="1:6" x14ac:dyDescent="0.35">
      <c r="A221" s="21"/>
      <c r="B221" s="21"/>
      <c r="C221" s="21"/>
      <c r="D221" s="22"/>
      <c r="E221" s="22"/>
      <c r="F221" s="21"/>
    </row>
    <row r="222" spans="1:6" x14ac:dyDescent="0.35">
      <c r="A222" s="21"/>
      <c r="B222" s="21"/>
      <c r="C222" s="21"/>
      <c r="D222" s="22"/>
      <c r="E222" s="22"/>
      <c r="F222" s="21"/>
    </row>
    <row r="223" spans="1:6" x14ac:dyDescent="0.35">
      <c r="A223" s="21"/>
      <c r="B223" s="21"/>
      <c r="C223" s="21"/>
      <c r="D223" s="22"/>
      <c r="E223" s="22"/>
      <c r="F223" s="21"/>
    </row>
    <row r="224" spans="1:6" x14ac:dyDescent="0.35">
      <c r="A224" s="21"/>
      <c r="B224" s="21"/>
      <c r="C224" s="21"/>
      <c r="D224" s="22"/>
      <c r="E224" s="22"/>
      <c r="F224" s="21"/>
    </row>
    <row r="225" spans="1:6" x14ac:dyDescent="0.35">
      <c r="A225" s="21"/>
      <c r="B225" s="21"/>
      <c r="C225" s="21"/>
      <c r="D225" s="22"/>
      <c r="E225" s="22"/>
      <c r="F225" s="21"/>
    </row>
    <row r="226" spans="1:6" x14ac:dyDescent="0.35">
      <c r="A226" s="21"/>
      <c r="B226" s="21"/>
      <c r="C226" s="21"/>
      <c r="D226" s="22"/>
      <c r="E226" s="22"/>
      <c r="F226" s="21"/>
    </row>
    <row r="227" spans="1:6" x14ac:dyDescent="0.35">
      <c r="A227" s="21"/>
      <c r="B227" s="21"/>
      <c r="C227" s="21"/>
      <c r="D227" s="22"/>
      <c r="E227" s="22"/>
      <c r="F227" s="21"/>
    </row>
  </sheetData>
  <autoFilter ref="A2:F190" xr:uid="{296437B8-68A1-4AA4-99A5-E75D04C904AB}">
    <sortState xmlns:xlrd2="http://schemas.microsoft.com/office/spreadsheetml/2017/richdata2" ref="A3:F190">
      <sortCondition ref="A2:A190"/>
    </sortState>
  </autoFilter>
  <mergeCells count="1">
    <mergeCell ref="A1:F1"/>
  </mergeCells>
  <conditionalFormatting sqref="A3:F175">
    <cfRule type="expression" dxfId="4" priority="1">
      <formula>$J3="Over 12 hours"</formula>
    </cfRule>
  </conditionalFormatting>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30846-AFD7-428B-8426-2D30A435D885}">
  <sheetPr>
    <tabColor theme="9"/>
  </sheetPr>
  <dimension ref="A1:K298"/>
  <sheetViews>
    <sheetView zoomScaleNormal="100" workbookViewId="0">
      <pane ySplit="1" topLeftCell="A2" activePane="bottomLeft" state="frozenSplit"/>
      <selection sqref="A1:F1"/>
      <selection pane="bottomLeft" activeCell="C5" sqref="C5"/>
    </sheetView>
  </sheetViews>
  <sheetFormatPr defaultColWidth="0" defaultRowHeight="15.5" x14ac:dyDescent="0.35"/>
  <cols>
    <col min="1" max="2" width="13.23046875" style="3" customWidth="1"/>
    <col min="3" max="3" width="62.53515625" style="3" customWidth="1"/>
    <col min="4" max="4" width="16.4609375" style="3" customWidth="1"/>
    <col min="5" max="5" width="16" style="13" customWidth="1"/>
    <col min="6" max="6" width="47" style="13" customWidth="1"/>
    <col min="7" max="11" width="0" hidden="1" customWidth="1"/>
    <col min="12" max="16384" width="8.765625" hidden="1"/>
  </cols>
  <sheetData>
    <row r="1" spans="1:6" ht="32.5" x14ac:dyDescent="0.35">
      <c r="A1" s="35" t="str">
        <f>"Daily closure report: "&amp;'Front page'!A9</f>
        <v>Daily closure report: Monday, 28 September</v>
      </c>
      <c r="B1" s="35"/>
      <c r="C1" s="35"/>
      <c r="D1" s="35"/>
      <c r="E1" s="35"/>
      <c r="F1" s="35"/>
    </row>
    <row r="2" spans="1:6" s="5" customFormat="1" ht="28" x14ac:dyDescent="0.35">
      <c r="A2" s="12" t="s">
        <v>9</v>
      </c>
      <c r="B2" s="12" t="s">
        <v>1</v>
      </c>
      <c r="C2" s="12" t="s">
        <v>0</v>
      </c>
      <c r="D2" s="11" t="s">
        <v>11</v>
      </c>
      <c r="E2" s="11" t="s">
        <v>12</v>
      </c>
      <c r="F2" s="12" t="s">
        <v>10</v>
      </c>
    </row>
    <row r="3" spans="1:6" s="5" customFormat="1" ht="62" x14ac:dyDescent="0.35">
      <c r="A3" s="25" t="s">
        <v>38</v>
      </c>
      <c r="B3" s="25" t="s">
        <v>6</v>
      </c>
      <c r="C3" s="26" t="s">
        <v>39</v>
      </c>
      <c r="D3" s="27">
        <v>46293.833333333299</v>
      </c>
      <c r="E3" s="27">
        <v>46294.208333333299</v>
      </c>
      <c r="F3" s="26" t="s">
        <v>40</v>
      </c>
    </row>
    <row r="4" spans="1:6" s="5" customFormat="1" ht="62" x14ac:dyDescent="0.35">
      <c r="A4" s="25" t="s">
        <v>38</v>
      </c>
      <c r="B4" s="25" t="s">
        <v>24</v>
      </c>
      <c r="C4" s="26" t="s">
        <v>49</v>
      </c>
      <c r="D4" s="27">
        <v>45847.208333333299</v>
      </c>
      <c r="E4" s="27">
        <v>46507.999305555597</v>
      </c>
      <c r="F4" s="26" t="s">
        <v>50</v>
      </c>
    </row>
    <row r="5" spans="1:6" s="5" customFormat="1" ht="77.5" x14ac:dyDescent="0.35">
      <c r="A5" s="25" t="s">
        <v>38</v>
      </c>
      <c r="B5" s="25" t="s">
        <v>2</v>
      </c>
      <c r="C5" s="26" t="s">
        <v>54</v>
      </c>
      <c r="D5" s="27">
        <v>46293.875</v>
      </c>
      <c r="E5" s="27">
        <v>46294.208333333299</v>
      </c>
      <c r="F5" s="26" t="s">
        <v>53</v>
      </c>
    </row>
    <row r="6" spans="1:6" s="5" customFormat="1" ht="77.5" x14ac:dyDescent="0.35">
      <c r="A6" s="25" t="s">
        <v>38</v>
      </c>
      <c r="B6" s="25" t="s">
        <v>2</v>
      </c>
      <c r="C6" s="26" t="s">
        <v>96</v>
      </c>
      <c r="D6" s="27">
        <v>46293.541666666701</v>
      </c>
      <c r="E6" s="27">
        <v>46295.25</v>
      </c>
      <c r="F6" s="26" t="s">
        <v>97</v>
      </c>
    </row>
    <row r="7" spans="1:6" s="5" customFormat="1" ht="46.5" x14ac:dyDescent="0.35">
      <c r="A7" s="25" t="s">
        <v>38</v>
      </c>
      <c r="B7" s="25" t="s">
        <v>2</v>
      </c>
      <c r="C7" s="26" t="s">
        <v>98</v>
      </c>
      <c r="D7" s="27">
        <v>46293.833333333299</v>
      </c>
      <c r="E7" s="27">
        <v>46294.25</v>
      </c>
      <c r="F7" s="26" t="s">
        <v>97</v>
      </c>
    </row>
    <row r="8" spans="1:6" s="5" customFormat="1" ht="62" x14ac:dyDescent="0.35">
      <c r="A8" s="25" t="s">
        <v>38</v>
      </c>
      <c r="B8" s="25" t="s">
        <v>2</v>
      </c>
      <c r="C8" s="26" t="s">
        <v>99</v>
      </c>
      <c r="D8" s="27">
        <v>46293.833333333299</v>
      </c>
      <c r="E8" s="27">
        <v>46294.25</v>
      </c>
      <c r="F8" s="26" t="s">
        <v>97</v>
      </c>
    </row>
    <row r="9" spans="1:6" s="5" customFormat="1" ht="46.5" x14ac:dyDescent="0.35">
      <c r="A9" s="25" t="s">
        <v>38</v>
      </c>
      <c r="B9" s="25" t="s">
        <v>2</v>
      </c>
      <c r="C9" s="26" t="s">
        <v>100</v>
      </c>
      <c r="D9" s="27">
        <v>46293.833333333299</v>
      </c>
      <c r="E9" s="27">
        <v>46294.25</v>
      </c>
      <c r="F9" s="26" t="s">
        <v>97</v>
      </c>
    </row>
    <row r="10" spans="1:6" s="5" customFormat="1" ht="62" x14ac:dyDescent="0.35">
      <c r="A10" s="25" t="s">
        <v>38</v>
      </c>
      <c r="B10" s="25" t="s">
        <v>2</v>
      </c>
      <c r="C10" s="26" t="s">
        <v>101</v>
      </c>
      <c r="D10" s="27">
        <v>46293.833333333299</v>
      </c>
      <c r="E10" s="27">
        <v>46294.25</v>
      </c>
      <c r="F10" s="26" t="s">
        <v>97</v>
      </c>
    </row>
    <row r="11" spans="1:6" s="5" customFormat="1" ht="46.5" x14ac:dyDescent="0.35">
      <c r="A11" s="25" t="s">
        <v>38</v>
      </c>
      <c r="B11" s="25" t="s">
        <v>2</v>
      </c>
      <c r="C11" s="26" t="s">
        <v>102</v>
      </c>
      <c r="D11" s="27">
        <v>46293.833333333299</v>
      </c>
      <c r="E11" s="27">
        <v>46294.25</v>
      </c>
      <c r="F11" s="26" t="s">
        <v>97</v>
      </c>
    </row>
    <row r="12" spans="1:6" s="5" customFormat="1" ht="93" x14ac:dyDescent="0.35">
      <c r="A12" s="25" t="s">
        <v>38</v>
      </c>
      <c r="B12" s="25" t="s">
        <v>2</v>
      </c>
      <c r="C12" s="26" t="s">
        <v>103</v>
      </c>
      <c r="D12" s="27">
        <v>46293.833333333299</v>
      </c>
      <c r="E12" s="27">
        <v>46294.25</v>
      </c>
      <c r="F12" s="26" t="s">
        <v>97</v>
      </c>
    </row>
    <row r="13" spans="1:6" s="5" customFormat="1" ht="93" x14ac:dyDescent="0.35">
      <c r="A13" s="25" t="s">
        <v>38</v>
      </c>
      <c r="B13" s="25" t="s">
        <v>2</v>
      </c>
      <c r="C13" s="26" t="s">
        <v>104</v>
      </c>
      <c r="D13" s="27">
        <v>46293.833333333299</v>
      </c>
      <c r="E13" s="27">
        <v>46294.25</v>
      </c>
      <c r="F13" s="26" t="s">
        <v>97</v>
      </c>
    </row>
    <row r="14" spans="1:6" s="5" customFormat="1" ht="93" x14ac:dyDescent="0.35">
      <c r="A14" s="25" t="s">
        <v>38</v>
      </c>
      <c r="B14" s="25" t="s">
        <v>2</v>
      </c>
      <c r="C14" s="26" t="s">
        <v>105</v>
      </c>
      <c r="D14" s="27">
        <v>46293.833333333299</v>
      </c>
      <c r="E14" s="27">
        <v>46294.25</v>
      </c>
      <c r="F14" s="26" t="s">
        <v>97</v>
      </c>
    </row>
    <row r="15" spans="1:6" s="5" customFormat="1" ht="93" x14ac:dyDescent="0.35">
      <c r="A15" s="25" t="s">
        <v>38</v>
      </c>
      <c r="B15" s="25" t="s">
        <v>2</v>
      </c>
      <c r="C15" s="26" t="s">
        <v>106</v>
      </c>
      <c r="D15" s="27">
        <v>46293.833333333299</v>
      </c>
      <c r="E15" s="27">
        <v>46294.25</v>
      </c>
      <c r="F15" s="26" t="s">
        <v>97</v>
      </c>
    </row>
    <row r="16" spans="1:6" s="5" customFormat="1" ht="93" x14ac:dyDescent="0.35">
      <c r="A16" s="25" t="s">
        <v>38</v>
      </c>
      <c r="B16" s="25" t="s">
        <v>2</v>
      </c>
      <c r="C16" s="26" t="s">
        <v>107</v>
      </c>
      <c r="D16" s="27">
        <v>46293.833333333299</v>
      </c>
      <c r="E16" s="27">
        <v>46294.25</v>
      </c>
      <c r="F16" s="26" t="s">
        <v>97</v>
      </c>
    </row>
    <row r="17" spans="1:6" s="5" customFormat="1" ht="93" x14ac:dyDescent="0.35">
      <c r="A17" s="25" t="s">
        <v>38</v>
      </c>
      <c r="B17" s="25" t="s">
        <v>2</v>
      </c>
      <c r="C17" s="26" t="s">
        <v>108</v>
      </c>
      <c r="D17" s="27">
        <v>46293.833333333299</v>
      </c>
      <c r="E17" s="27">
        <v>46294.25</v>
      </c>
      <c r="F17" s="26" t="s">
        <v>97</v>
      </c>
    </row>
    <row r="18" spans="1:6" s="5" customFormat="1" ht="93" x14ac:dyDescent="0.35">
      <c r="A18" s="25" t="s">
        <v>38</v>
      </c>
      <c r="B18" s="25" t="s">
        <v>2</v>
      </c>
      <c r="C18" s="26" t="s">
        <v>109</v>
      </c>
      <c r="D18" s="27">
        <v>46293.833333333299</v>
      </c>
      <c r="E18" s="27">
        <v>46294.25</v>
      </c>
      <c r="F18" s="26" t="s">
        <v>97</v>
      </c>
    </row>
    <row r="19" spans="1:6" s="5" customFormat="1" ht="93" x14ac:dyDescent="0.35">
      <c r="A19" s="25" t="s">
        <v>38</v>
      </c>
      <c r="B19" s="25" t="s">
        <v>2</v>
      </c>
      <c r="C19" s="26" t="s">
        <v>110</v>
      </c>
      <c r="D19" s="27">
        <v>46293.833333333299</v>
      </c>
      <c r="E19" s="27">
        <v>46294.25</v>
      </c>
      <c r="F19" s="26" t="s">
        <v>97</v>
      </c>
    </row>
    <row r="20" spans="1:6" s="5" customFormat="1" ht="93" x14ac:dyDescent="0.35">
      <c r="A20" s="25" t="s">
        <v>38</v>
      </c>
      <c r="B20" s="25" t="s">
        <v>2</v>
      </c>
      <c r="C20" s="26" t="s">
        <v>111</v>
      </c>
      <c r="D20" s="27">
        <v>46293.833333333299</v>
      </c>
      <c r="E20" s="27">
        <v>46294.25</v>
      </c>
      <c r="F20" s="26" t="s">
        <v>97</v>
      </c>
    </row>
    <row r="21" spans="1:6" s="5" customFormat="1" ht="93" x14ac:dyDescent="0.35">
      <c r="A21" s="25" t="s">
        <v>38</v>
      </c>
      <c r="B21" s="25" t="s">
        <v>2</v>
      </c>
      <c r="C21" s="26" t="s">
        <v>112</v>
      </c>
      <c r="D21" s="27">
        <v>46293.833333333299</v>
      </c>
      <c r="E21" s="27">
        <v>46294.25</v>
      </c>
      <c r="F21" s="26" t="s">
        <v>97</v>
      </c>
    </row>
    <row r="22" spans="1:6" s="5" customFormat="1" ht="93" x14ac:dyDescent="0.35">
      <c r="A22" s="25" t="s">
        <v>38</v>
      </c>
      <c r="B22" s="25" t="s">
        <v>2</v>
      </c>
      <c r="C22" s="26" t="s">
        <v>113</v>
      </c>
      <c r="D22" s="27">
        <v>46293.833333333299</v>
      </c>
      <c r="E22" s="27">
        <v>46294.25</v>
      </c>
      <c r="F22" s="26" t="s">
        <v>97</v>
      </c>
    </row>
    <row r="23" spans="1:6" s="5" customFormat="1" ht="93" x14ac:dyDescent="0.35">
      <c r="A23" s="25" t="s">
        <v>38</v>
      </c>
      <c r="B23" s="25" t="s">
        <v>2</v>
      </c>
      <c r="C23" s="26" t="s">
        <v>114</v>
      </c>
      <c r="D23" s="27">
        <v>46293.833333333299</v>
      </c>
      <c r="E23" s="27">
        <v>46294.25</v>
      </c>
      <c r="F23" s="26" t="s">
        <v>97</v>
      </c>
    </row>
    <row r="24" spans="1:6" s="5" customFormat="1" ht="93" x14ac:dyDescent="0.35">
      <c r="A24" s="25" t="s">
        <v>38</v>
      </c>
      <c r="B24" s="25" t="s">
        <v>2</v>
      </c>
      <c r="C24" s="26" t="s">
        <v>115</v>
      </c>
      <c r="D24" s="27">
        <v>46293.833333333299</v>
      </c>
      <c r="E24" s="27">
        <v>46294.25</v>
      </c>
      <c r="F24" s="26" t="s">
        <v>97</v>
      </c>
    </row>
    <row r="25" spans="1:6" s="5" customFormat="1" ht="62" x14ac:dyDescent="0.35">
      <c r="A25" s="25" t="s">
        <v>38</v>
      </c>
      <c r="B25" s="25" t="s">
        <v>2</v>
      </c>
      <c r="C25" s="26" t="s">
        <v>208</v>
      </c>
      <c r="D25" s="27">
        <v>46293.833333333299</v>
      </c>
      <c r="E25" s="27">
        <v>46294.25</v>
      </c>
      <c r="F25" s="26" t="s">
        <v>209</v>
      </c>
    </row>
    <row r="26" spans="1:6" s="5" customFormat="1" ht="62" x14ac:dyDescent="0.35">
      <c r="A26" s="25" t="s">
        <v>38</v>
      </c>
      <c r="B26" s="25" t="s">
        <v>2</v>
      </c>
      <c r="C26" s="26" t="s">
        <v>210</v>
      </c>
      <c r="D26" s="27">
        <v>46293.833333333299</v>
      </c>
      <c r="E26" s="27">
        <v>46294.25</v>
      </c>
      <c r="F26" s="26" t="s">
        <v>209</v>
      </c>
    </row>
    <row r="27" spans="1:6" s="5" customFormat="1" ht="46.5" x14ac:dyDescent="0.35">
      <c r="A27" s="25" t="s">
        <v>62</v>
      </c>
      <c r="B27" s="25" t="s">
        <v>6</v>
      </c>
      <c r="C27" s="26" t="s">
        <v>576</v>
      </c>
      <c r="D27" s="27">
        <v>46293.875</v>
      </c>
      <c r="E27" s="27">
        <v>46294.208333333299</v>
      </c>
      <c r="F27" s="26" t="s">
        <v>577</v>
      </c>
    </row>
    <row r="28" spans="1:6" s="5" customFormat="1" ht="46.5" x14ac:dyDescent="0.35">
      <c r="A28" s="25" t="s">
        <v>62</v>
      </c>
      <c r="B28" s="25" t="s">
        <v>6</v>
      </c>
      <c r="C28" s="26" t="s">
        <v>164</v>
      </c>
      <c r="D28" s="27">
        <v>46293.875</v>
      </c>
      <c r="E28" s="27">
        <v>46294.25</v>
      </c>
      <c r="F28" s="26" t="s">
        <v>165</v>
      </c>
    </row>
    <row r="29" spans="1:6" s="5" customFormat="1" ht="62" x14ac:dyDescent="0.35">
      <c r="A29" s="25" t="s">
        <v>62</v>
      </c>
      <c r="B29" s="25" t="s">
        <v>6</v>
      </c>
      <c r="C29" s="26" t="s">
        <v>603</v>
      </c>
      <c r="D29" s="27">
        <v>46293.833333333299</v>
      </c>
      <c r="E29" s="27">
        <v>46294.208333333299</v>
      </c>
      <c r="F29" s="26" t="s">
        <v>604</v>
      </c>
    </row>
    <row r="30" spans="1:6" s="5" customFormat="1" ht="62" x14ac:dyDescent="0.35">
      <c r="A30" s="25" t="s">
        <v>62</v>
      </c>
      <c r="B30" s="25" t="s">
        <v>6</v>
      </c>
      <c r="C30" s="26" t="s">
        <v>605</v>
      </c>
      <c r="D30" s="27">
        <v>46293.833333333299</v>
      </c>
      <c r="E30" s="27">
        <v>46294.208333333299</v>
      </c>
      <c r="F30" s="26" t="s">
        <v>604</v>
      </c>
    </row>
    <row r="31" spans="1:6" s="5" customFormat="1" ht="46.5" x14ac:dyDescent="0.35">
      <c r="A31" s="25" t="s">
        <v>62</v>
      </c>
      <c r="B31" s="25" t="s">
        <v>2</v>
      </c>
      <c r="C31" s="26" t="s">
        <v>194</v>
      </c>
      <c r="D31" s="27">
        <v>46293.833333333299</v>
      </c>
      <c r="E31" s="27">
        <v>46294.25</v>
      </c>
      <c r="F31" s="26" t="s">
        <v>195</v>
      </c>
    </row>
    <row r="32" spans="1:6" s="5" customFormat="1" ht="46.5" x14ac:dyDescent="0.35">
      <c r="A32" s="25" t="s">
        <v>62</v>
      </c>
      <c r="B32" s="25" t="s">
        <v>24</v>
      </c>
      <c r="C32" s="26" t="s">
        <v>196</v>
      </c>
      <c r="D32" s="27">
        <v>46293.833333333299</v>
      </c>
      <c r="E32" s="27">
        <v>46294.25</v>
      </c>
      <c r="F32" s="26" t="s">
        <v>195</v>
      </c>
    </row>
    <row r="33" spans="1:6" s="5" customFormat="1" ht="46.5" x14ac:dyDescent="0.35">
      <c r="A33" s="25" t="s">
        <v>62</v>
      </c>
      <c r="B33" s="25" t="s">
        <v>6</v>
      </c>
      <c r="C33" s="26" t="s">
        <v>197</v>
      </c>
      <c r="D33" s="27">
        <v>46293.833333333299</v>
      </c>
      <c r="E33" s="27">
        <v>46294.25</v>
      </c>
      <c r="F33" s="26" t="s">
        <v>195</v>
      </c>
    </row>
    <row r="34" spans="1:6" s="5" customFormat="1" ht="46.5" x14ac:dyDescent="0.35">
      <c r="A34" s="25" t="s">
        <v>62</v>
      </c>
      <c r="B34" s="25" t="s">
        <v>24</v>
      </c>
      <c r="C34" s="26" t="s">
        <v>198</v>
      </c>
      <c r="D34" s="27">
        <v>46293.833333333299</v>
      </c>
      <c r="E34" s="27">
        <v>46294.25</v>
      </c>
      <c r="F34" s="26" t="s">
        <v>195</v>
      </c>
    </row>
    <row r="35" spans="1:6" s="5" customFormat="1" ht="46.5" x14ac:dyDescent="0.35">
      <c r="A35" s="25" t="s">
        <v>62</v>
      </c>
      <c r="B35" s="25" t="s">
        <v>2</v>
      </c>
      <c r="C35" s="26" t="s">
        <v>199</v>
      </c>
      <c r="D35" s="27">
        <v>46293.833333333299</v>
      </c>
      <c r="E35" s="27">
        <v>46294.25</v>
      </c>
      <c r="F35" s="26" t="s">
        <v>195</v>
      </c>
    </row>
    <row r="36" spans="1:6" s="5" customFormat="1" ht="46.5" x14ac:dyDescent="0.35">
      <c r="A36" s="25" t="s">
        <v>62</v>
      </c>
      <c r="B36" s="25" t="s">
        <v>6</v>
      </c>
      <c r="C36" s="26" t="s">
        <v>200</v>
      </c>
      <c r="D36" s="27">
        <v>46293.833333333299</v>
      </c>
      <c r="E36" s="27">
        <v>46294.25</v>
      </c>
      <c r="F36" s="26" t="s">
        <v>195</v>
      </c>
    </row>
    <row r="37" spans="1:6" s="5" customFormat="1" ht="62" x14ac:dyDescent="0.35">
      <c r="A37" s="25" t="s">
        <v>17</v>
      </c>
      <c r="B37" s="25" t="s">
        <v>6</v>
      </c>
      <c r="C37" s="26" t="s">
        <v>18</v>
      </c>
      <c r="D37" s="27">
        <v>46293.833333333299</v>
      </c>
      <c r="E37" s="27">
        <v>46294.25</v>
      </c>
      <c r="F37" s="26" t="s">
        <v>19</v>
      </c>
    </row>
    <row r="38" spans="1:6" s="5" customFormat="1" ht="62" x14ac:dyDescent="0.35">
      <c r="A38" s="25" t="s">
        <v>17</v>
      </c>
      <c r="B38" s="25" t="s">
        <v>6</v>
      </c>
      <c r="C38" s="26" t="s">
        <v>568</v>
      </c>
      <c r="D38" s="27">
        <v>46293.833333333299</v>
      </c>
      <c r="E38" s="27">
        <v>46294.25</v>
      </c>
      <c r="F38" s="26" t="s">
        <v>35</v>
      </c>
    </row>
    <row r="39" spans="1:6" s="5" customFormat="1" ht="62" x14ac:dyDescent="0.35">
      <c r="A39" s="25" t="s">
        <v>20</v>
      </c>
      <c r="B39" s="25" t="s">
        <v>2</v>
      </c>
      <c r="C39" s="26" t="s">
        <v>21</v>
      </c>
      <c r="D39" s="27">
        <v>46293.875</v>
      </c>
      <c r="E39" s="27">
        <v>46294.208333333299</v>
      </c>
      <c r="F39" s="26" t="s">
        <v>22</v>
      </c>
    </row>
    <row r="40" spans="1:6" s="5" customFormat="1" ht="46.5" x14ac:dyDescent="0.35">
      <c r="A40" s="25" t="s">
        <v>20</v>
      </c>
      <c r="B40" s="25" t="s">
        <v>6</v>
      </c>
      <c r="C40" s="26" t="s">
        <v>569</v>
      </c>
      <c r="D40" s="27">
        <v>46293.875</v>
      </c>
      <c r="E40" s="27">
        <v>46294.208333333299</v>
      </c>
      <c r="F40" s="26" t="s">
        <v>570</v>
      </c>
    </row>
    <row r="41" spans="1:6" s="5" customFormat="1" ht="46.5" x14ac:dyDescent="0.35">
      <c r="A41" s="25" t="s">
        <v>20</v>
      </c>
      <c r="B41" s="25" t="s">
        <v>6</v>
      </c>
      <c r="C41" s="26" t="s">
        <v>571</v>
      </c>
      <c r="D41" s="27">
        <v>46293.875</v>
      </c>
      <c r="E41" s="27">
        <v>46294.208333333299</v>
      </c>
      <c r="F41" s="26" t="s">
        <v>570</v>
      </c>
    </row>
    <row r="42" spans="1:6" s="5" customFormat="1" ht="62" x14ac:dyDescent="0.35">
      <c r="A42" s="25" t="s">
        <v>43</v>
      </c>
      <c r="B42" s="25" t="s">
        <v>4</v>
      </c>
      <c r="C42" s="26" t="s">
        <v>44</v>
      </c>
      <c r="D42" s="27">
        <v>46293.833333333299</v>
      </c>
      <c r="E42" s="27">
        <v>46294.25</v>
      </c>
      <c r="F42" s="26" t="s">
        <v>45</v>
      </c>
    </row>
    <row r="43" spans="1:6" s="5" customFormat="1" ht="93" x14ac:dyDescent="0.35">
      <c r="A43" s="25" t="s">
        <v>461</v>
      </c>
      <c r="B43" s="25" t="s">
        <v>5</v>
      </c>
      <c r="C43" s="26" t="s">
        <v>663</v>
      </c>
      <c r="D43" s="27">
        <v>46293.916666666701</v>
      </c>
      <c r="E43" s="27">
        <v>46294.229166666701</v>
      </c>
      <c r="F43" s="26" t="s">
        <v>664</v>
      </c>
    </row>
    <row r="44" spans="1:6" s="5" customFormat="1" ht="62" x14ac:dyDescent="0.35">
      <c r="A44" s="25" t="s">
        <v>578</v>
      </c>
      <c r="B44" s="25" t="s">
        <v>5</v>
      </c>
      <c r="C44" s="26" t="s">
        <v>579</v>
      </c>
      <c r="D44" s="27">
        <v>46293.833333333299</v>
      </c>
      <c r="E44" s="27">
        <v>46294.25</v>
      </c>
      <c r="F44" s="26" t="s">
        <v>580</v>
      </c>
    </row>
    <row r="45" spans="1:6" s="5" customFormat="1" ht="46.5" x14ac:dyDescent="0.35">
      <c r="A45" s="25" t="s">
        <v>29</v>
      </c>
      <c r="B45" s="25" t="s">
        <v>5</v>
      </c>
      <c r="C45" s="26" t="s">
        <v>30</v>
      </c>
      <c r="D45" s="27">
        <v>46293.833333333299</v>
      </c>
      <c r="E45" s="27">
        <v>46294.25</v>
      </c>
      <c r="F45" s="26" t="s">
        <v>31</v>
      </c>
    </row>
    <row r="46" spans="1:6" s="5" customFormat="1" ht="46.5" x14ac:dyDescent="0.35">
      <c r="A46" s="25" t="s">
        <v>29</v>
      </c>
      <c r="B46" s="25" t="s">
        <v>4</v>
      </c>
      <c r="C46" s="26" t="s">
        <v>32</v>
      </c>
      <c r="D46" s="27">
        <v>46293.833333333299</v>
      </c>
      <c r="E46" s="27">
        <v>46294.25</v>
      </c>
      <c r="F46" s="26" t="s">
        <v>33</v>
      </c>
    </row>
    <row r="47" spans="1:6" s="5" customFormat="1" ht="46.5" x14ac:dyDescent="0.35">
      <c r="A47" s="25" t="s">
        <v>29</v>
      </c>
      <c r="B47" s="25" t="s">
        <v>5</v>
      </c>
      <c r="C47" s="26" t="s">
        <v>36</v>
      </c>
      <c r="D47" s="27">
        <v>46293.833333333299</v>
      </c>
      <c r="E47" s="27">
        <v>46294.25</v>
      </c>
      <c r="F47" s="26" t="s">
        <v>37</v>
      </c>
    </row>
    <row r="48" spans="1:6" s="5" customFormat="1" ht="46.5" x14ac:dyDescent="0.35">
      <c r="A48" s="25" t="s">
        <v>29</v>
      </c>
      <c r="B48" s="25" t="s">
        <v>5</v>
      </c>
      <c r="C48" s="26" t="s">
        <v>572</v>
      </c>
      <c r="D48" s="27">
        <v>46293.833333333299</v>
      </c>
      <c r="E48" s="27">
        <v>46294.25</v>
      </c>
      <c r="F48" s="26" t="s">
        <v>573</v>
      </c>
    </row>
    <row r="49" spans="1:6" s="5" customFormat="1" ht="93" x14ac:dyDescent="0.35">
      <c r="A49" s="25" t="s">
        <v>29</v>
      </c>
      <c r="B49" s="25" t="s">
        <v>4</v>
      </c>
      <c r="C49" s="26" t="s">
        <v>76</v>
      </c>
      <c r="D49" s="27">
        <v>46293.541666666701</v>
      </c>
      <c r="E49" s="27">
        <v>46298.25</v>
      </c>
      <c r="F49" s="26" t="s">
        <v>77</v>
      </c>
    </row>
    <row r="50" spans="1:6" s="5" customFormat="1" ht="93" x14ac:dyDescent="0.35">
      <c r="A50" s="25" t="s">
        <v>29</v>
      </c>
      <c r="B50" s="25" t="s">
        <v>4</v>
      </c>
      <c r="C50" s="26" t="s">
        <v>78</v>
      </c>
      <c r="D50" s="27">
        <v>46293.833333333299</v>
      </c>
      <c r="E50" s="27">
        <v>46294.25</v>
      </c>
      <c r="F50" s="26" t="s">
        <v>77</v>
      </c>
    </row>
    <row r="51" spans="1:6" s="5" customFormat="1" ht="93" x14ac:dyDescent="0.35">
      <c r="A51" s="25" t="s">
        <v>29</v>
      </c>
      <c r="B51" s="25" t="s">
        <v>4</v>
      </c>
      <c r="C51" s="26" t="s">
        <v>79</v>
      </c>
      <c r="D51" s="27">
        <v>46293.833333333299</v>
      </c>
      <c r="E51" s="27">
        <v>46294.25</v>
      </c>
      <c r="F51" s="26" t="s">
        <v>77</v>
      </c>
    </row>
    <row r="52" spans="1:6" s="5" customFormat="1" ht="93" x14ac:dyDescent="0.35">
      <c r="A52" s="25" t="s">
        <v>29</v>
      </c>
      <c r="B52" s="25" t="s">
        <v>4</v>
      </c>
      <c r="C52" s="26" t="s">
        <v>80</v>
      </c>
      <c r="D52" s="27">
        <v>46293.833333333299</v>
      </c>
      <c r="E52" s="27">
        <v>46294.25</v>
      </c>
      <c r="F52" s="26" t="s">
        <v>77</v>
      </c>
    </row>
    <row r="53" spans="1:6" s="5" customFormat="1" ht="93" x14ac:dyDescent="0.35">
      <c r="A53" s="25" t="s">
        <v>29</v>
      </c>
      <c r="B53" s="25" t="s">
        <v>4</v>
      </c>
      <c r="C53" s="26" t="s">
        <v>81</v>
      </c>
      <c r="D53" s="27">
        <v>46293.833333333299</v>
      </c>
      <c r="E53" s="27">
        <v>46294.25</v>
      </c>
      <c r="F53" s="26" t="s">
        <v>77</v>
      </c>
    </row>
    <row r="54" spans="1:6" s="5" customFormat="1" ht="93" x14ac:dyDescent="0.35">
      <c r="A54" s="25" t="s">
        <v>29</v>
      </c>
      <c r="B54" s="25" t="s">
        <v>4</v>
      </c>
      <c r="C54" s="26" t="s">
        <v>82</v>
      </c>
      <c r="D54" s="27">
        <v>46293.833333333299</v>
      </c>
      <c r="E54" s="27">
        <v>46294.25</v>
      </c>
      <c r="F54" s="26" t="s">
        <v>77</v>
      </c>
    </row>
    <row r="55" spans="1:6" s="5" customFormat="1" ht="93" x14ac:dyDescent="0.35">
      <c r="A55" s="25" t="s">
        <v>29</v>
      </c>
      <c r="B55" s="25" t="s">
        <v>4</v>
      </c>
      <c r="C55" s="26" t="s">
        <v>83</v>
      </c>
      <c r="D55" s="27">
        <v>46293.833333333299</v>
      </c>
      <c r="E55" s="27">
        <v>46294.25</v>
      </c>
      <c r="F55" s="26" t="s">
        <v>77</v>
      </c>
    </row>
    <row r="56" spans="1:6" s="5" customFormat="1" ht="93" x14ac:dyDescent="0.35">
      <c r="A56" s="25" t="s">
        <v>29</v>
      </c>
      <c r="B56" s="25" t="s">
        <v>4</v>
      </c>
      <c r="C56" s="26" t="s">
        <v>84</v>
      </c>
      <c r="D56" s="27">
        <v>46293.833333333299</v>
      </c>
      <c r="E56" s="27">
        <v>46294.25</v>
      </c>
      <c r="F56" s="26" t="s">
        <v>77</v>
      </c>
    </row>
    <row r="57" spans="1:6" s="5" customFormat="1" ht="93" x14ac:dyDescent="0.35">
      <c r="A57" s="25" t="s">
        <v>29</v>
      </c>
      <c r="B57" s="25" t="s">
        <v>4</v>
      </c>
      <c r="C57" s="26" t="s">
        <v>85</v>
      </c>
      <c r="D57" s="27">
        <v>46293.833333333299</v>
      </c>
      <c r="E57" s="27">
        <v>46294.25</v>
      </c>
      <c r="F57" s="26" t="s">
        <v>77</v>
      </c>
    </row>
    <row r="58" spans="1:6" s="5" customFormat="1" ht="93" x14ac:dyDescent="0.35">
      <c r="A58" s="25" t="s">
        <v>29</v>
      </c>
      <c r="B58" s="25" t="s">
        <v>4</v>
      </c>
      <c r="C58" s="26" t="s">
        <v>86</v>
      </c>
      <c r="D58" s="27">
        <v>46293.833333333299</v>
      </c>
      <c r="E58" s="27">
        <v>46294.25</v>
      </c>
      <c r="F58" s="26" t="s">
        <v>77</v>
      </c>
    </row>
    <row r="59" spans="1:6" s="5" customFormat="1" ht="93" x14ac:dyDescent="0.35">
      <c r="A59" s="25" t="s">
        <v>29</v>
      </c>
      <c r="B59" s="25" t="s">
        <v>4</v>
      </c>
      <c r="C59" s="26" t="s">
        <v>87</v>
      </c>
      <c r="D59" s="27">
        <v>46293.833333333299</v>
      </c>
      <c r="E59" s="27">
        <v>46294.25</v>
      </c>
      <c r="F59" s="26" t="s">
        <v>77</v>
      </c>
    </row>
    <row r="60" spans="1:6" s="5" customFormat="1" ht="93" x14ac:dyDescent="0.35">
      <c r="A60" s="25" t="s">
        <v>29</v>
      </c>
      <c r="B60" s="25" t="s">
        <v>4</v>
      </c>
      <c r="C60" s="26" t="s">
        <v>88</v>
      </c>
      <c r="D60" s="27">
        <v>46293.833333333299</v>
      </c>
      <c r="E60" s="27">
        <v>46294.25</v>
      </c>
      <c r="F60" s="26" t="s">
        <v>77</v>
      </c>
    </row>
    <row r="61" spans="1:6" s="5" customFormat="1" ht="62" x14ac:dyDescent="0.35">
      <c r="A61" s="25" t="s">
        <v>51</v>
      </c>
      <c r="B61" s="25" t="s">
        <v>4</v>
      </c>
      <c r="C61" s="26" t="s">
        <v>52</v>
      </c>
      <c r="D61" s="27">
        <v>46293.875</v>
      </c>
      <c r="E61" s="27">
        <v>46294.208333333299</v>
      </c>
      <c r="F61" s="26" t="s">
        <v>53</v>
      </c>
    </row>
    <row r="62" spans="1:6" s="5" customFormat="1" ht="93" x14ac:dyDescent="0.35">
      <c r="A62" s="25" t="s">
        <v>173</v>
      </c>
      <c r="B62" s="25" t="s">
        <v>5</v>
      </c>
      <c r="C62" s="26" t="s">
        <v>174</v>
      </c>
      <c r="D62" s="27">
        <v>46293.833333333299</v>
      </c>
      <c r="E62" s="27">
        <v>46294.25</v>
      </c>
      <c r="F62" s="26" t="s">
        <v>175</v>
      </c>
    </row>
    <row r="63" spans="1:6" s="5" customFormat="1" ht="93" x14ac:dyDescent="0.35">
      <c r="A63" s="25" t="s">
        <v>173</v>
      </c>
      <c r="B63" s="25" t="s">
        <v>5</v>
      </c>
      <c r="C63" s="26" t="s">
        <v>176</v>
      </c>
      <c r="D63" s="27">
        <v>46293.833333333299</v>
      </c>
      <c r="E63" s="27">
        <v>46294.25</v>
      </c>
      <c r="F63" s="26" t="s">
        <v>175</v>
      </c>
    </row>
    <row r="64" spans="1:6" s="5" customFormat="1" ht="93" x14ac:dyDescent="0.35">
      <c r="A64" s="25" t="s">
        <v>173</v>
      </c>
      <c r="B64" s="25" t="s">
        <v>5</v>
      </c>
      <c r="C64" s="26" t="s">
        <v>177</v>
      </c>
      <c r="D64" s="27">
        <v>46293.833333333299</v>
      </c>
      <c r="E64" s="27">
        <v>46294.25</v>
      </c>
      <c r="F64" s="26" t="s">
        <v>175</v>
      </c>
    </row>
    <row r="65" spans="1:6" s="5" customFormat="1" ht="46.5" x14ac:dyDescent="0.35">
      <c r="A65" s="25" t="s">
        <v>217</v>
      </c>
      <c r="B65" s="25" t="s">
        <v>4</v>
      </c>
      <c r="C65" s="26" t="s">
        <v>612</v>
      </c>
      <c r="D65" s="27">
        <v>46083.999305555597</v>
      </c>
      <c r="E65" s="27">
        <v>46293.999305555597</v>
      </c>
      <c r="F65" s="26" t="s">
        <v>219</v>
      </c>
    </row>
    <row r="66" spans="1:6" s="5" customFormat="1" ht="46.5" x14ac:dyDescent="0.35">
      <c r="A66" s="25" t="s">
        <v>217</v>
      </c>
      <c r="B66" s="25" t="s">
        <v>5</v>
      </c>
      <c r="C66" s="26" t="s">
        <v>613</v>
      </c>
      <c r="D66" s="27">
        <v>46083.999305555597</v>
      </c>
      <c r="E66" s="27">
        <v>46293.999305555597</v>
      </c>
      <c r="F66" s="26" t="s">
        <v>219</v>
      </c>
    </row>
    <row r="67" spans="1:6" s="5" customFormat="1" ht="46.5" x14ac:dyDescent="0.35">
      <c r="A67" s="25" t="s">
        <v>217</v>
      </c>
      <c r="B67" s="25" t="s">
        <v>5</v>
      </c>
      <c r="C67" s="26" t="s">
        <v>218</v>
      </c>
      <c r="D67" s="27">
        <v>46293.833333333299</v>
      </c>
      <c r="E67" s="27">
        <v>46294.25</v>
      </c>
      <c r="F67" s="26" t="s">
        <v>219</v>
      </c>
    </row>
    <row r="68" spans="1:6" s="5" customFormat="1" ht="46.5" x14ac:dyDescent="0.35">
      <c r="A68" s="25" t="s">
        <v>220</v>
      </c>
      <c r="B68" s="25" t="s">
        <v>6</v>
      </c>
      <c r="C68" s="26" t="s">
        <v>221</v>
      </c>
      <c r="D68" s="27">
        <v>46293.833333333299</v>
      </c>
      <c r="E68" s="27">
        <v>46294.25</v>
      </c>
      <c r="F68" s="26" t="s">
        <v>222</v>
      </c>
    </row>
    <row r="69" spans="1:6" s="5" customFormat="1" ht="46.5" x14ac:dyDescent="0.35">
      <c r="A69" s="25" t="s">
        <v>220</v>
      </c>
      <c r="B69" s="25" t="s">
        <v>2</v>
      </c>
      <c r="C69" s="26" t="s">
        <v>223</v>
      </c>
      <c r="D69" s="27">
        <v>46293.833333333299</v>
      </c>
      <c r="E69" s="27">
        <v>46294.25</v>
      </c>
      <c r="F69" s="26" t="s">
        <v>224</v>
      </c>
    </row>
    <row r="70" spans="1:6" s="5" customFormat="1" ht="46.5" x14ac:dyDescent="0.35">
      <c r="A70" s="25" t="s">
        <v>220</v>
      </c>
      <c r="B70" s="25" t="s">
        <v>6</v>
      </c>
      <c r="C70" s="26" t="s">
        <v>225</v>
      </c>
      <c r="D70" s="27">
        <v>46293.833333333299</v>
      </c>
      <c r="E70" s="27">
        <v>46294.25</v>
      </c>
      <c r="F70" s="26" t="s">
        <v>224</v>
      </c>
    </row>
    <row r="71" spans="1:6" s="5" customFormat="1" ht="46.5" x14ac:dyDescent="0.35">
      <c r="A71" s="25" t="s">
        <v>220</v>
      </c>
      <c r="B71" s="25" t="s">
        <v>2</v>
      </c>
      <c r="C71" s="26" t="s">
        <v>226</v>
      </c>
      <c r="D71" s="27">
        <v>46293.833333333299</v>
      </c>
      <c r="E71" s="27">
        <v>46294.25</v>
      </c>
      <c r="F71" s="26" t="s">
        <v>227</v>
      </c>
    </row>
    <row r="72" spans="1:6" s="5" customFormat="1" ht="46.5" x14ac:dyDescent="0.35">
      <c r="A72" s="25" t="s">
        <v>377</v>
      </c>
      <c r="B72" s="25" t="s">
        <v>24</v>
      </c>
      <c r="C72" s="26" t="s">
        <v>378</v>
      </c>
      <c r="D72" s="27">
        <v>46293.833333333299</v>
      </c>
      <c r="E72" s="27">
        <v>46294.25</v>
      </c>
      <c r="F72" s="26" t="s">
        <v>379</v>
      </c>
    </row>
    <row r="73" spans="1:6" s="5" customFormat="1" ht="46.5" x14ac:dyDescent="0.35">
      <c r="A73" s="25" t="s">
        <v>377</v>
      </c>
      <c r="B73" s="25" t="s">
        <v>4</v>
      </c>
      <c r="C73" s="26" t="s">
        <v>653</v>
      </c>
      <c r="D73" s="27">
        <v>46293.833333333299</v>
      </c>
      <c r="E73" s="27">
        <v>46294.25</v>
      </c>
      <c r="F73" s="26" t="s">
        <v>654</v>
      </c>
    </row>
    <row r="74" spans="1:6" s="5" customFormat="1" ht="77.5" x14ac:dyDescent="0.35">
      <c r="A74" s="25" t="s">
        <v>377</v>
      </c>
      <c r="B74" s="25" t="s">
        <v>4</v>
      </c>
      <c r="C74" s="26" t="s">
        <v>437</v>
      </c>
      <c r="D74" s="27">
        <v>46293.916666666701</v>
      </c>
      <c r="E74" s="27">
        <v>46294.229166666701</v>
      </c>
      <c r="F74" s="26" t="s">
        <v>438</v>
      </c>
    </row>
    <row r="75" spans="1:6" s="5" customFormat="1" ht="46.5" x14ac:dyDescent="0.35">
      <c r="A75" s="25" t="s">
        <v>382</v>
      </c>
      <c r="B75" s="25" t="s">
        <v>4</v>
      </c>
      <c r="C75" s="26" t="s">
        <v>383</v>
      </c>
      <c r="D75" s="27">
        <v>46293.833333333299</v>
      </c>
      <c r="E75" s="27">
        <v>46294.208333333299</v>
      </c>
      <c r="F75" s="26" t="s">
        <v>384</v>
      </c>
    </row>
    <row r="76" spans="1:6" s="5" customFormat="1" ht="46.5" x14ac:dyDescent="0.35">
      <c r="A76" s="25" t="s">
        <v>382</v>
      </c>
      <c r="B76" s="25" t="s">
        <v>4</v>
      </c>
      <c r="C76" s="26" t="s">
        <v>385</v>
      </c>
      <c r="D76" s="27">
        <v>46293.833333333299</v>
      </c>
      <c r="E76" s="27">
        <v>46294.208333333299</v>
      </c>
      <c r="F76" s="26" t="s">
        <v>384</v>
      </c>
    </row>
    <row r="77" spans="1:6" s="5" customFormat="1" ht="46.5" x14ac:dyDescent="0.35">
      <c r="A77" s="25" t="s">
        <v>403</v>
      </c>
      <c r="B77" s="25" t="s">
        <v>4</v>
      </c>
      <c r="C77" s="26" t="s">
        <v>651</v>
      </c>
      <c r="D77" s="27">
        <v>46293.916666666701</v>
      </c>
      <c r="E77" s="27">
        <v>46294.166666666701</v>
      </c>
      <c r="F77" s="26" t="s">
        <v>405</v>
      </c>
    </row>
    <row r="78" spans="1:6" s="5" customFormat="1" ht="46.5" x14ac:dyDescent="0.35">
      <c r="A78" s="25" t="s">
        <v>403</v>
      </c>
      <c r="B78" s="25" t="s">
        <v>4</v>
      </c>
      <c r="C78" s="26" t="s">
        <v>652</v>
      </c>
      <c r="D78" s="27">
        <v>46293.916666666701</v>
      </c>
      <c r="E78" s="27">
        <v>46294.166666666701</v>
      </c>
      <c r="F78" s="26" t="s">
        <v>405</v>
      </c>
    </row>
    <row r="79" spans="1:6" s="5" customFormat="1" ht="31" x14ac:dyDescent="0.35">
      <c r="A79" s="25" t="s">
        <v>658</v>
      </c>
      <c r="B79" s="25" t="s">
        <v>2</v>
      </c>
      <c r="C79" s="26" t="s">
        <v>659</v>
      </c>
      <c r="D79" s="27">
        <v>46293.833333333299</v>
      </c>
      <c r="E79" s="27">
        <v>46294.25</v>
      </c>
      <c r="F79" s="26" t="s">
        <v>660</v>
      </c>
    </row>
    <row r="80" spans="1:6" s="5" customFormat="1" ht="77.5" x14ac:dyDescent="0.35">
      <c r="A80" s="25" t="s">
        <v>396</v>
      </c>
      <c r="B80" s="25" t="s">
        <v>2</v>
      </c>
      <c r="C80" s="26" t="s">
        <v>397</v>
      </c>
      <c r="D80" s="27">
        <v>46293.833333333299</v>
      </c>
      <c r="E80" s="27">
        <v>46294.25</v>
      </c>
      <c r="F80" s="26" t="s">
        <v>398</v>
      </c>
    </row>
    <row r="81" spans="1:6" s="5" customFormat="1" ht="31" x14ac:dyDescent="0.35">
      <c r="A81" s="25" t="s">
        <v>396</v>
      </c>
      <c r="B81" s="25" t="s">
        <v>2</v>
      </c>
      <c r="C81" s="26" t="s">
        <v>655</v>
      </c>
      <c r="D81" s="27">
        <v>46293.833333333299</v>
      </c>
      <c r="E81" s="27">
        <v>46294.25</v>
      </c>
      <c r="F81" s="26" t="s">
        <v>656</v>
      </c>
    </row>
    <row r="82" spans="1:6" s="5" customFormat="1" ht="31" x14ac:dyDescent="0.35">
      <c r="A82" s="25" t="s">
        <v>396</v>
      </c>
      <c r="B82" s="25" t="s">
        <v>2</v>
      </c>
      <c r="C82" s="26" t="s">
        <v>657</v>
      </c>
      <c r="D82" s="27">
        <v>46293.833333333299</v>
      </c>
      <c r="E82" s="27">
        <v>46294.25</v>
      </c>
      <c r="F82" s="26" t="s">
        <v>656</v>
      </c>
    </row>
    <row r="83" spans="1:6" s="5" customFormat="1" ht="46.5" x14ac:dyDescent="0.35">
      <c r="A83" s="25" t="s">
        <v>396</v>
      </c>
      <c r="B83" s="25" t="s">
        <v>4</v>
      </c>
      <c r="C83" s="26" t="s">
        <v>410</v>
      </c>
      <c r="D83" s="27">
        <v>46293.875</v>
      </c>
      <c r="E83" s="27">
        <v>46294.25</v>
      </c>
      <c r="F83" s="26" t="s">
        <v>411</v>
      </c>
    </row>
    <row r="84" spans="1:6" s="5" customFormat="1" ht="31" x14ac:dyDescent="0.35">
      <c r="A84" s="25" t="s">
        <v>396</v>
      </c>
      <c r="B84" s="25" t="s">
        <v>24</v>
      </c>
      <c r="C84" s="26" t="s">
        <v>415</v>
      </c>
      <c r="D84" s="27">
        <v>46293.833333333299</v>
      </c>
      <c r="E84" s="27">
        <v>46294.25</v>
      </c>
      <c r="F84" s="26" t="s">
        <v>416</v>
      </c>
    </row>
    <row r="85" spans="1:6" s="5" customFormat="1" ht="46.5" x14ac:dyDescent="0.35">
      <c r="A85" s="25" t="s">
        <v>412</v>
      </c>
      <c r="B85" s="25" t="s">
        <v>24</v>
      </c>
      <c r="C85" s="26" t="s">
        <v>413</v>
      </c>
      <c r="D85" s="27">
        <v>46293.833333333299</v>
      </c>
      <c r="E85" s="27">
        <v>46294.25</v>
      </c>
      <c r="F85" s="26" t="s">
        <v>414</v>
      </c>
    </row>
    <row r="86" spans="1:6" s="5" customFormat="1" ht="31" x14ac:dyDescent="0.35">
      <c r="A86" s="25" t="s">
        <v>359</v>
      </c>
      <c r="B86" s="25" t="s">
        <v>4</v>
      </c>
      <c r="C86" s="26" t="s">
        <v>637</v>
      </c>
      <c r="D86" s="27">
        <v>46293.875</v>
      </c>
      <c r="E86" s="27">
        <v>46294.25</v>
      </c>
      <c r="F86" s="26" t="s">
        <v>638</v>
      </c>
    </row>
    <row r="87" spans="1:6" s="5" customFormat="1" ht="62" x14ac:dyDescent="0.35">
      <c r="A87" s="25" t="s">
        <v>429</v>
      </c>
      <c r="B87" s="25" t="s">
        <v>2</v>
      </c>
      <c r="C87" s="26" t="s">
        <v>430</v>
      </c>
      <c r="D87" s="27">
        <v>46293.875</v>
      </c>
      <c r="E87" s="27">
        <v>46294.229166666701</v>
      </c>
      <c r="F87" s="26" t="s">
        <v>431</v>
      </c>
    </row>
    <row r="88" spans="1:6" s="5" customFormat="1" ht="62" x14ac:dyDescent="0.35">
      <c r="A88" s="25" t="s">
        <v>429</v>
      </c>
      <c r="B88" s="25" t="s">
        <v>2</v>
      </c>
      <c r="C88" s="26" t="s">
        <v>432</v>
      </c>
      <c r="D88" s="27">
        <v>46293.875</v>
      </c>
      <c r="E88" s="27">
        <v>46294.229166666701</v>
      </c>
      <c r="F88" s="26" t="s">
        <v>431</v>
      </c>
    </row>
    <row r="89" spans="1:6" s="5" customFormat="1" ht="62" x14ac:dyDescent="0.35">
      <c r="A89" s="25" t="s">
        <v>330</v>
      </c>
      <c r="B89" s="25" t="s">
        <v>2</v>
      </c>
      <c r="C89" s="26" t="s">
        <v>331</v>
      </c>
      <c r="D89" s="27">
        <v>46293.875</v>
      </c>
      <c r="E89" s="27">
        <v>46294.25</v>
      </c>
      <c r="F89" s="26" t="s">
        <v>332</v>
      </c>
    </row>
    <row r="90" spans="1:6" s="5" customFormat="1" ht="46.5" x14ac:dyDescent="0.35">
      <c r="A90" s="25" t="s">
        <v>330</v>
      </c>
      <c r="B90" s="25" t="s">
        <v>6</v>
      </c>
      <c r="C90" s="26" t="s">
        <v>645</v>
      </c>
      <c r="D90" s="27">
        <v>46293.875</v>
      </c>
      <c r="E90" s="27">
        <v>46294.25</v>
      </c>
      <c r="F90" s="26" t="s">
        <v>646</v>
      </c>
    </row>
    <row r="91" spans="1:6" s="5" customFormat="1" ht="31" x14ac:dyDescent="0.35">
      <c r="A91" s="25" t="s">
        <v>330</v>
      </c>
      <c r="B91" s="25" t="s">
        <v>2</v>
      </c>
      <c r="C91" s="26" t="s">
        <v>647</v>
      </c>
      <c r="D91" s="27">
        <v>46293.875</v>
      </c>
      <c r="E91" s="27">
        <v>46294.25</v>
      </c>
      <c r="F91" s="26" t="s">
        <v>648</v>
      </c>
    </row>
    <row r="92" spans="1:6" s="5" customFormat="1" ht="124" x14ac:dyDescent="0.35">
      <c r="A92" s="25" t="s">
        <v>467</v>
      </c>
      <c r="B92" s="25" t="s">
        <v>4</v>
      </c>
      <c r="C92" s="26" t="s">
        <v>468</v>
      </c>
      <c r="D92" s="27">
        <v>46293.833333333299</v>
      </c>
      <c r="E92" s="27">
        <v>46294.25</v>
      </c>
      <c r="F92" s="26" t="s">
        <v>469</v>
      </c>
    </row>
    <row r="93" spans="1:6" s="5" customFormat="1" ht="46.5" x14ac:dyDescent="0.35">
      <c r="A93" s="25" t="s">
        <v>467</v>
      </c>
      <c r="B93" s="25" t="s">
        <v>4</v>
      </c>
      <c r="C93" s="26" t="s">
        <v>473</v>
      </c>
      <c r="D93" s="27">
        <v>46272.25</v>
      </c>
      <c r="E93" s="27">
        <v>46341.833333333299</v>
      </c>
      <c r="F93" s="26" t="s">
        <v>474</v>
      </c>
    </row>
    <row r="94" spans="1:6" s="5" customFormat="1" ht="46.5" x14ac:dyDescent="0.35">
      <c r="A94" s="25" t="s">
        <v>467</v>
      </c>
      <c r="B94" s="25" t="s">
        <v>5</v>
      </c>
      <c r="C94" s="26" t="s">
        <v>690</v>
      </c>
      <c r="D94" s="27">
        <v>46293.791666666701</v>
      </c>
      <c r="E94" s="27">
        <v>46294.25</v>
      </c>
      <c r="F94" s="26" t="s">
        <v>691</v>
      </c>
    </row>
    <row r="95" spans="1:6" s="5" customFormat="1" ht="46.5" x14ac:dyDescent="0.35">
      <c r="A95" s="25" t="s">
        <v>340</v>
      </c>
      <c r="B95" s="25" t="s">
        <v>4</v>
      </c>
      <c r="C95" s="26" t="s">
        <v>634</v>
      </c>
      <c r="D95" s="27">
        <v>46293.875</v>
      </c>
      <c r="E95" s="27">
        <v>46294.25</v>
      </c>
      <c r="F95" s="26" t="s">
        <v>635</v>
      </c>
    </row>
    <row r="96" spans="1:6" s="5" customFormat="1" ht="46.5" x14ac:dyDescent="0.35">
      <c r="A96" s="25" t="s">
        <v>340</v>
      </c>
      <c r="B96" s="25" t="s">
        <v>4</v>
      </c>
      <c r="C96" s="26" t="s">
        <v>636</v>
      </c>
      <c r="D96" s="27">
        <v>46293.875</v>
      </c>
      <c r="E96" s="27">
        <v>46294.25</v>
      </c>
      <c r="F96" s="26" t="s">
        <v>635</v>
      </c>
    </row>
    <row r="97" spans="1:6" s="5" customFormat="1" ht="46.5" x14ac:dyDescent="0.35">
      <c r="A97" s="25" t="s">
        <v>340</v>
      </c>
      <c r="B97" s="25" t="s">
        <v>5</v>
      </c>
      <c r="C97" s="26" t="s">
        <v>341</v>
      </c>
      <c r="D97" s="27">
        <v>46293.875</v>
      </c>
      <c r="E97" s="27">
        <v>46294.25</v>
      </c>
      <c r="F97" s="26" t="s">
        <v>342</v>
      </c>
    </row>
    <row r="98" spans="1:6" s="5" customFormat="1" ht="46.5" x14ac:dyDescent="0.35">
      <c r="A98" s="25" t="s">
        <v>340</v>
      </c>
      <c r="B98" s="25" t="s">
        <v>4</v>
      </c>
      <c r="C98" s="26" t="s">
        <v>343</v>
      </c>
      <c r="D98" s="27">
        <v>46293.875</v>
      </c>
      <c r="E98" s="27">
        <v>46294.25</v>
      </c>
      <c r="F98" s="26" t="s">
        <v>342</v>
      </c>
    </row>
    <row r="99" spans="1:6" s="5" customFormat="1" ht="62" x14ac:dyDescent="0.35">
      <c r="A99" s="25" t="s">
        <v>340</v>
      </c>
      <c r="B99" s="25" t="s">
        <v>4</v>
      </c>
      <c r="C99" s="26" t="s">
        <v>356</v>
      </c>
      <c r="D99" s="27">
        <v>46293.875</v>
      </c>
      <c r="E99" s="27">
        <v>46294.25</v>
      </c>
      <c r="F99" s="26" t="s">
        <v>357</v>
      </c>
    </row>
    <row r="100" spans="1:6" s="5" customFormat="1" ht="108.5" x14ac:dyDescent="0.35">
      <c r="A100" s="25" t="s">
        <v>340</v>
      </c>
      <c r="B100" s="25" t="s">
        <v>24</v>
      </c>
      <c r="C100" s="26" t="s">
        <v>501</v>
      </c>
      <c r="D100" s="27">
        <v>46293.875</v>
      </c>
      <c r="E100" s="27">
        <v>46294.25</v>
      </c>
      <c r="F100" s="26" t="s">
        <v>502</v>
      </c>
    </row>
    <row r="101" spans="1:6" s="5" customFormat="1" ht="46.5" x14ac:dyDescent="0.35">
      <c r="A101" s="25" t="s">
        <v>333</v>
      </c>
      <c r="B101" s="25" t="s">
        <v>5</v>
      </c>
      <c r="C101" s="26" t="s">
        <v>639</v>
      </c>
      <c r="D101" s="27">
        <v>46293.875</v>
      </c>
      <c r="E101" s="27">
        <v>46294.25</v>
      </c>
      <c r="F101" s="26" t="s">
        <v>640</v>
      </c>
    </row>
    <row r="102" spans="1:6" s="5" customFormat="1" ht="46.5" x14ac:dyDescent="0.35">
      <c r="A102" s="25" t="s">
        <v>333</v>
      </c>
      <c r="B102" s="25" t="s">
        <v>5</v>
      </c>
      <c r="C102" s="26" t="s">
        <v>641</v>
      </c>
      <c r="D102" s="27">
        <v>46293.875</v>
      </c>
      <c r="E102" s="27">
        <v>46294.25</v>
      </c>
      <c r="F102" s="26" t="s">
        <v>640</v>
      </c>
    </row>
    <row r="103" spans="1:6" s="5" customFormat="1" ht="46.5" x14ac:dyDescent="0.35">
      <c r="A103" s="25" t="s">
        <v>333</v>
      </c>
      <c r="B103" s="25" t="s">
        <v>5</v>
      </c>
      <c r="C103" s="26" t="s">
        <v>642</v>
      </c>
      <c r="D103" s="27">
        <v>46293.875</v>
      </c>
      <c r="E103" s="27">
        <v>46294.25</v>
      </c>
      <c r="F103" s="26" t="s">
        <v>640</v>
      </c>
    </row>
    <row r="104" spans="1:6" s="5" customFormat="1" ht="46.5" x14ac:dyDescent="0.35">
      <c r="A104" s="25" t="s">
        <v>327</v>
      </c>
      <c r="B104" s="25" t="s">
        <v>2</v>
      </c>
      <c r="C104" s="26" t="s">
        <v>328</v>
      </c>
      <c r="D104" s="27">
        <v>46293.875</v>
      </c>
      <c r="E104" s="27">
        <v>46294.25</v>
      </c>
      <c r="F104" s="26" t="s">
        <v>329</v>
      </c>
    </row>
    <row r="105" spans="1:6" s="5" customFormat="1" ht="46.5" x14ac:dyDescent="0.35">
      <c r="A105" s="25" t="s">
        <v>327</v>
      </c>
      <c r="B105" s="25" t="s">
        <v>6</v>
      </c>
      <c r="C105" s="26" t="s">
        <v>338</v>
      </c>
      <c r="D105" s="27">
        <v>46293.875</v>
      </c>
      <c r="E105" s="27">
        <v>46294.25</v>
      </c>
      <c r="F105" s="26" t="s">
        <v>339</v>
      </c>
    </row>
    <row r="106" spans="1:6" s="5" customFormat="1" ht="31" x14ac:dyDescent="0.35">
      <c r="A106" s="25" t="s">
        <v>511</v>
      </c>
      <c r="B106" s="25" t="s">
        <v>24</v>
      </c>
      <c r="C106" s="26" t="s">
        <v>512</v>
      </c>
      <c r="D106" s="27">
        <v>46293.833333333299</v>
      </c>
      <c r="E106" s="27">
        <v>46294.25</v>
      </c>
      <c r="F106" s="26" t="s">
        <v>513</v>
      </c>
    </row>
    <row r="107" spans="1:6" s="5" customFormat="1" ht="139.5" x14ac:dyDescent="0.35">
      <c r="A107" s="25" t="s">
        <v>489</v>
      </c>
      <c r="B107" s="25" t="s">
        <v>24</v>
      </c>
      <c r="C107" s="26" t="s">
        <v>490</v>
      </c>
      <c r="D107" s="27">
        <v>46293.833333333299</v>
      </c>
      <c r="E107" s="27">
        <v>46294.25</v>
      </c>
      <c r="F107" s="26" t="s">
        <v>491</v>
      </c>
    </row>
    <row r="108" spans="1:6" s="5" customFormat="1" ht="108.5" x14ac:dyDescent="0.35">
      <c r="A108" s="25" t="s">
        <v>470</v>
      </c>
      <c r="B108" s="25" t="s">
        <v>5</v>
      </c>
      <c r="C108" s="26" t="s">
        <v>471</v>
      </c>
      <c r="D108" s="27">
        <v>46293.875</v>
      </c>
      <c r="E108" s="27">
        <v>46294.25</v>
      </c>
      <c r="F108" s="26" t="s">
        <v>472</v>
      </c>
    </row>
    <row r="109" spans="1:6" s="5" customFormat="1" ht="46.5" x14ac:dyDescent="0.35">
      <c r="A109" s="25" t="s">
        <v>470</v>
      </c>
      <c r="B109" s="25" t="s">
        <v>4</v>
      </c>
      <c r="C109" s="26" t="s">
        <v>475</v>
      </c>
      <c r="D109" s="27">
        <v>46293.8125</v>
      </c>
      <c r="E109" s="27">
        <v>46294.25</v>
      </c>
      <c r="F109" s="26" t="s">
        <v>476</v>
      </c>
    </row>
    <row r="110" spans="1:6" s="5" customFormat="1" ht="62" x14ac:dyDescent="0.35">
      <c r="A110" s="25" t="s">
        <v>470</v>
      </c>
      <c r="B110" s="25" t="s">
        <v>5</v>
      </c>
      <c r="C110" s="26" t="s">
        <v>477</v>
      </c>
      <c r="D110" s="27">
        <v>46293.8125</v>
      </c>
      <c r="E110" s="27">
        <v>46294.25</v>
      </c>
      <c r="F110" s="26" t="s">
        <v>478</v>
      </c>
    </row>
    <row r="111" spans="1:6" s="5" customFormat="1" ht="46.5" x14ac:dyDescent="0.35">
      <c r="A111" s="25" t="s">
        <v>470</v>
      </c>
      <c r="B111" s="25" t="s">
        <v>4</v>
      </c>
      <c r="C111" s="26" t="s">
        <v>479</v>
      </c>
      <c r="D111" s="27">
        <v>46293.833333333299</v>
      </c>
      <c r="E111" s="27">
        <v>46294.25</v>
      </c>
      <c r="F111" s="26" t="s">
        <v>480</v>
      </c>
    </row>
    <row r="112" spans="1:6" s="5" customFormat="1" ht="46.5" x14ac:dyDescent="0.35">
      <c r="A112" s="25" t="s">
        <v>470</v>
      </c>
      <c r="B112" s="25" t="s">
        <v>5</v>
      </c>
      <c r="C112" s="26" t="s">
        <v>481</v>
      </c>
      <c r="D112" s="27">
        <v>46293.833333333299</v>
      </c>
      <c r="E112" s="27">
        <v>46294.25</v>
      </c>
      <c r="F112" s="26" t="s">
        <v>482</v>
      </c>
    </row>
    <row r="113" spans="1:6" s="5" customFormat="1" ht="77.5" x14ac:dyDescent="0.35">
      <c r="A113" s="25" t="s">
        <v>470</v>
      </c>
      <c r="B113" s="25" t="s">
        <v>5</v>
      </c>
      <c r="C113" s="26" t="s">
        <v>483</v>
      </c>
      <c r="D113" s="27">
        <v>46293.875</v>
      </c>
      <c r="E113" s="27">
        <v>46294.25</v>
      </c>
      <c r="F113" s="26" t="s">
        <v>484</v>
      </c>
    </row>
    <row r="114" spans="1:6" s="5" customFormat="1" ht="46.5" x14ac:dyDescent="0.35">
      <c r="A114" s="25" t="s">
        <v>470</v>
      </c>
      <c r="B114" s="25" t="s">
        <v>5</v>
      </c>
      <c r="C114" s="26" t="s">
        <v>485</v>
      </c>
      <c r="D114" s="27">
        <v>46293.895833333299</v>
      </c>
      <c r="E114" s="27">
        <v>46294.25</v>
      </c>
      <c r="F114" s="26" t="s">
        <v>486</v>
      </c>
    </row>
    <row r="115" spans="1:6" s="5" customFormat="1" ht="77.5" x14ac:dyDescent="0.35">
      <c r="A115" s="25" t="s">
        <v>470</v>
      </c>
      <c r="B115" s="25" t="s">
        <v>4</v>
      </c>
      <c r="C115" s="26" t="s">
        <v>487</v>
      </c>
      <c r="D115" s="27">
        <v>46293.833333333299</v>
      </c>
      <c r="E115" s="27">
        <v>46294.25</v>
      </c>
      <c r="F115" s="26" t="s">
        <v>488</v>
      </c>
    </row>
    <row r="116" spans="1:6" ht="77.5" x14ac:dyDescent="0.35">
      <c r="A116" s="25" t="s">
        <v>470</v>
      </c>
      <c r="B116" s="25" t="s">
        <v>4</v>
      </c>
      <c r="C116" s="26" t="s">
        <v>679</v>
      </c>
      <c r="D116" s="27">
        <v>46293.833333333299</v>
      </c>
      <c r="E116" s="27">
        <v>46294.25</v>
      </c>
      <c r="F116" s="26" t="s">
        <v>680</v>
      </c>
    </row>
    <row r="117" spans="1:6" ht="108.5" x14ac:dyDescent="0.35">
      <c r="A117" s="25" t="s">
        <v>470</v>
      </c>
      <c r="B117" s="25" t="s">
        <v>6</v>
      </c>
      <c r="C117" s="26" t="s">
        <v>521</v>
      </c>
      <c r="D117" s="27">
        <v>46202.875</v>
      </c>
      <c r="E117" s="27">
        <v>46508.208333333299</v>
      </c>
      <c r="F117" s="26" t="s">
        <v>522</v>
      </c>
    </row>
    <row r="118" spans="1:6" ht="108.5" x14ac:dyDescent="0.35">
      <c r="A118" s="25" t="s">
        <v>470</v>
      </c>
      <c r="B118" s="25" t="s">
        <v>2</v>
      </c>
      <c r="C118" s="26" t="s">
        <v>523</v>
      </c>
      <c r="D118" s="27">
        <v>46266.333333333299</v>
      </c>
      <c r="E118" s="27">
        <v>46507</v>
      </c>
      <c r="F118" s="26" t="s">
        <v>522</v>
      </c>
    </row>
    <row r="119" spans="1:6" ht="108.5" x14ac:dyDescent="0.35">
      <c r="A119" s="25" t="s">
        <v>470</v>
      </c>
      <c r="B119" s="25" t="s">
        <v>2</v>
      </c>
      <c r="C119" s="26" t="s">
        <v>527</v>
      </c>
      <c r="D119" s="27">
        <v>46293.833333333299</v>
      </c>
      <c r="E119" s="27">
        <v>46294.25</v>
      </c>
      <c r="F119" s="26" t="s">
        <v>528</v>
      </c>
    </row>
    <row r="120" spans="1:6" ht="46.5" x14ac:dyDescent="0.35">
      <c r="A120" s="25" t="s">
        <v>687</v>
      </c>
      <c r="B120" s="25" t="s">
        <v>5</v>
      </c>
      <c r="C120" s="26" t="s">
        <v>688</v>
      </c>
      <c r="D120" s="27">
        <v>46293.833333333299</v>
      </c>
      <c r="E120" s="27">
        <v>46294.25</v>
      </c>
      <c r="F120" s="26" t="s">
        <v>689</v>
      </c>
    </row>
    <row r="121" spans="1:6" ht="77.5" x14ac:dyDescent="0.35">
      <c r="A121" s="25" t="s">
        <v>681</v>
      </c>
      <c r="B121" s="25" t="s">
        <v>24</v>
      </c>
      <c r="C121" s="26" t="s">
        <v>682</v>
      </c>
      <c r="D121" s="27">
        <v>46293.875</v>
      </c>
      <c r="E121" s="27">
        <v>46294.208333333299</v>
      </c>
      <c r="F121" s="26" t="s">
        <v>683</v>
      </c>
    </row>
    <row r="122" spans="1:6" ht="46.5" x14ac:dyDescent="0.35">
      <c r="A122" s="25" t="s">
        <v>545</v>
      </c>
      <c r="B122" s="25" t="s">
        <v>6</v>
      </c>
      <c r="C122" s="26" t="s">
        <v>591</v>
      </c>
      <c r="D122" s="27">
        <v>46293.833333333299</v>
      </c>
      <c r="E122" s="27">
        <v>46294.25</v>
      </c>
      <c r="F122" s="26" t="s">
        <v>592</v>
      </c>
    </row>
    <row r="123" spans="1:6" ht="93" x14ac:dyDescent="0.35">
      <c r="A123" s="25" t="s">
        <v>545</v>
      </c>
      <c r="B123" s="25" t="s">
        <v>7</v>
      </c>
      <c r="C123" s="26" t="s">
        <v>546</v>
      </c>
      <c r="D123" s="27">
        <v>46217.625</v>
      </c>
      <c r="E123" s="27">
        <v>46387.875</v>
      </c>
      <c r="F123" s="26" t="s">
        <v>547</v>
      </c>
    </row>
    <row r="124" spans="1:6" ht="46.5" x14ac:dyDescent="0.35">
      <c r="A124" s="25" t="s">
        <v>560</v>
      </c>
      <c r="B124" s="25" t="s">
        <v>4</v>
      </c>
      <c r="C124" s="26" t="s">
        <v>561</v>
      </c>
      <c r="D124" s="27">
        <v>46293.875</v>
      </c>
      <c r="E124" s="27">
        <v>46294.25</v>
      </c>
      <c r="F124" s="26" t="s">
        <v>559</v>
      </c>
    </row>
    <row r="125" spans="1:6" ht="93" x14ac:dyDescent="0.35">
      <c r="A125" s="25" t="s">
        <v>73</v>
      </c>
      <c r="B125" s="25" t="s">
        <v>6</v>
      </c>
      <c r="C125" s="26" t="s">
        <v>74</v>
      </c>
      <c r="D125" s="27">
        <v>46293.541666666701</v>
      </c>
      <c r="E125" s="27">
        <v>46294.25</v>
      </c>
      <c r="F125" s="26" t="s">
        <v>75</v>
      </c>
    </row>
    <row r="126" spans="1:6" ht="77.5" x14ac:dyDescent="0.35">
      <c r="A126" s="25" t="s">
        <v>73</v>
      </c>
      <c r="B126" s="25" t="s">
        <v>2</v>
      </c>
      <c r="C126" s="26" t="s">
        <v>595</v>
      </c>
      <c r="D126" s="27">
        <v>46293.833333333299</v>
      </c>
      <c r="E126" s="27">
        <v>46294.25</v>
      </c>
      <c r="F126" s="26" t="s">
        <v>117</v>
      </c>
    </row>
    <row r="127" spans="1:6" ht="77.5" x14ac:dyDescent="0.35">
      <c r="A127" s="25" t="s">
        <v>73</v>
      </c>
      <c r="B127" s="25" t="s">
        <v>6</v>
      </c>
      <c r="C127" s="26" t="s">
        <v>543</v>
      </c>
      <c r="D127" s="27">
        <v>46293.833333333299</v>
      </c>
      <c r="E127" s="27">
        <v>46294.25</v>
      </c>
      <c r="F127" s="26" t="s">
        <v>544</v>
      </c>
    </row>
    <row r="128" spans="1:6" ht="77.5" x14ac:dyDescent="0.35">
      <c r="A128" s="25" t="s">
        <v>23</v>
      </c>
      <c r="B128" s="25" t="s">
        <v>24</v>
      </c>
      <c r="C128" s="26" t="s">
        <v>25</v>
      </c>
      <c r="D128" s="27">
        <v>46293.833333333299</v>
      </c>
      <c r="E128" s="27">
        <v>46294.25</v>
      </c>
      <c r="F128" s="26" t="s">
        <v>26</v>
      </c>
    </row>
    <row r="129" spans="1:6" ht="77.5" x14ac:dyDescent="0.35">
      <c r="A129" s="25" t="s">
        <v>23</v>
      </c>
      <c r="B129" s="25" t="s">
        <v>24</v>
      </c>
      <c r="C129" s="26" t="s">
        <v>27</v>
      </c>
      <c r="D129" s="27">
        <v>46293.833333333299</v>
      </c>
      <c r="E129" s="27">
        <v>46294.25</v>
      </c>
      <c r="F129" s="26" t="s">
        <v>28</v>
      </c>
    </row>
    <row r="130" spans="1:6" ht="62" x14ac:dyDescent="0.35">
      <c r="A130" s="25" t="s">
        <v>23</v>
      </c>
      <c r="B130" s="25" t="s">
        <v>5</v>
      </c>
      <c r="C130" s="26" t="s">
        <v>566</v>
      </c>
      <c r="D130" s="27">
        <v>46293.833333333299</v>
      </c>
      <c r="E130" s="27">
        <v>46294.25</v>
      </c>
      <c r="F130" s="26" t="s">
        <v>567</v>
      </c>
    </row>
    <row r="131" spans="1:6" ht="62" x14ac:dyDescent="0.35">
      <c r="A131" s="25" t="s">
        <v>23</v>
      </c>
      <c r="B131" s="25" t="s">
        <v>5</v>
      </c>
      <c r="C131" s="26" t="s">
        <v>574</v>
      </c>
      <c r="D131" s="27">
        <v>46293.833333333299</v>
      </c>
      <c r="E131" s="27">
        <v>46294.25</v>
      </c>
      <c r="F131" s="26" t="s">
        <v>575</v>
      </c>
    </row>
    <row r="132" spans="1:6" ht="124" x14ac:dyDescent="0.35">
      <c r="A132" s="25" t="s">
        <v>89</v>
      </c>
      <c r="B132" s="25" t="s">
        <v>6</v>
      </c>
      <c r="C132" s="26" t="s">
        <v>90</v>
      </c>
      <c r="D132" s="27">
        <v>46293.541666666701</v>
      </c>
      <c r="E132" s="27">
        <v>46295.25</v>
      </c>
      <c r="F132" s="26" t="s">
        <v>91</v>
      </c>
    </row>
    <row r="133" spans="1:6" ht="124" x14ac:dyDescent="0.35">
      <c r="A133" s="25" t="s">
        <v>89</v>
      </c>
      <c r="B133" s="25" t="s">
        <v>24</v>
      </c>
      <c r="C133" s="26" t="s">
        <v>92</v>
      </c>
      <c r="D133" s="27">
        <v>46293.833333333299</v>
      </c>
      <c r="E133" s="27">
        <v>46294.25</v>
      </c>
      <c r="F133" s="26" t="s">
        <v>91</v>
      </c>
    </row>
    <row r="134" spans="1:6" ht="108.5" x14ac:dyDescent="0.35">
      <c r="A134" s="25" t="s">
        <v>529</v>
      </c>
      <c r="B134" s="25" t="s">
        <v>5</v>
      </c>
      <c r="C134" s="26" t="s">
        <v>530</v>
      </c>
      <c r="D134" s="27">
        <v>46293.833333333299</v>
      </c>
      <c r="E134" s="27">
        <v>46294.25</v>
      </c>
      <c r="F134" s="26" t="s">
        <v>528</v>
      </c>
    </row>
    <row r="135" spans="1:6" ht="46.5" x14ac:dyDescent="0.35">
      <c r="A135" s="25" t="s">
        <v>529</v>
      </c>
      <c r="B135" s="25" t="s">
        <v>5</v>
      </c>
      <c r="C135" s="26" t="s">
        <v>562</v>
      </c>
      <c r="D135" s="27">
        <v>46293.833333333299</v>
      </c>
      <c r="E135" s="27">
        <v>46294.208333333299</v>
      </c>
      <c r="F135" s="26" t="s">
        <v>563</v>
      </c>
    </row>
    <row r="136" spans="1:6" ht="46.5" x14ac:dyDescent="0.35">
      <c r="A136" s="25" t="s">
        <v>529</v>
      </c>
      <c r="B136" s="25" t="s">
        <v>24</v>
      </c>
      <c r="C136" s="26" t="s">
        <v>564</v>
      </c>
      <c r="D136" s="27">
        <v>46293.833333333299</v>
      </c>
      <c r="E136" s="27">
        <v>46294.208333333299</v>
      </c>
      <c r="F136" s="26" t="s">
        <v>565</v>
      </c>
    </row>
    <row r="137" spans="1:6" ht="77.5" x14ac:dyDescent="0.35">
      <c r="A137" s="25" t="s">
        <v>537</v>
      </c>
      <c r="B137" s="25" t="s">
        <v>24</v>
      </c>
      <c r="C137" s="26" t="s">
        <v>538</v>
      </c>
      <c r="D137" s="27">
        <v>46230.833333333299</v>
      </c>
      <c r="E137" s="27">
        <v>46403.25</v>
      </c>
      <c r="F137" s="26" t="s">
        <v>539</v>
      </c>
    </row>
    <row r="138" spans="1:6" ht="93" x14ac:dyDescent="0.35">
      <c r="A138" s="25" t="s">
        <v>537</v>
      </c>
      <c r="B138" s="25" t="s">
        <v>6</v>
      </c>
      <c r="C138" s="26" t="s">
        <v>698</v>
      </c>
      <c r="D138" s="27">
        <v>46293.875</v>
      </c>
      <c r="E138" s="27">
        <v>46294.25</v>
      </c>
      <c r="F138" s="26" t="s">
        <v>699</v>
      </c>
    </row>
    <row r="139" spans="1:6" ht="62" x14ac:dyDescent="0.35">
      <c r="A139" s="25" t="s">
        <v>120</v>
      </c>
      <c r="B139" s="25" t="s">
        <v>5</v>
      </c>
      <c r="C139" s="26" t="s">
        <v>593</v>
      </c>
      <c r="D139" s="27">
        <v>46293.833333333299</v>
      </c>
      <c r="E139" s="27">
        <v>46294.25</v>
      </c>
      <c r="F139" s="26" t="s">
        <v>594</v>
      </c>
    </row>
    <row r="140" spans="1:6" ht="93" x14ac:dyDescent="0.35">
      <c r="A140" s="25" t="s">
        <v>120</v>
      </c>
      <c r="B140" s="25" t="s">
        <v>5</v>
      </c>
      <c r="C140" s="26" t="s">
        <v>121</v>
      </c>
      <c r="D140" s="27">
        <v>46293.875</v>
      </c>
      <c r="E140" s="27">
        <v>46294.166666666701</v>
      </c>
      <c r="F140" s="26" t="s">
        <v>122</v>
      </c>
    </row>
    <row r="141" spans="1:6" ht="93" x14ac:dyDescent="0.35">
      <c r="A141" s="25" t="s">
        <v>120</v>
      </c>
      <c r="B141" s="25" t="s">
        <v>5</v>
      </c>
      <c r="C141" s="26" t="s">
        <v>123</v>
      </c>
      <c r="D141" s="27">
        <v>46293.875</v>
      </c>
      <c r="E141" s="27">
        <v>46294.166666666701</v>
      </c>
      <c r="F141" s="26" t="s">
        <v>122</v>
      </c>
    </row>
    <row r="142" spans="1:6" ht="93" x14ac:dyDescent="0.35">
      <c r="A142" s="25" t="s">
        <v>120</v>
      </c>
      <c r="B142" s="25" t="s">
        <v>5</v>
      </c>
      <c r="C142" s="26" t="s">
        <v>124</v>
      </c>
      <c r="D142" s="27">
        <v>46293.875</v>
      </c>
      <c r="E142" s="27">
        <v>46294.166666666701</v>
      </c>
      <c r="F142" s="26" t="s">
        <v>122</v>
      </c>
    </row>
    <row r="143" spans="1:6" ht="46.5" x14ac:dyDescent="0.35">
      <c r="A143" s="25" t="s">
        <v>273</v>
      </c>
      <c r="B143" s="25" t="s">
        <v>5</v>
      </c>
      <c r="C143" s="26" t="s">
        <v>274</v>
      </c>
      <c r="D143" s="27">
        <v>46293.875</v>
      </c>
      <c r="E143" s="27">
        <v>46294.208333333299</v>
      </c>
      <c r="F143" s="26" t="s">
        <v>275</v>
      </c>
    </row>
    <row r="144" spans="1:6" ht="46.5" x14ac:dyDescent="0.35">
      <c r="A144" s="25" t="s">
        <v>292</v>
      </c>
      <c r="B144" s="25" t="s">
        <v>2</v>
      </c>
      <c r="C144" s="26" t="s">
        <v>293</v>
      </c>
      <c r="D144" s="27">
        <v>46293.875</v>
      </c>
      <c r="E144" s="27">
        <v>46294.25</v>
      </c>
      <c r="F144" s="26" t="s">
        <v>294</v>
      </c>
    </row>
    <row r="145" spans="1:6" ht="46.5" x14ac:dyDescent="0.35">
      <c r="A145" s="25" t="s">
        <v>292</v>
      </c>
      <c r="B145" s="25" t="s">
        <v>2</v>
      </c>
      <c r="C145" s="26" t="s">
        <v>295</v>
      </c>
      <c r="D145" s="27">
        <v>46293.875</v>
      </c>
      <c r="E145" s="27">
        <v>46294.25</v>
      </c>
      <c r="F145" s="26" t="s">
        <v>294</v>
      </c>
    </row>
    <row r="146" spans="1:6" ht="62" x14ac:dyDescent="0.35">
      <c r="A146" s="25" t="s">
        <v>289</v>
      </c>
      <c r="B146" s="25" t="s">
        <v>2</v>
      </c>
      <c r="C146" s="26" t="s">
        <v>290</v>
      </c>
      <c r="D146" s="27">
        <v>46293.833333333299</v>
      </c>
      <c r="E146" s="27">
        <v>46294.25</v>
      </c>
      <c r="F146" s="26" t="s">
        <v>288</v>
      </c>
    </row>
    <row r="147" spans="1:6" ht="77.5" x14ac:dyDescent="0.35">
      <c r="A147" s="25" t="s">
        <v>185</v>
      </c>
      <c r="B147" s="25" t="s">
        <v>24</v>
      </c>
      <c r="C147" s="26" t="s">
        <v>601</v>
      </c>
      <c r="D147" s="27">
        <v>46293.833333333299</v>
      </c>
      <c r="E147" s="27">
        <v>46294.25</v>
      </c>
      <c r="F147" s="26" t="s">
        <v>602</v>
      </c>
    </row>
    <row r="148" spans="1:6" ht="93" x14ac:dyDescent="0.35">
      <c r="A148" s="25" t="s">
        <v>166</v>
      </c>
      <c r="B148" s="25" t="s">
        <v>6</v>
      </c>
      <c r="C148" s="26" t="s">
        <v>167</v>
      </c>
      <c r="D148" s="27">
        <v>46237.833333333299</v>
      </c>
      <c r="E148" s="27">
        <v>46326.25</v>
      </c>
      <c r="F148" s="26" t="s">
        <v>168</v>
      </c>
    </row>
    <row r="149" spans="1:6" ht="93" x14ac:dyDescent="0.35">
      <c r="A149" s="25" t="s">
        <v>166</v>
      </c>
      <c r="B149" s="25" t="s">
        <v>2</v>
      </c>
      <c r="C149" s="26" t="s">
        <v>169</v>
      </c>
      <c r="D149" s="27">
        <v>46237.833333333299</v>
      </c>
      <c r="E149" s="27">
        <v>46326.25</v>
      </c>
      <c r="F149" s="26" t="s">
        <v>168</v>
      </c>
    </row>
    <row r="150" spans="1:6" ht="77.5" x14ac:dyDescent="0.35">
      <c r="A150" s="25" t="s">
        <v>152</v>
      </c>
      <c r="B150" s="25" t="s">
        <v>24</v>
      </c>
      <c r="C150" s="26" t="s">
        <v>153</v>
      </c>
      <c r="D150" s="27">
        <v>46293.833333333299</v>
      </c>
      <c r="E150" s="27">
        <v>46294.25</v>
      </c>
      <c r="F150" s="26" t="s">
        <v>154</v>
      </c>
    </row>
    <row r="151" spans="1:6" ht="77.5" x14ac:dyDescent="0.35">
      <c r="A151" s="25" t="s">
        <v>134</v>
      </c>
      <c r="B151" s="25" t="s">
        <v>5</v>
      </c>
      <c r="C151" s="26" t="s">
        <v>135</v>
      </c>
      <c r="D151" s="27">
        <v>46293.833333333299</v>
      </c>
      <c r="E151" s="27">
        <v>46294.25</v>
      </c>
      <c r="F151" s="26" t="s">
        <v>136</v>
      </c>
    </row>
    <row r="152" spans="1:6" ht="77.5" x14ac:dyDescent="0.35">
      <c r="A152" s="25" t="s">
        <v>134</v>
      </c>
      <c r="B152" s="25" t="s">
        <v>5</v>
      </c>
      <c r="C152" s="26" t="s">
        <v>137</v>
      </c>
      <c r="D152" s="27">
        <v>46293.833333333299</v>
      </c>
      <c r="E152" s="27">
        <v>46294.25</v>
      </c>
      <c r="F152" s="26" t="s">
        <v>136</v>
      </c>
    </row>
    <row r="153" spans="1:6" ht="77.5" x14ac:dyDescent="0.35">
      <c r="A153" s="25" t="s">
        <v>134</v>
      </c>
      <c r="B153" s="25" t="s">
        <v>5</v>
      </c>
      <c r="C153" s="26" t="s">
        <v>138</v>
      </c>
      <c r="D153" s="27">
        <v>46293.833333333299</v>
      </c>
      <c r="E153" s="27">
        <v>46294</v>
      </c>
      <c r="F153" s="26" t="s">
        <v>136</v>
      </c>
    </row>
    <row r="154" spans="1:6" ht="77.5" x14ac:dyDescent="0.35">
      <c r="A154" s="25" t="s">
        <v>134</v>
      </c>
      <c r="B154" s="25" t="s">
        <v>5</v>
      </c>
      <c r="C154" s="26" t="s">
        <v>143</v>
      </c>
      <c r="D154" s="27">
        <v>46293.833333333299</v>
      </c>
      <c r="E154" s="27">
        <v>46294.25</v>
      </c>
      <c r="F154" s="26" t="s">
        <v>144</v>
      </c>
    </row>
    <row r="155" spans="1:6" ht="77.5" x14ac:dyDescent="0.35">
      <c r="A155" s="25" t="s">
        <v>134</v>
      </c>
      <c r="B155" s="25" t="s">
        <v>5</v>
      </c>
      <c r="C155" s="26" t="s">
        <v>145</v>
      </c>
      <c r="D155" s="27">
        <v>46293.833333333299</v>
      </c>
      <c r="E155" s="27">
        <v>46294.25</v>
      </c>
      <c r="F155" s="26" t="s">
        <v>144</v>
      </c>
    </row>
    <row r="156" spans="1:6" ht="77.5" x14ac:dyDescent="0.35">
      <c r="A156" s="25" t="s">
        <v>134</v>
      </c>
      <c r="B156" s="25" t="s">
        <v>5</v>
      </c>
      <c r="C156" s="26" t="s">
        <v>146</v>
      </c>
      <c r="D156" s="27">
        <v>46293.833333333299</v>
      </c>
      <c r="E156" s="27">
        <v>46294.25</v>
      </c>
      <c r="F156" s="26" t="s">
        <v>144</v>
      </c>
    </row>
    <row r="157" spans="1:6" ht="77.5" x14ac:dyDescent="0.35">
      <c r="A157" s="25" t="s">
        <v>134</v>
      </c>
      <c r="B157" s="25" t="s">
        <v>5</v>
      </c>
      <c r="C157" s="26" t="s">
        <v>147</v>
      </c>
      <c r="D157" s="27">
        <v>46293.833333333299</v>
      </c>
      <c r="E157" s="27">
        <v>46294.25</v>
      </c>
      <c r="F157" s="26" t="s">
        <v>144</v>
      </c>
    </row>
    <row r="158" spans="1:6" ht="77.5" x14ac:dyDescent="0.35">
      <c r="A158" s="25" t="s">
        <v>134</v>
      </c>
      <c r="B158" s="25" t="s">
        <v>5</v>
      </c>
      <c r="C158" s="26" t="s">
        <v>137</v>
      </c>
      <c r="D158" s="27">
        <v>46293.833333333299</v>
      </c>
      <c r="E158" s="27">
        <v>46294.25</v>
      </c>
      <c r="F158" s="26" t="s">
        <v>144</v>
      </c>
    </row>
    <row r="159" spans="1:6" ht="77.5" x14ac:dyDescent="0.35">
      <c r="A159" s="25" t="s">
        <v>134</v>
      </c>
      <c r="B159" s="25" t="s">
        <v>4</v>
      </c>
      <c r="C159" s="26" t="s">
        <v>606</v>
      </c>
      <c r="D159" s="27">
        <v>46293.833333333299</v>
      </c>
      <c r="E159" s="27">
        <v>46294.25</v>
      </c>
      <c r="F159" s="26" t="s">
        <v>607</v>
      </c>
    </row>
    <row r="160" spans="1:6" ht="77.5" x14ac:dyDescent="0.35">
      <c r="A160" s="25" t="s">
        <v>201</v>
      </c>
      <c r="B160" s="25" t="s">
        <v>5</v>
      </c>
      <c r="C160" s="26" t="s">
        <v>202</v>
      </c>
      <c r="D160" s="27">
        <v>46293.833333333299</v>
      </c>
      <c r="E160" s="27">
        <v>46294.25</v>
      </c>
      <c r="F160" s="26" t="s">
        <v>203</v>
      </c>
    </row>
    <row r="161" spans="1:6" ht="77.5" x14ac:dyDescent="0.35">
      <c r="A161" s="25" t="s">
        <v>201</v>
      </c>
      <c r="B161" s="25" t="s">
        <v>5</v>
      </c>
      <c r="C161" s="26" t="s">
        <v>204</v>
      </c>
      <c r="D161" s="27">
        <v>46293.833333333299</v>
      </c>
      <c r="E161" s="27">
        <v>46294.25</v>
      </c>
      <c r="F161" s="26" t="s">
        <v>203</v>
      </c>
    </row>
    <row r="162" spans="1:6" ht="77.5" x14ac:dyDescent="0.35">
      <c r="A162" s="25" t="s">
        <v>201</v>
      </c>
      <c r="B162" s="25" t="s">
        <v>5</v>
      </c>
      <c r="C162" s="26" t="s">
        <v>205</v>
      </c>
      <c r="D162" s="27">
        <v>46293.833333333299</v>
      </c>
      <c r="E162" s="27">
        <v>46294.25</v>
      </c>
      <c r="F162" s="26" t="s">
        <v>203</v>
      </c>
    </row>
    <row r="163" spans="1:6" ht="77.5" x14ac:dyDescent="0.35">
      <c r="A163" s="25" t="s">
        <v>201</v>
      </c>
      <c r="B163" s="25" t="s">
        <v>5</v>
      </c>
      <c r="C163" s="26" t="s">
        <v>206</v>
      </c>
      <c r="D163" s="27">
        <v>46293.833333333299</v>
      </c>
      <c r="E163" s="27">
        <v>46294.25</v>
      </c>
      <c r="F163" s="26" t="s">
        <v>203</v>
      </c>
    </row>
    <row r="164" spans="1:6" ht="77.5" x14ac:dyDescent="0.35">
      <c r="A164" s="25" t="s">
        <v>201</v>
      </c>
      <c r="B164" s="25" t="s">
        <v>5</v>
      </c>
      <c r="C164" s="26" t="s">
        <v>207</v>
      </c>
      <c r="D164" s="27">
        <v>46293.833333333299</v>
      </c>
      <c r="E164" s="27">
        <v>46294.25</v>
      </c>
      <c r="F164" s="26" t="s">
        <v>203</v>
      </c>
    </row>
    <row r="165" spans="1:6" ht="46.5" x14ac:dyDescent="0.35">
      <c r="A165" s="25" t="s">
        <v>201</v>
      </c>
      <c r="B165" s="25" t="s">
        <v>5</v>
      </c>
      <c r="C165" s="26" t="s">
        <v>228</v>
      </c>
      <c r="D165" s="27">
        <v>46293.833333333299</v>
      </c>
      <c r="E165" s="27">
        <v>46294.25</v>
      </c>
      <c r="F165" s="26" t="s">
        <v>229</v>
      </c>
    </row>
    <row r="166" spans="1:6" ht="46.5" x14ac:dyDescent="0.35">
      <c r="A166" s="25" t="s">
        <v>201</v>
      </c>
      <c r="B166" s="25" t="s">
        <v>4</v>
      </c>
      <c r="C166" s="26" t="s">
        <v>230</v>
      </c>
      <c r="D166" s="27">
        <v>46293.833333333299</v>
      </c>
      <c r="E166" s="27">
        <v>46294.25</v>
      </c>
      <c r="F166" s="26" t="s">
        <v>229</v>
      </c>
    </row>
    <row r="167" spans="1:6" ht="46.5" x14ac:dyDescent="0.35">
      <c r="A167" s="25" t="s">
        <v>211</v>
      </c>
      <c r="B167" s="25" t="s">
        <v>4</v>
      </c>
      <c r="C167" s="26" t="s">
        <v>611</v>
      </c>
      <c r="D167" s="27">
        <v>46293.833333333299</v>
      </c>
      <c r="E167" s="27">
        <v>46294.25</v>
      </c>
      <c r="F167" s="26" t="s">
        <v>213</v>
      </c>
    </row>
    <row r="168" spans="1:6" ht="46.5" x14ac:dyDescent="0.35">
      <c r="A168" s="25" t="s">
        <v>211</v>
      </c>
      <c r="B168" s="25" t="s">
        <v>5</v>
      </c>
      <c r="C168" s="26" t="s">
        <v>608</v>
      </c>
      <c r="D168" s="27">
        <v>46293.833333333299</v>
      </c>
      <c r="E168" s="27">
        <v>46294.25</v>
      </c>
      <c r="F168" s="26" t="s">
        <v>213</v>
      </c>
    </row>
    <row r="169" spans="1:6" ht="46.5" x14ac:dyDescent="0.35">
      <c r="A169" s="25" t="s">
        <v>211</v>
      </c>
      <c r="B169" s="25" t="s">
        <v>4</v>
      </c>
      <c r="C169" s="26" t="s">
        <v>609</v>
      </c>
      <c r="D169" s="27">
        <v>46293.833333333299</v>
      </c>
      <c r="E169" s="27">
        <v>46294.25</v>
      </c>
      <c r="F169" s="26" t="s">
        <v>213</v>
      </c>
    </row>
    <row r="170" spans="1:6" ht="46.5" x14ac:dyDescent="0.35">
      <c r="A170" s="25" t="s">
        <v>211</v>
      </c>
      <c r="B170" s="25" t="s">
        <v>5</v>
      </c>
      <c r="C170" s="26" t="s">
        <v>610</v>
      </c>
      <c r="D170" s="27">
        <v>46293.833333333299</v>
      </c>
      <c r="E170" s="27">
        <v>46294.25</v>
      </c>
      <c r="F170" s="26" t="s">
        <v>213</v>
      </c>
    </row>
    <row r="171" spans="1:6" ht="77.5" x14ac:dyDescent="0.35">
      <c r="A171" s="25" t="s">
        <v>55</v>
      </c>
      <c r="B171" s="25" t="s">
        <v>2</v>
      </c>
      <c r="C171" s="26" t="s">
        <v>56</v>
      </c>
      <c r="D171" s="27">
        <v>46293.875</v>
      </c>
      <c r="E171" s="27">
        <v>46294.208333333299</v>
      </c>
      <c r="F171" s="26" t="s">
        <v>57</v>
      </c>
    </row>
    <row r="172" spans="1:6" ht="93" x14ac:dyDescent="0.35">
      <c r="A172" s="25" t="s">
        <v>55</v>
      </c>
      <c r="B172" s="25" t="s">
        <v>6</v>
      </c>
      <c r="C172" s="26" t="s">
        <v>589</v>
      </c>
      <c r="D172" s="27">
        <v>46293.833333333299</v>
      </c>
      <c r="E172" s="27">
        <v>46294.25</v>
      </c>
      <c r="F172" s="26" t="s">
        <v>72</v>
      </c>
    </row>
    <row r="173" spans="1:6" ht="93" x14ac:dyDescent="0.35">
      <c r="A173" s="25" t="s">
        <v>55</v>
      </c>
      <c r="B173" s="25" t="s">
        <v>6</v>
      </c>
      <c r="C173" s="26" t="s">
        <v>590</v>
      </c>
      <c r="D173" s="27">
        <v>46293.833333333299</v>
      </c>
      <c r="E173" s="27">
        <v>46294.25</v>
      </c>
      <c r="F173" s="26" t="s">
        <v>72</v>
      </c>
    </row>
    <row r="174" spans="1:6" ht="31" x14ac:dyDescent="0.35">
      <c r="A174" s="25" t="s">
        <v>55</v>
      </c>
      <c r="B174" s="25" t="s">
        <v>6</v>
      </c>
      <c r="C174" s="26" t="s">
        <v>596</v>
      </c>
      <c r="D174" s="27">
        <v>46293.833333333299</v>
      </c>
      <c r="E174" s="27">
        <v>46294.208333333299</v>
      </c>
      <c r="F174" s="26" t="s">
        <v>597</v>
      </c>
    </row>
    <row r="175" spans="1:6" ht="46.5" x14ac:dyDescent="0.35">
      <c r="A175" s="25" t="s">
        <v>55</v>
      </c>
      <c r="B175" s="25" t="s">
        <v>2</v>
      </c>
      <c r="C175" s="26" t="s">
        <v>435</v>
      </c>
      <c r="D175" s="27">
        <v>46293.916666666701</v>
      </c>
      <c r="E175" s="27">
        <v>46294.229166666701</v>
      </c>
      <c r="F175" s="26" t="s">
        <v>436</v>
      </c>
    </row>
    <row r="176" spans="1:6" ht="77.5" x14ac:dyDescent="0.35">
      <c r="A176" s="25" t="s">
        <v>46</v>
      </c>
      <c r="B176" s="25" t="s">
        <v>2</v>
      </c>
      <c r="C176" s="26" t="s">
        <v>425</v>
      </c>
      <c r="D176" s="27">
        <v>46293.916666666701</v>
      </c>
      <c r="E176" s="27">
        <v>46294.229166666701</v>
      </c>
      <c r="F176" s="26" t="s">
        <v>426</v>
      </c>
    </row>
    <row r="177" spans="1:6" ht="62" x14ac:dyDescent="0.35">
      <c r="A177" s="25" t="s">
        <v>598</v>
      </c>
      <c r="B177" s="25" t="s">
        <v>2</v>
      </c>
      <c r="C177" s="26" t="s">
        <v>599</v>
      </c>
      <c r="D177" s="27">
        <v>46293.833333333299</v>
      </c>
      <c r="E177" s="27">
        <v>46294.25</v>
      </c>
      <c r="F177" s="26" t="s">
        <v>600</v>
      </c>
    </row>
    <row r="178" spans="1:6" ht="108.5" x14ac:dyDescent="0.35">
      <c r="A178" s="25" t="s">
        <v>128</v>
      </c>
      <c r="B178" s="25" t="s">
        <v>5</v>
      </c>
      <c r="C178" s="26" t="s">
        <v>129</v>
      </c>
      <c r="D178" s="27">
        <v>46293.833333333299</v>
      </c>
      <c r="E178" s="27">
        <v>46294.25</v>
      </c>
      <c r="F178" s="26" t="s">
        <v>130</v>
      </c>
    </row>
    <row r="179" spans="1:6" ht="108.5" x14ac:dyDescent="0.35">
      <c r="A179" s="25" t="s">
        <v>128</v>
      </c>
      <c r="B179" s="25" t="s">
        <v>5</v>
      </c>
      <c r="C179" s="26" t="s">
        <v>133</v>
      </c>
      <c r="D179" s="27">
        <v>46293.833333333299</v>
      </c>
      <c r="E179" s="27">
        <v>46294.25</v>
      </c>
      <c r="F179" s="26" t="s">
        <v>130</v>
      </c>
    </row>
    <row r="180" spans="1:6" ht="108.5" x14ac:dyDescent="0.35">
      <c r="A180" s="25" t="s">
        <v>131</v>
      </c>
      <c r="B180" s="25" t="s">
        <v>6</v>
      </c>
      <c r="C180" s="26" t="s">
        <v>132</v>
      </c>
      <c r="D180" s="27">
        <v>46293.833333333299</v>
      </c>
      <c r="E180" s="27">
        <v>46294.25</v>
      </c>
      <c r="F180" s="26" t="s">
        <v>130</v>
      </c>
    </row>
    <row r="181" spans="1:6" ht="46.5" x14ac:dyDescent="0.35">
      <c r="A181" s="25" t="s">
        <v>399</v>
      </c>
      <c r="B181" s="25" t="s">
        <v>4</v>
      </c>
      <c r="C181" s="26" t="s">
        <v>400</v>
      </c>
      <c r="D181" s="27">
        <v>46293.833333333299</v>
      </c>
      <c r="E181" s="27">
        <v>46294.25</v>
      </c>
      <c r="F181" s="26" t="s">
        <v>401</v>
      </c>
    </row>
    <row r="182" spans="1:6" ht="46.5" x14ac:dyDescent="0.35">
      <c r="A182" s="25" t="s">
        <v>399</v>
      </c>
      <c r="B182" s="25" t="s">
        <v>4</v>
      </c>
      <c r="C182" s="26" t="s">
        <v>402</v>
      </c>
      <c r="D182" s="27">
        <v>46293.833333333299</v>
      </c>
      <c r="E182" s="27">
        <v>46294.25</v>
      </c>
      <c r="F182" s="26" t="s">
        <v>401</v>
      </c>
    </row>
    <row r="183" spans="1:6" ht="46.5" x14ac:dyDescent="0.35">
      <c r="A183" s="25" t="s">
        <v>386</v>
      </c>
      <c r="B183" s="25" t="s">
        <v>5</v>
      </c>
      <c r="C183" s="26" t="s">
        <v>387</v>
      </c>
      <c r="D183" s="27">
        <v>46293.833333333299</v>
      </c>
      <c r="E183" s="27">
        <v>46294.25</v>
      </c>
      <c r="F183" s="26" t="s">
        <v>388</v>
      </c>
    </row>
    <row r="184" spans="1:6" ht="62" x14ac:dyDescent="0.35">
      <c r="A184" s="25" t="s">
        <v>386</v>
      </c>
      <c r="B184" s="25" t="s">
        <v>5</v>
      </c>
      <c r="C184" s="26" t="s">
        <v>389</v>
      </c>
      <c r="D184" s="27">
        <v>46293.833333333299</v>
      </c>
      <c r="E184" s="27">
        <v>46294.25</v>
      </c>
      <c r="F184" s="26" t="s">
        <v>390</v>
      </c>
    </row>
    <row r="185" spans="1:6" ht="62" x14ac:dyDescent="0.35">
      <c r="A185" s="25" t="s">
        <v>386</v>
      </c>
      <c r="B185" s="25" t="s">
        <v>5</v>
      </c>
      <c r="C185" s="26" t="s">
        <v>669</v>
      </c>
      <c r="D185" s="27">
        <v>46293.916666666701</v>
      </c>
      <c r="E185" s="27">
        <v>46294.229166666701</v>
      </c>
      <c r="F185" s="26" t="s">
        <v>670</v>
      </c>
    </row>
    <row r="186" spans="1:6" ht="62" x14ac:dyDescent="0.35">
      <c r="A186" s="25" t="s">
        <v>439</v>
      </c>
      <c r="B186" s="25" t="s">
        <v>6</v>
      </c>
      <c r="C186" s="26" t="s">
        <v>440</v>
      </c>
      <c r="D186" s="27">
        <v>46293.916666666701</v>
      </c>
      <c r="E186" s="27">
        <v>46294.229166666701</v>
      </c>
      <c r="F186" s="26" t="s">
        <v>441</v>
      </c>
    </row>
    <row r="187" spans="1:6" ht="62" x14ac:dyDescent="0.35">
      <c r="A187" s="25" t="s">
        <v>439</v>
      </c>
      <c r="B187" s="25" t="s">
        <v>6</v>
      </c>
      <c r="C187" s="26" t="s">
        <v>442</v>
      </c>
      <c r="D187" s="27">
        <v>46293.916666666701</v>
      </c>
      <c r="E187" s="27">
        <v>46294.229166666701</v>
      </c>
      <c r="F187" s="26" t="s">
        <v>441</v>
      </c>
    </row>
    <row r="188" spans="1:6" ht="62" x14ac:dyDescent="0.35">
      <c r="A188" s="25" t="s">
        <v>421</v>
      </c>
      <c r="B188" s="25" t="s">
        <v>7</v>
      </c>
      <c r="C188" s="26" t="s">
        <v>422</v>
      </c>
      <c r="D188" s="27">
        <v>46293.916666666701</v>
      </c>
      <c r="E188" s="27">
        <v>46294.229166666701</v>
      </c>
      <c r="F188" s="26" t="s">
        <v>423</v>
      </c>
    </row>
    <row r="189" spans="1:6" ht="62" x14ac:dyDescent="0.35">
      <c r="A189" s="25" t="s">
        <v>421</v>
      </c>
      <c r="B189" s="25" t="s">
        <v>7</v>
      </c>
      <c r="C189" s="26" t="s">
        <v>424</v>
      </c>
      <c r="D189" s="27">
        <v>46293.916666666701</v>
      </c>
      <c r="E189" s="27">
        <v>46294.229166666701</v>
      </c>
      <c r="F189" s="26" t="s">
        <v>423</v>
      </c>
    </row>
    <row r="190" spans="1:6" ht="77.5" x14ac:dyDescent="0.35">
      <c r="A190" s="25" t="s">
        <v>421</v>
      </c>
      <c r="B190" s="25" t="s">
        <v>8</v>
      </c>
      <c r="C190" s="26" t="s">
        <v>433</v>
      </c>
      <c r="D190" s="27">
        <v>46293.916666666701</v>
      </c>
      <c r="E190" s="27">
        <v>46294.229166666701</v>
      </c>
      <c r="F190" s="26" t="s">
        <v>434</v>
      </c>
    </row>
    <row r="191" spans="1:6" ht="62" x14ac:dyDescent="0.35">
      <c r="A191" s="25" t="s">
        <v>421</v>
      </c>
      <c r="B191" s="25" t="s">
        <v>8</v>
      </c>
      <c r="C191" s="26" t="s">
        <v>447</v>
      </c>
      <c r="D191" s="27">
        <v>46293.916666666701</v>
      </c>
      <c r="E191" s="27">
        <v>46294.229166666701</v>
      </c>
      <c r="F191" s="26" t="s">
        <v>448</v>
      </c>
    </row>
    <row r="192" spans="1:6" ht="62" x14ac:dyDescent="0.35">
      <c r="A192" s="25" t="s">
        <v>421</v>
      </c>
      <c r="B192" s="25" t="s">
        <v>7</v>
      </c>
      <c r="C192" s="26" t="s">
        <v>665</v>
      </c>
      <c r="D192" s="27">
        <v>46293.916666666701</v>
      </c>
      <c r="E192" s="27">
        <v>46294.208333333299</v>
      </c>
      <c r="F192" s="26" t="s">
        <v>666</v>
      </c>
    </row>
    <row r="193" spans="1:6" ht="46.5" x14ac:dyDescent="0.35">
      <c r="A193" s="25" t="s">
        <v>421</v>
      </c>
      <c r="B193" s="25" t="s">
        <v>7</v>
      </c>
      <c r="C193" s="26" t="s">
        <v>667</v>
      </c>
      <c r="D193" s="27">
        <v>46293.916666666701</v>
      </c>
      <c r="E193" s="27">
        <v>46294.229166666701</v>
      </c>
      <c r="F193" s="26" t="s">
        <v>668</v>
      </c>
    </row>
    <row r="194" spans="1:6" ht="77.5" x14ac:dyDescent="0.35">
      <c r="A194" s="25" t="s">
        <v>421</v>
      </c>
      <c r="B194" s="25" t="s">
        <v>8</v>
      </c>
      <c r="C194" s="26" t="s">
        <v>457</v>
      </c>
      <c r="D194" s="27">
        <v>46293.916666666701</v>
      </c>
      <c r="E194" s="27">
        <v>46294.229166666701</v>
      </c>
      <c r="F194" s="26" t="s">
        <v>458</v>
      </c>
    </row>
    <row r="195" spans="1:6" ht="62" x14ac:dyDescent="0.35">
      <c r="A195" s="25" t="s">
        <v>421</v>
      </c>
      <c r="B195" s="25" t="s">
        <v>7</v>
      </c>
      <c r="C195" s="26" t="s">
        <v>671</v>
      </c>
      <c r="D195" s="27">
        <v>46293.916666666701</v>
      </c>
      <c r="E195" s="27">
        <v>46294.208333333299</v>
      </c>
      <c r="F195" s="26" t="s">
        <v>672</v>
      </c>
    </row>
    <row r="196" spans="1:6" ht="77.5" x14ac:dyDescent="0.35">
      <c r="A196" s="25" t="s">
        <v>421</v>
      </c>
      <c r="B196" s="25" t="s">
        <v>8</v>
      </c>
      <c r="C196" s="26" t="s">
        <v>673</v>
      </c>
      <c r="D196" s="27">
        <v>46293.916666666701</v>
      </c>
      <c r="E196" s="27">
        <v>46294.229166666701</v>
      </c>
      <c r="F196" s="26" t="s">
        <v>674</v>
      </c>
    </row>
    <row r="197" spans="1:6" ht="93" x14ac:dyDescent="0.35">
      <c r="A197" s="25" t="s">
        <v>421</v>
      </c>
      <c r="B197" s="25" t="s">
        <v>8</v>
      </c>
      <c r="C197" s="26" t="s">
        <v>675</v>
      </c>
      <c r="D197" s="27">
        <v>46293.916666666701</v>
      </c>
      <c r="E197" s="27">
        <v>46294.229166666701</v>
      </c>
      <c r="F197" s="26" t="s">
        <v>676</v>
      </c>
    </row>
    <row r="198" spans="1:6" ht="62" x14ac:dyDescent="0.35">
      <c r="A198" s="25" t="s">
        <v>421</v>
      </c>
      <c r="B198" s="25" t="s">
        <v>8</v>
      </c>
      <c r="C198" s="26" t="s">
        <v>677</v>
      </c>
      <c r="D198" s="27">
        <v>46293.916666666701</v>
      </c>
      <c r="E198" s="27">
        <v>46294.229166666701</v>
      </c>
      <c r="F198" s="26" t="s">
        <v>678</v>
      </c>
    </row>
    <row r="199" spans="1:6" ht="77.5" x14ac:dyDescent="0.35">
      <c r="A199" s="25" t="s">
        <v>449</v>
      </c>
      <c r="B199" s="25" t="s">
        <v>4</v>
      </c>
      <c r="C199" s="26" t="s">
        <v>450</v>
      </c>
      <c r="D199" s="27">
        <v>46293.916666666701</v>
      </c>
      <c r="E199" s="27">
        <v>46294.229166666701</v>
      </c>
      <c r="F199" s="26" t="s">
        <v>451</v>
      </c>
    </row>
    <row r="200" spans="1:6" ht="77.5" x14ac:dyDescent="0.35">
      <c r="A200" s="25" t="s">
        <v>449</v>
      </c>
      <c r="B200" s="25" t="s">
        <v>4</v>
      </c>
      <c r="C200" s="26" t="s">
        <v>452</v>
      </c>
      <c r="D200" s="27">
        <v>46293.916666666701</v>
      </c>
      <c r="E200" s="27">
        <v>46294.229166666701</v>
      </c>
      <c r="F200" s="26" t="s">
        <v>451</v>
      </c>
    </row>
    <row r="201" spans="1:6" ht="46.5" x14ac:dyDescent="0.35">
      <c r="A201" s="25" t="s">
        <v>349</v>
      </c>
      <c r="B201" s="25" t="s">
        <v>5</v>
      </c>
      <c r="C201" s="26" t="s">
        <v>350</v>
      </c>
      <c r="D201" s="27">
        <v>46293.875</v>
      </c>
      <c r="E201" s="27">
        <v>46294.25</v>
      </c>
      <c r="F201" s="26" t="s">
        <v>351</v>
      </c>
    </row>
    <row r="202" spans="1:6" ht="46.5" x14ac:dyDescent="0.35">
      <c r="A202" s="25" t="s">
        <v>349</v>
      </c>
      <c r="B202" s="25" t="s">
        <v>4</v>
      </c>
      <c r="C202" s="26" t="s">
        <v>643</v>
      </c>
      <c r="D202" s="27">
        <v>46293.875</v>
      </c>
      <c r="E202" s="27">
        <v>46294.25</v>
      </c>
      <c r="F202" s="26" t="s">
        <v>644</v>
      </c>
    </row>
    <row r="203" spans="1:6" ht="31" x14ac:dyDescent="0.35">
      <c r="A203" s="25" t="s">
        <v>349</v>
      </c>
      <c r="B203" s="25" t="s">
        <v>5</v>
      </c>
      <c r="C203" s="26" t="s">
        <v>354</v>
      </c>
      <c r="D203" s="27">
        <v>46293.875</v>
      </c>
      <c r="E203" s="27">
        <v>46294.25</v>
      </c>
      <c r="F203" s="26" t="s">
        <v>355</v>
      </c>
    </row>
    <row r="204" spans="1:6" ht="62" x14ac:dyDescent="0.35">
      <c r="A204" s="25" t="s">
        <v>324</v>
      </c>
      <c r="B204" s="25" t="s">
        <v>2</v>
      </c>
      <c r="C204" s="26" t="s">
        <v>325</v>
      </c>
      <c r="D204" s="27">
        <v>46237.25</v>
      </c>
      <c r="E204" s="27">
        <v>46692.25</v>
      </c>
      <c r="F204" s="26" t="s">
        <v>326</v>
      </c>
    </row>
    <row r="205" spans="1:6" ht="62" x14ac:dyDescent="0.35">
      <c r="A205" s="25" t="s">
        <v>324</v>
      </c>
      <c r="B205" s="25" t="s">
        <v>2</v>
      </c>
      <c r="C205" s="26" t="s">
        <v>358</v>
      </c>
      <c r="D205" s="27">
        <v>46293.875</v>
      </c>
      <c r="E205" s="27">
        <v>46294.25</v>
      </c>
      <c r="F205" s="26" t="s">
        <v>357</v>
      </c>
    </row>
    <row r="206" spans="1:6" ht="93" x14ac:dyDescent="0.35">
      <c r="A206" s="25" t="s">
        <v>324</v>
      </c>
      <c r="B206" s="25" t="s">
        <v>4</v>
      </c>
      <c r="C206" s="26" t="s">
        <v>661</v>
      </c>
      <c r="D206" s="27">
        <v>46293.916666666701</v>
      </c>
      <c r="E206" s="27">
        <v>46294.229166666701</v>
      </c>
      <c r="F206" s="26" t="s">
        <v>662</v>
      </c>
    </row>
    <row r="207" spans="1:6" ht="31" x14ac:dyDescent="0.35">
      <c r="A207" s="25" t="s">
        <v>373</v>
      </c>
      <c r="B207" s="25" t="s">
        <v>4</v>
      </c>
      <c r="C207" s="26" t="s">
        <v>632</v>
      </c>
      <c r="D207" s="27">
        <v>46293.875</v>
      </c>
      <c r="E207" s="27">
        <v>46294.25</v>
      </c>
      <c r="F207" s="26" t="s">
        <v>633</v>
      </c>
    </row>
    <row r="208" spans="1:6" ht="31" x14ac:dyDescent="0.35">
      <c r="A208" s="25" t="s">
        <v>373</v>
      </c>
      <c r="B208" s="25" t="s">
        <v>5</v>
      </c>
      <c r="C208" s="26" t="s">
        <v>649</v>
      </c>
      <c r="D208" s="27">
        <v>46293.875</v>
      </c>
      <c r="E208" s="27">
        <v>46294.25</v>
      </c>
      <c r="F208" s="26" t="s">
        <v>650</v>
      </c>
    </row>
    <row r="209" spans="1:6" ht="62" x14ac:dyDescent="0.35">
      <c r="A209" s="25" t="s">
        <v>373</v>
      </c>
      <c r="B209" s="25" t="s">
        <v>4</v>
      </c>
      <c r="C209" s="26" t="s">
        <v>453</v>
      </c>
      <c r="D209" s="27">
        <v>46293.916666666701</v>
      </c>
      <c r="E209" s="27">
        <v>46294.229166666701</v>
      </c>
      <c r="F209" s="26" t="s">
        <v>454</v>
      </c>
    </row>
    <row r="210" spans="1:6" ht="46.5" x14ac:dyDescent="0.35">
      <c r="A210" s="25" t="s">
        <v>373</v>
      </c>
      <c r="B210" s="25" t="s">
        <v>4</v>
      </c>
      <c r="C210" s="26" t="s">
        <v>498</v>
      </c>
      <c r="D210" s="27">
        <v>46293.875</v>
      </c>
      <c r="E210" s="27">
        <v>46294.25</v>
      </c>
      <c r="F210" s="26" t="s">
        <v>499</v>
      </c>
    </row>
    <row r="211" spans="1:6" ht="46.5" x14ac:dyDescent="0.35">
      <c r="A211" s="25" t="s">
        <v>373</v>
      </c>
      <c r="B211" s="25" t="s">
        <v>4</v>
      </c>
      <c r="C211" s="26" t="s">
        <v>500</v>
      </c>
      <c r="D211" s="27">
        <v>46293.875</v>
      </c>
      <c r="E211" s="27">
        <v>46294.25</v>
      </c>
      <c r="F211" s="26" t="s">
        <v>499</v>
      </c>
    </row>
    <row r="212" spans="1:6" ht="108.5" x14ac:dyDescent="0.35">
      <c r="A212" s="25" t="s">
        <v>373</v>
      </c>
      <c r="B212" s="25" t="s">
        <v>5</v>
      </c>
      <c r="C212" s="26" t="s">
        <v>516</v>
      </c>
      <c r="D212" s="27">
        <v>46293.875</v>
      </c>
      <c r="E212" s="27">
        <v>46294.25</v>
      </c>
      <c r="F212" s="26" t="s">
        <v>517</v>
      </c>
    </row>
    <row r="213" spans="1:6" ht="77.5" x14ac:dyDescent="0.35">
      <c r="A213" s="25" t="s">
        <v>67</v>
      </c>
      <c r="B213" s="25" t="s">
        <v>6</v>
      </c>
      <c r="C213" s="26" t="s">
        <v>581</v>
      </c>
      <c r="D213" s="27">
        <v>46293.927083333299</v>
      </c>
      <c r="E213" s="27">
        <v>46294.25</v>
      </c>
      <c r="F213" s="26" t="s">
        <v>582</v>
      </c>
    </row>
    <row r="214" spans="1:6" ht="62" x14ac:dyDescent="0.35">
      <c r="A214" s="25" t="s">
        <v>67</v>
      </c>
      <c r="B214" s="25" t="s">
        <v>2</v>
      </c>
      <c r="C214" s="26" t="s">
        <v>583</v>
      </c>
      <c r="D214" s="27">
        <v>46293.927083333299</v>
      </c>
      <c r="E214" s="27">
        <v>46294.25</v>
      </c>
      <c r="F214" s="26" t="s">
        <v>584</v>
      </c>
    </row>
    <row r="215" spans="1:6" ht="77.5" x14ac:dyDescent="0.35">
      <c r="A215" s="25" t="s">
        <v>67</v>
      </c>
      <c r="B215" s="25" t="s">
        <v>6</v>
      </c>
      <c r="C215" s="26" t="s">
        <v>68</v>
      </c>
      <c r="D215" s="27">
        <v>46293.927083333299</v>
      </c>
      <c r="E215" s="27">
        <v>46294.25</v>
      </c>
      <c r="F215" s="26" t="s">
        <v>69</v>
      </c>
    </row>
    <row r="216" spans="1:6" ht="77.5" x14ac:dyDescent="0.35">
      <c r="A216" s="25" t="s">
        <v>67</v>
      </c>
      <c r="B216" s="25" t="s">
        <v>6</v>
      </c>
      <c r="C216" s="26" t="s">
        <v>70</v>
      </c>
      <c r="D216" s="27">
        <v>46293.927083333299</v>
      </c>
      <c r="E216" s="27">
        <v>46294.25</v>
      </c>
      <c r="F216" s="26" t="s">
        <v>69</v>
      </c>
    </row>
    <row r="217" spans="1:6" ht="77.5" x14ac:dyDescent="0.35">
      <c r="A217" s="25" t="s">
        <v>67</v>
      </c>
      <c r="B217" s="25" t="s">
        <v>2</v>
      </c>
      <c r="C217" s="26" t="s">
        <v>585</v>
      </c>
      <c r="D217" s="27">
        <v>46293.927083333299</v>
      </c>
      <c r="E217" s="27">
        <v>46294.25</v>
      </c>
      <c r="F217" s="26" t="s">
        <v>586</v>
      </c>
    </row>
    <row r="218" spans="1:6" ht="77.5" x14ac:dyDescent="0.35">
      <c r="A218" s="25" t="s">
        <v>67</v>
      </c>
      <c r="B218" s="25" t="s">
        <v>2</v>
      </c>
      <c r="C218" s="26" t="s">
        <v>587</v>
      </c>
      <c r="D218" s="27">
        <v>46293.927083333299</v>
      </c>
      <c r="E218" s="27">
        <v>46294.25</v>
      </c>
      <c r="F218" s="26" t="s">
        <v>586</v>
      </c>
    </row>
    <row r="219" spans="1:6" ht="77.5" x14ac:dyDescent="0.35">
      <c r="A219" s="25" t="s">
        <v>67</v>
      </c>
      <c r="B219" s="25" t="s">
        <v>2</v>
      </c>
      <c r="C219" s="26" t="s">
        <v>588</v>
      </c>
      <c r="D219" s="27">
        <v>46293.927083333299</v>
      </c>
      <c r="E219" s="27">
        <v>46294.25</v>
      </c>
      <c r="F219" s="26" t="s">
        <v>586</v>
      </c>
    </row>
    <row r="220" spans="1:6" ht="62" x14ac:dyDescent="0.35">
      <c r="A220" s="25" t="s">
        <v>67</v>
      </c>
      <c r="B220" s="25" t="s">
        <v>2</v>
      </c>
      <c r="C220" s="26" t="s">
        <v>548</v>
      </c>
      <c r="D220" s="27">
        <v>46293.875</v>
      </c>
      <c r="E220" s="27">
        <v>46294.25</v>
      </c>
      <c r="F220" s="26" t="s">
        <v>549</v>
      </c>
    </row>
    <row r="221" spans="1:6" ht="77.5" x14ac:dyDescent="0.35">
      <c r="A221" s="25" t="s">
        <v>540</v>
      </c>
      <c r="B221" s="25" t="s">
        <v>2</v>
      </c>
      <c r="C221" s="26" t="s">
        <v>541</v>
      </c>
      <c r="D221" s="27">
        <v>46293.875</v>
      </c>
      <c r="E221" s="27">
        <v>46294.25</v>
      </c>
      <c r="F221" s="26" t="s">
        <v>542</v>
      </c>
    </row>
    <row r="222" spans="1:6" ht="77.5" x14ac:dyDescent="0.35">
      <c r="A222" s="25" t="s">
        <v>540</v>
      </c>
      <c r="B222" s="25" t="s">
        <v>6</v>
      </c>
      <c r="C222" s="26" t="s">
        <v>550</v>
      </c>
      <c r="D222" s="27">
        <v>46293.875</v>
      </c>
      <c r="E222" s="27">
        <v>46294.25</v>
      </c>
      <c r="F222" s="26" t="s">
        <v>551</v>
      </c>
    </row>
    <row r="223" spans="1:6" ht="62" x14ac:dyDescent="0.35">
      <c r="A223" s="25" t="s">
        <v>518</v>
      </c>
      <c r="B223" s="25" t="s">
        <v>4</v>
      </c>
      <c r="C223" s="26" t="s">
        <v>519</v>
      </c>
      <c r="D223" s="27">
        <v>46293.833333333299</v>
      </c>
      <c r="E223" s="27">
        <v>46294.25</v>
      </c>
      <c r="F223" s="26" t="s">
        <v>520</v>
      </c>
    </row>
    <row r="224" spans="1:6" ht="93" x14ac:dyDescent="0.35">
      <c r="A224" s="25" t="s">
        <v>495</v>
      </c>
      <c r="B224" s="25" t="s">
        <v>6</v>
      </c>
      <c r="C224" s="26" t="s">
        <v>505</v>
      </c>
      <c r="D224" s="27">
        <v>46293.916666666701</v>
      </c>
      <c r="E224" s="27">
        <v>46294.25</v>
      </c>
      <c r="F224" s="26" t="s">
        <v>506</v>
      </c>
    </row>
    <row r="225" spans="1:6" ht="93" x14ac:dyDescent="0.35">
      <c r="A225" s="25" t="s">
        <v>495</v>
      </c>
      <c r="B225" s="25" t="s">
        <v>6</v>
      </c>
      <c r="C225" s="26" t="s">
        <v>684</v>
      </c>
      <c r="D225" s="27">
        <v>46293.875</v>
      </c>
      <c r="E225" s="27">
        <v>46294.25</v>
      </c>
      <c r="F225" s="26" t="s">
        <v>685</v>
      </c>
    </row>
    <row r="226" spans="1:6" ht="93" x14ac:dyDescent="0.35">
      <c r="A226" s="25" t="s">
        <v>495</v>
      </c>
      <c r="B226" s="25" t="s">
        <v>6</v>
      </c>
      <c r="C226" s="26" t="s">
        <v>686</v>
      </c>
      <c r="D226" s="27">
        <v>46293.875</v>
      </c>
      <c r="E226" s="27">
        <v>46294.25</v>
      </c>
      <c r="F226" s="26" t="s">
        <v>685</v>
      </c>
    </row>
    <row r="227" spans="1:6" ht="46.5" x14ac:dyDescent="0.35">
      <c r="A227" s="25" t="s">
        <v>495</v>
      </c>
      <c r="B227" s="25" t="s">
        <v>2</v>
      </c>
      <c r="C227" s="26" t="s">
        <v>692</v>
      </c>
      <c r="D227" s="27">
        <v>46293.875</v>
      </c>
      <c r="E227" s="27">
        <v>46294.208333333299</v>
      </c>
      <c r="F227" s="26" t="s">
        <v>693</v>
      </c>
    </row>
    <row r="228" spans="1:6" ht="46.5" x14ac:dyDescent="0.35">
      <c r="A228" s="25" t="s">
        <v>495</v>
      </c>
      <c r="B228" s="25" t="s">
        <v>2</v>
      </c>
      <c r="C228" s="26" t="s">
        <v>694</v>
      </c>
      <c r="D228" s="27">
        <v>46293.875</v>
      </c>
      <c r="E228" s="27">
        <v>46294.208333333299</v>
      </c>
      <c r="F228" s="26" t="s">
        <v>693</v>
      </c>
    </row>
    <row r="229" spans="1:6" ht="46.5" x14ac:dyDescent="0.35">
      <c r="A229" s="25" t="s">
        <v>495</v>
      </c>
      <c r="B229" s="25" t="s">
        <v>2</v>
      </c>
      <c r="C229" s="26" t="s">
        <v>695</v>
      </c>
      <c r="D229" s="27">
        <v>46293.875</v>
      </c>
      <c r="E229" s="27">
        <v>46294.208333333299</v>
      </c>
      <c r="F229" s="26" t="s">
        <v>693</v>
      </c>
    </row>
    <row r="230" spans="1:6" ht="77.5" x14ac:dyDescent="0.35">
      <c r="A230" s="25" t="s">
        <v>495</v>
      </c>
      <c r="B230" s="25" t="s">
        <v>6</v>
      </c>
      <c r="C230" s="26" t="s">
        <v>552</v>
      </c>
      <c r="D230" s="27">
        <v>46293.875</v>
      </c>
      <c r="E230" s="27">
        <v>46294.25</v>
      </c>
      <c r="F230" s="26" t="s">
        <v>551</v>
      </c>
    </row>
    <row r="231" spans="1:6" ht="46.5" x14ac:dyDescent="0.35">
      <c r="A231" s="25" t="s">
        <v>495</v>
      </c>
      <c r="B231" s="25" t="s">
        <v>2</v>
      </c>
      <c r="C231" s="26" t="s">
        <v>558</v>
      </c>
      <c r="D231" s="27">
        <v>46293.875</v>
      </c>
      <c r="E231" s="27">
        <v>46294.25</v>
      </c>
      <c r="F231" s="26" t="s">
        <v>559</v>
      </c>
    </row>
    <row r="232" spans="1:6" ht="46.5" x14ac:dyDescent="0.35">
      <c r="A232" s="25" t="s">
        <v>237</v>
      </c>
      <c r="B232" s="25" t="s">
        <v>2</v>
      </c>
      <c r="C232" s="26" t="s">
        <v>238</v>
      </c>
      <c r="D232" s="27">
        <v>46293.833333333299</v>
      </c>
      <c r="E232" s="27">
        <v>46294.25</v>
      </c>
      <c r="F232" s="26" t="s">
        <v>236</v>
      </c>
    </row>
    <row r="233" spans="1:6" ht="46.5" x14ac:dyDescent="0.35">
      <c r="A233" s="25" t="s">
        <v>237</v>
      </c>
      <c r="B233" s="25" t="s">
        <v>2</v>
      </c>
      <c r="C233" s="26" t="s">
        <v>239</v>
      </c>
      <c r="D233" s="27">
        <v>46293.833333333299</v>
      </c>
      <c r="E233" s="27">
        <v>46294.25</v>
      </c>
      <c r="F233" s="26" t="s">
        <v>236</v>
      </c>
    </row>
    <row r="234" spans="1:6" ht="46.5" x14ac:dyDescent="0.35">
      <c r="A234" s="25" t="s">
        <v>237</v>
      </c>
      <c r="B234" s="25" t="s">
        <v>2</v>
      </c>
      <c r="C234" s="26" t="s">
        <v>240</v>
      </c>
      <c r="D234" s="27">
        <v>46293.833333333299</v>
      </c>
      <c r="E234" s="27">
        <v>46294.25</v>
      </c>
      <c r="F234" s="26" t="s">
        <v>236</v>
      </c>
    </row>
    <row r="235" spans="1:6" ht="46.5" x14ac:dyDescent="0.35">
      <c r="A235" s="25" t="s">
        <v>237</v>
      </c>
      <c r="B235" s="25" t="s">
        <v>2</v>
      </c>
      <c r="C235" s="26" t="s">
        <v>241</v>
      </c>
      <c r="D235" s="27">
        <v>46293.833333333299</v>
      </c>
      <c r="E235" s="27">
        <v>46294.25</v>
      </c>
      <c r="F235" s="26" t="s">
        <v>236</v>
      </c>
    </row>
    <row r="236" spans="1:6" ht="46.5" x14ac:dyDescent="0.35">
      <c r="A236" s="25" t="s">
        <v>237</v>
      </c>
      <c r="B236" s="25" t="s">
        <v>2</v>
      </c>
      <c r="C236" s="26" t="s">
        <v>242</v>
      </c>
      <c r="D236" s="27">
        <v>46293.833333333299</v>
      </c>
      <c r="E236" s="27">
        <v>46294.25</v>
      </c>
      <c r="F236" s="26" t="s">
        <v>236</v>
      </c>
    </row>
    <row r="237" spans="1:6" ht="46.5" x14ac:dyDescent="0.35">
      <c r="A237" s="25" t="s">
        <v>237</v>
      </c>
      <c r="B237" s="25" t="s">
        <v>2</v>
      </c>
      <c r="C237" s="26" t="s">
        <v>243</v>
      </c>
      <c r="D237" s="27">
        <v>46293.833333333299</v>
      </c>
      <c r="E237" s="27">
        <v>46294.25</v>
      </c>
      <c r="F237" s="26" t="s">
        <v>236</v>
      </c>
    </row>
    <row r="238" spans="1:6" ht="62" x14ac:dyDescent="0.35">
      <c r="A238" s="25" t="s">
        <v>237</v>
      </c>
      <c r="B238" s="25" t="s">
        <v>5</v>
      </c>
      <c r="C238" s="26" t="s">
        <v>278</v>
      </c>
      <c r="D238" s="27">
        <v>46293.833333333299</v>
      </c>
      <c r="E238" s="27">
        <v>46294.208333333299</v>
      </c>
      <c r="F238" s="26" t="s">
        <v>279</v>
      </c>
    </row>
    <row r="239" spans="1:6" ht="46.5" x14ac:dyDescent="0.35">
      <c r="A239" s="25" t="s">
        <v>234</v>
      </c>
      <c r="B239" s="25" t="s">
        <v>5</v>
      </c>
      <c r="C239" s="26" t="s">
        <v>235</v>
      </c>
      <c r="D239" s="27">
        <v>46293.833333333299</v>
      </c>
      <c r="E239" s="27">
        <v>46294.25</v>
      </c>
      <c r="F239" s="26" t="s">
        <v>236</v>
      </c>
    </row>
    <row r="240" spans="1:6" ht="62" x14ac:dyDescent="0.35">
      <c r="A240" s="25" t="s">
        <v>234</v>
      </c>
      <c r="B240" s="25" t="s">
        <v>4</v>
      </c>
      <c r="C240" s="26" t="s">
        <v>276</v>
      </c>
      <c r="D240" s="27">
        <v>46293.875</v>
      </c>
      <c r="E240" s="27">
        <v>46294.25</v>
      </c>
      <c r="F240" s="26" t="s">
        <v>277</v>
      </c>
    </row>
    <row r="241" spans="1:6" ht="46.5" x14ac:dyDescent="0.35">
      <c r="A241" s="25" t="s">
        <v>234</v>
      </c>
      <c r="B241" s="25" t="s">
        <v>5</v>
      </c>
      <c r="C241" s="26" t="s">
        <v>617</v>
      </c>
      <c r="D241" s="27">
        <v>46293.875</v>
      </c>
      <c r="E241" s="27">
        <v>46294.25</v>
      </c>
      <c r="F241" s="26" t="s">
        <v>618</v>
      </c>
    </row>
    <row r="242" spans="1:6" ht="62" x14ac:dyDescent="0.35">
      <c r="A242" s="25" t="s">
        <v>234</v>
      </c>
      <c r="B242" s="25" t="s">
        <v>4</v>
      </c>
      <c r="C242" s="26" t="s">
        <v>283</v>
      </c>
      <c r="D242" s="27">
        <v>46293.875</v>
      </c>
      <c r="E242" s="27">
        <v>46294.25</v>
      </c>
      <c r="F242" s="26" t="s">
        <v>281</v>
      </c>
    </row>
    <row r="243" spans="1:6" ht="62" x14ac:dyDescent="0.35">
      <c r="A243" s="25" t="s">
        <v>234</v>
      </c>
      <c r="B243" s="25" t="s">
        <v>5</v>
      </c>
      <c r="C243" s="26" t="s">
        <v>284</v>
      </c>
      <c r="D243" s="27">
        <v>46293.875</v>
      </c>
      <c r="E243" s="27">
        <v>46294.25</v>
      </c>
      <c r="F243" s="26" t="s">
        <v>281</v>
      </c>
    </row>
    <row r="244" spans="1:6" ht="46.5" x14ac:dyDescent="0.35">
      <c r="A244" s="25" t="s">
        <v>231</v>
      </c>
      <c r="B244" s="25" t="s">
        <v>6</v>
      </c>
      <c r="C244" s="26" t="s">
        <v>232</v>
      </c>
      <c r="D244" s="27">
        <v>45804.208333333299</v>
      </c>
      <c r="E244" s="27">
        <v>46418.208333333299</v>
      </c>
      <c r="F244" s="26" t="s">
        <v>233</v>
      </c>
    </row>
    <row r="245" spans="1:6" ht="31" x14ac:dyDescent="0.35">
      <c r="A245" s="25" t="s">
        <v>231</v>
      </c>
      <c r="B245" s="25" t="s">
        <v>2</v>
      </c>
      <c r="C245" s="26" t="s">
        <v>269</v>
      </c>
      <c r="D245" s="27">
        <v>46267.833333333299</v>
      </c>
      <c r="E245" s="27">
        <v>46323.25</v>
      </c>
      <c r="F245" s="26" t="s">
        <v>270</v>
      </c>
    </row>
    <row r="246" spans="1:6" ht="62" x14ac:dyDescent="0.35">
      <c r="A246" s="25" t="s">
        <v>231</v>
      </c>
      <c r="B246" s="25" t="s">
        <v>2</v>
      </c>
      <c r="C246" s="26" t="s">
        <v>291</v>
      </c>
      <c r="D246" s="27">
        <v>46293.833333333299</v>
      </c>
      <c r="E246" s="27">
        <v>46294.25</v>
      </c>
      <c r="F246" s="26" t="s">
        <v>288</v>
      </c>
    </row>
    <row r="247" spans="1:6" ht="62" x14ac:dyDescent="0.35">
      <c r="A247" s="25" t="s">
        <v>286</v>
      </c>
      <c r="B247" s="25" t="s">
        <v>24</v>
      </c>
      <c r="C247" s="26" t="s">
        <v>287</v>
      </c>
      <c r="D247" s="27">
        <v>46293.833333333299</v>
      </c>
      <c r="E247" s="27">
        <v>46294.25</v>
      </c>
      <c r="F247" s="26" t="s">
        <v>288</v>
      </c>
    </row>
    <row r="248" spans="1:6" ht="77.5" x14ac:dyDescent="0.35">
      <c r="A248" s="25" t="s">
        <v>93</v>
      </c>
      <c r="B248" s="25" t="s">
        <v>6</v>
      </c>
      <c r="C248" s="26" t="s">
        <v>94</v>
      </c>
      <c r="D248" s="27">
        <v>46293.833333333299</v>
      </c>
      <c r="E248" s="27">
        <v>46294.25</v>
      </c>
      <c r="F248" s="26" t="s">
        <v>95</v>
      </c>
    </row>
    <row r="249" spans="1:6" ht="62" x14ac:dyDescent="0.35">
      <c r="A249" s="25" t="s">
        <v>93</v>
      </c>
      <c r="B249" s="25" t="s">
        <v>2</v>
      </c>
      <c r="C249" s="26" t="s">
        <v>280</v>
      </c>
      <c r="D249" s="27">
        <v>46293.875</v>
      </c>
      <c r="E249" s="27">
        <v>46294.25</v>
      </c>
      <c r="F249" s="26" t="s">
        <v>281</v>
      </c>
    </row>
    <row r="250" spans="1:6" ht="62" x14ac:dyDescent="0.35">
      <c r="A250" s="25" t="s">
        <v>93</v>
      </c>
      <c r="B250" s="25" t="s">
        <v>2</v>
      </c>
      <c r="C250" s="26" t="s">
        <v>282</v>
      </c>
      <c r="D250" s="27">
        <v>46293.875</v>
      </c>
      <c r="E250" s="27">
        <v>46294.25</v>
      </c>
      <c r="F250" s="26" t="s">
        <v>281</v>
      </c>
    </row>
    <row r="251" spans="1:6" ht="62" x14ac:dyDescent="0.35">
      <c r="A251" s="25" t="s">
        <v>93</v>
      </c>
      <c r="B251" s="25" t="s">
        <v>2</v>
      </c>
      <c r="C251" s="26" t="s">
        <v>285</v>
      </c>
      <c r="D251" s="27">
        <v>46293.875</v>
      </c>
      <c r="E251" s="27">
        <v>46294.25</v>
      </c>
      <c r="F251" s="26" t="s">
        <v>281</v>
      </c>
    </row>
    <row r="252" spans="1:6" ht="46.5" x14ac:dyDescent="0.35">
      <c r="A252" s="25" t="s">
        <v>93</v>
      </c>
      <c r="B252" s="25" t="s">
        <v>2</v>
      </c>
      <c r="C252" s="26" t="s">
        <v>623</v>
      </c>
      <c r="D252" s="27">
        <v>46293.833333333299</v>
      </c>
      <c r="E252" s="27">
        <v>46294.25</v>
      </c>
      <c r="F252" s="26" t="s">
        <v>301</v>
      </c>
    </row>
    <row r="253" spans="1:6" ht="46.5" x14ac:dyDescent="0.35">
      <c r="A253" s="25" t="s">
        <v>93</v>
      </c>
      <c r="B253" s="25" t="s">
        <v>6</v>
      </c>
      <c r="C253" s="26" t="s">
        <v>624</v>
      </c>
      <c r="D253" s="27">
        <v>46293.916666666701</v>
      </c>
      <c r="E253" s="27">
        <v>46294.25</v>
      </c>
      <c r="F253" s="26" t="s">
        <v>307</v>
      </c>
    </row>
    <row r="254" spans="1:6" ht="46.5" x14ac:dyDescent="0.35">
      <c r="A254" s="25" t="s">
        <v>93</v>
      </c>
      <c r="B254" s="25" t="s">
        <v>6</v>
      </c>
      <c r="C254" s="26" t="s">
        <v>306</v>
      </c>
      <c r="D254" s="27">
        <v>46293.916666666701</v>
      </c>
      <c r="E254" s="27">
        <v>46294.25</v>
      </c>
      <c r="F254" s="26" t="s">
        <v>307</v>
      </c>
    </row>
    <row r="255" spans="1:6" ht="46.5" x14ac:dyDescent="0.35">
      <c r="A255" s="25" t="s">
        <v>93</v>
      </c>
      <c r="B255" s="25" t="s">
        <v>2</v>
      </c>
      <c r="C255" s="26" t="s">
        <v>320</v>
      </c>
      <c r="D255" s="27">
        <v>46293.833333333299</v>
      </c>
      <c r="E255" s="27">
        <v>46294.25</v>
      </c>
      <c r="F255" s="26" t="s">
        <v>321</v>
      </c>
    </row>
    <row r="256" spans="1:6" ht="46.5" x14ac:dyDescent="0.35">
      <c r="A256" s="25" t="s">
        <v>93</v>
      </c>
      <c r="B256" s="25" t="s">
        <v>2</v>
      </c>
      <c r="C256" s="26" t="s">
        <v>629</v>
      </c>
      <c r="D256" s="27">
        <v>46293.833333333299</v>
      </c>
      <c r="E256" s="27">
        <v>46294.25</v>
      </c>
      <c r="F256" s="26" t="s">
        <v>321</v>
      </c>
    </row>
    <row r="257" spans="1:6" ht="46.5" x14ac:dyDescent="0.35">
      <c r="A257" s="25" t="s">
        <v>93</v>
      </c>
      <c r="B257" s="25" t="s">
        <v>6</v>
      </c>
      <c r="C257" s="26" t="s">
        <v>630</v>
      </c>
      <c r="D257" s="27">
        <v>46293.833333333299</v>
      </c>
      <c r="E257" s="27">
        <v>46294.208333333299</v>
      </c>
      <c r="F257" s="26" t="s">
        <v>631</v>
      </c>
    </row>
    <row r="258" spans="1:6" ht="93" x14ac:dyDescent="0.35">
      <c r="A258" s="25" t="s">
        <v>93</v>
      </c>
      <c r="B258" s="25" t="s">
        <v>2</v>
      </c>
      <c r="C258" s="26" t="s">
        <v>524</v>
      </c>
      <c r="D258" s="27">
        <v>46293.875</v>
      </c>
      <c r="E258" s="27">
        <v>46294.25</v>
      </c>
      <c r="F258" s="26" t="s">
        <v>525</v>
      </c>
    </row>
    <row r="259" spans="1:6" ht="93" x14ac:dyDescent="0.35">
      <c r="A259" s="25" t="s">
        <v>93</v>
      </c>
      <c r="B259" s="25" t="s">
        <v>6</v>
      </c>
      <c r="C259" s="26" t="s">
        <v>526</v>
      </c>
      <c r="D259" s="27">
        <v>46293.875</v>
      </c>
      <c r="E259" s="27">
        <v>46294.25</v>
      </c>
      <c r="F259" s="26" t="s">
        <v>525</v>
      </c>
    </row>
    <row r="260" spans="1:6" ht="77.5" x14ac:dyDescent="0.35">
      <c r="A260" s="25" t="s">
        <v>93</v>
      </c>
      <c r="B260" s="25" t="s">
        <v>6</v>
      </c>
      <c r="C260" s="26" t="s">
        <v>531</v>
      </c>
      <c r="D260" s="27">
        <v>46293.875</v>
      </c>
      <c r="E260" s="27">
        <v>46294.25</v>
      </c>
      <c r="F260" s="26" t="s">
        <v>532</v>
      </c>
    </row>
    <row r="261" spans="1:6" ht="77.5" x14ac:dyDescent="0.35">
      <c r="A261" s="25" t="s">
        <v>93</v>
      </c>
      <c r="B261" s="25" t="s">
        <v>2</v>
      </c>
      <c r="C261" s="26" t="s">
        <v>533</v>
      </c>
      <c r="D261" s="27">
        <v>46293.875</v>
      </c>
      <c r="E261" s="27">
        <v>46294.25</v>
      </c>
      <c r="F261" s="26" t="s">
        <v>534</v>
      </c>
    </row>
    <row r="262" spans="1:6" ht="93" x14ac:dyDescent="0.35">
      <c r="A262" s="25" t="s">
        <v>93</v>
      </c>
      <c r="B262" s="25" t="s">
        <v>6</v>
      </c>
      <c r="C262" s="26" t="s">
        <v>696</v>
      </c>
      <c r="D262" s="27">
        <v>46293.875</v>
      </c>
      <c r="E262" s="27">
        <v>46294.208333333299</v>
      </c>
      <c r="F262" s="26" t="s">
        <v>697</v>
      </c>
    </row>
    <row r="263" spans="1:6" ht="93" x14ac:dyDescent="0.35">
      <c r="A263" s="25" t="s">
        <v>93</v>
      </c>
      <c r="B263" s="25" t="s">
        <v>2</v>
      </c>
      <c r="C263" s="26" t="s">
        <v>553</v>
      </c>
      <c r="D263" s="27">
        <v>46293.875</v>
      </c>
      <c r="E263" s="27">
        <v>46294.25</v>
      </c>
      <c r="F263" s="26" t="s">
        <v>554</v>
      </c>
    </row>
    <row r="264" spans="1:6" ht="46.5" x14ac:dyDescent="0.35">
      <c r="A264" s="25" t="s">
        <v>250</v>
      </c>
      <c r="B264" s="25" t="s">
        <v>8</v>
      </c>
      <c r="C264" s="26" t="s">
        <v>614</v>
      </c>
      <c r="D264" s="27">
        <v>46293.958333333299</v>
      </c>
      <c r="E264" s="27">
        <v>46294.25</v>
      </c>
      <c r="F264" s="26" t="s">
        <v>252</v>
      </c>
    </row>
    <row r="265" spans="1:6" ht="46.5" x14ac:dyDescent="0.35">
      <c r="A265" s="25" t="s">
        <v>250</v>
      </c>
      <c r="B265" s="25" t="s">
        <v>8</v>
      </c>
      <c r="C265" s="26" t="s">
        <v>259</v>
      </c>
      <c r="D265" s="27">
        <v>46293.875</v>
      </c>
      <c r="E265" s="27">
        <v>46294.25</v>
      </c>
      <c r="F265" s="26" t="s">
        <v>260</v>
      </c>
    </row>
    <row r="266" spans="1:6" ht="46.5" x14ac:dyDescent="0.35">
      <c r="A266" s="25" t="s">
        <v>250</v>
      </c>
      <c r="B266" s="25" t="s">
        <v>7</v>
      </c>
      <c r="C266" s="26" t="s">
        <v>261</v>
      </c>
      <c r="D266" s="27">
        <v>46293.875</v>
      </c>
      <c r="E266" s="27">
        <v>46294.25</v>
      </c>
      <c r="F266" s="26" t="s">
        <v>260</v>
      </c>
    </row>
    <row r="267" spans="1:6" ht="46.5" x14ac:dyDescent="0.35">
      <c r="A267" s="25" t="s">
        <v>250</v>
      </c>
      <c r="B267" s="25" t="s">
        <v>7</v>
      </c>
      <c r="C267" s="26" t="s">
        <v>271</v>
      </c>
      <c r="D267" s="27">
        <v>46293.875</v>
      </c>
      <c r="E267" s="27">
        <v>46294.25</v>
      </c>
      <c r="F267" s="26" t="s">
        <v>272</v>
      </c>
    </row>
    <row r="268" spans="1:6" ht="46.5" x14ac:dyDescent="0.35">
      <c r="A268" s="25" t="s">
        <v>267</v>
      </c>
      <c r="B268" s="25" t="s">
        <v>6</v>
      </c>
      <c r="C268" s="26" t="s">
        <v>268</v>
      </c>
      <c r="D268" s="27">
        <v>46293.875</v>
      </c>
      <c r="E268" s="27">
        <v>46294.208333333299</v>
      </c>
      <c r="F268" s="26" t="s">
        <v>264</v>
      </c>
    </row>
    <row r="269" spans="1:6" ht="46.5" x14ac:dyDescent="0.35">
      <c r="A269" s="25" t="s">
        <v>267</v>
      </c>
      <c r="B269" s="25" t="s">
        <v>2</v>
      </c>
      <c r="C269" s="26" t="s">
        <v>615</v>
      </c>
      <c r="D269" s="27">
        <v>46293.875</v>
      </c>
      <c r="E269" s="27">
        <v>46294.208333333299</v>
      </c>
      <c r="F269" s="26" t="s">
        <v>616</v>
      </c>
    </row>
    <row r="270" spans="1:6" ht="77.5" x14ac:dyDescent="0.35">
      <c r="A270" s="25" t="s">
        <v>125</v>
      </c>
      <c r="B270" s="25" t="s">
        <v>4</v>
      </c>
      <c r="C270" s="26" t="s">
        <v>126</v>
      </c>
      <c r="D270" s="27">
        <v>46290.25</v>
      </c>
      <c r="E270" s="27">
        <v>46502.25</v>
      </c>
      <c r="F270" s="26" t="s">
        <v>127</v>
      </c>
    </row>
    <row r="271" spans="1:6" ht="93" x14ac:dyDescent="0.35">
      <c r="A271" s="25" t="s">
        <v>125</v>
      </c>
      <c r="B271" s="25" t="s">
        <v>5</v>
      </c>
      <c r="C271" s="26" t="s">
        <v>148</v>
      </c>
      <c r="D271" s="27">
        <v>46293.833333333299</v>
      </c>
      <c r="E271" s="27">
        <v>46294.25</v>
      </c>
      <c r="F271" s="26" t="s">
        <v>149</v>
      </c>
    </row>
    <row r="272" spans="1:6" ht="93" x14ac:dyDescent="0.35">
      <c r="A272" s="25" t="s">
        <v>125</v>
      </c>
      <c r="B272" s="25" t="s">
        <v>5</v>
      </c>
      <c r="C272" s="26" t="s">
        <v>150</v>
      </c>
      <c r="D272" s="27">
        <v>46293.833333333299</v>
      </c>
      <c r="E272" s="27">
        <v>46294.25</v>
      </c>
      <c r="F272" s="26" t="s">
        <v>149</v>
      </c>
    </row>
    <row r="273" spans="1:6" ht="93" x14ac:dyDescent="0.35">
      <c r="A273" s="25" t="s">
        <v>125</v>
      </c>
      <c r="B273" s="25" t="s">
        <v>5</v>
      </c>
      <c r="C273" s="26" t="s">
        <v>151</v>
      </c>
      <c r="D273" s="27">
        <v>46293.833333333299</v>
      </c>
      <c r="E273" s="27">
        <v>46294.25</v>
      </c>
      <c r="F273" s="26" t="s">
        <v>149</v>
      </c>
    </row>
    <row r="274" spans="1:6" ht="93" x14ac:dyDescent="0.35">
      <c r="A274" s="25" t="s">
        <v>125</v>
      </c>
      <c r="B274" s="25" t="s">
        <v>24</v>
      </c>
      <c r="C274" s="26" t="s">
        <v>161</v>
      </c>
      <c r="D274" s="27">
        <v>46293.833333333299</v>
      </c>
      <c r="E274" s="27">
        <v>46294.25</v>
      </c>
      <c r="F274" s="26" t="s">
        <v>162</v>
      </c>
    </row>
    <row r="275" spans="1:6" ht="93" x14ac:dyDescent="0.35">
      <c r="A275" s="25" t="s">
        <v>125</v>
      </c>
      <c r="B275" s="25" t="s">
        <v>24</v>
      </c>
      <c r="C275" s="26" t="s">
        <v>163</v>
      </c>
      <c r="D275" s="27">
        <v>46293.833333333299</v>
      </c>
      <c r="E275" s="27">
        <v>46294.25</v>
      </c>
      <c r="F275" s="26" t="s">
        <v>162</v>
      </c>
    </row>
    <row r="276" spans="1:6" ht="93" x14ac:dyDescent="0.35">
      <c r="A276" s="25" t="s">
        <v>125</v>
      </c>
      <c r="B276" s="25" t="s">
        <v>5</v>
      </c>
      <c r="C276" s="26" t="s">
        <v>172</v>
      </c>
      <c r="D276" s="27">
        <v>46293.833333333299</v>
      </c>
      <c r="E276" s="27">
        <v>46294.25</v>
      </c>
      <c r="F276" s="26" t="s">
        <v>168</v>
      </c>
    </row>
    <row r="277" spans="1:6" ht="77.5" x14ac:dyDescent="0.35">
      <c r="A277" s="25" t="s">
        <v>125</v>
      </c>
      <c r="B277" s="25" t="s">
        <v>4</v>
      </c>
      <c r="C277" s="26" t="s">
        <v>178</v>
      </c>
      <c r="D277" s="27">
        <v>46293.875</v>
      </c>
      <c r="E277" s="27">
        <v>46294.25</v>
      </c>
      <c r="F277" s="26" t="s">
        <v>179</v>
      </c>
    </row>
    <row r="278" spans="1:6" ht="77.5" x14ac:dyDescent="0.35">
      <c r="A278" s="25" t="s">
        <v>125</v>
      </c>
      <c r="B278" s="25" t="s">
        <v>4</v>
      </c>
      <c r="C278" s="26" t="s">
        <v>180</v>
      </c>
      <c r="D278" s="27">
        <v>46293.875</v>
      </c>
      <c r="E278" s="27">
        <v>46294.25</v>
      </c>
      <c r="F278" s="26" t="s">
        <v>179</v>
      </c>
    </row>
    <row r="279" spans="1:6" ht="77.5" x14ac:dyDescent="0.35">
      <c r="A279" s="25" t="s">
        <v>125</v>
      </c>
      <c r="B279" s="25" t="s">
        <v>4</v>
      </c>
      <c r="C279" s="26" t="s">
        <v>181</v>
      </c>
      <c r="D279" s="27">
        <v>46293.875</v>
      </c>
      <c r="E279" s="27">
        <v>46294.25</v>
      </c>
      <c r="F279" s="26" t="s">
        <v>179</v>
      </c>
    </row>
    <row r="280" spans="1:6" ht="77.5" x14ac:dyDescent="0.35">
      <c r="A280" s="25" t="s">
        <v>125</v>
      </c>
      <c r="B280" s="25" t="s">
        <v>4</v>
      </c>
      <c r="C280" s="26" t="s">
        <v>182</v>
      </c>
      <c r="D280" s="27">
        <v>46293.875</v>
      </c>
      <c r="E280" s="27">
        <v>46294.25</v>
      </c>
      <c r="F280" s="26" t="s">
        <v>179</v>
      </c>
    </row>
    <row r="281" spans="1:6" ht="46.5" x14ac:dyDescent="0.35">
      <c r="A281" s="25" t="s">
        <v>125</v>
      </c>
      <c r="B281" s="25" t="s">
        <v>4</v>
      </c>
      <c r="C281" s="26" t="s">
        <v>253</v>
      </c>
      <c r="D281" s="27">
        <v>46293.916666666701</v>
      </c>
      <c r="E281" s="27">
        <v>46294.208333333299</v>
      </c>
      <c r="F281" s="26" t="s">
        <v>254</v>
      </c>
    </row>
    <row r="282" spans="1:6" ht="46.5" x14ac:dyDescent="0.35">
      <c r="A282" s="25" t="s">
        <v>125</v>
      </c>
      <c r="B282" s="25" t="s">
        <v>4</v>
      </c>
      <c r="C282" s="26" t="s">
        <v>255</v>
      </c>
      <c r="D282" s="27">
        <v>46293.916666666701</v>
      </c>
      <c r="E282" s="27">
        <v>46294.208333333299</v>
      </c>
      <c r="F282" s="26" t="s">
        <v>254</v>
      </c>
    </row>
    <row r="283" spans="1:6" ht="46.5" x14ac:dyDescent="0.35">
      <c r="A283" s="25" t="s">
        <v>125</v>
      </c>
      <c r="B283" s="25" t="s">
        <v>4</v>
      </c>
      <c r="C283" s="26" t="s">
        <v>256</v>
      </c>
      <c r="D283" s="27">
        <v>46293.916666666701</v>
      </c>
      <c r="E283" s="27">
        <v>46294.208333333299</v>
      </c>
      <c r="F283" s="26" t="s">
        <v>254</v>
      </c>
    </row>
    <row r="284" spans="1:6" ht="46.5" x14ac:dyDescent="0.35">
      <c r="A284" s="25" t="s">
        <v>125</v>
      </c>
      <c r="B284" s="25" t="s">
        <v>4</v>
      </c>
      <c r="C284" s="26" t="s">
        <v>257</v>
      </c>
      <c r="D284" s="27">
        <v>46293.916666666701</v>
      </c>
      <c r="E284" s="27">
        <v>46294.208333333299</v>
      </c>
      <c r="F284" s="26" t="s">
        <v>254</v>
      </c>
    </row>
    <row r="285" spans="1:6" ht="93" x14ac:dyDescent="0.35">
      <c r="A285" s="25" t="s">
        <v>170</v>
      </c>
      <c r="B285" s="25" t="s">
        <v>8</v>
      </c>
      <c r="C285" s="26" t="s">
        <v>171</v>
      </c>
      <c r="D285" s="27">
        <v>46293.833333333299</v>
      </c>
      <c r="E285" s="27">
        <v>46294.25</v>
      </c>
      <c r="F285" s="26" t="s">
        <v>168</v>
      </c>
    </row>
    <row r="286" spans="1:6" ht="46.5" x14ac:dyDescent="0.35">
      <c r="A286" s="25" t="s">
        <v>262</v>
      </c>
      <c r="B286" s="25" t="s">
        <v>4</v>
      </c>
      <c r="C286" s="26" t="s">
        <v>263</v>
      </c>
      <c r="D286" s="27">
        <v>46293.875</v>
      </c>
      <c r="E286" s="27">
        <v>46294.208333333299</v>
      </c>
      <c r="F286" s="26" t="s">
        <v>264</v>
      </c>
    </row>
    <row r="287" spans="1:6" ht="46.5" x14ac:dyDescent="0.35">
      <c r="A287" s="25" t="s">
        <v>262</v>
      </c>
      <c r="B287" s="25" t="s">
        <v>4</v>
      </c>
      <c r="C287" s="26" t="s">
        <v>265</v>
      </c>
      <c r="D287" s="27">
        <v>46293.875</v>
      </c>
      <c r="E287" s="27">
        <v>46294.208333333299</v>
      </c>
      <c r="F287" s="26" t="s">
        <v>264</v>
      </c>
    </row>
    <row r="288" spans="1:6" ht="46.5" x14ac:dyDescent="0.35">
      <c r="A288" s="25" t="s">
        <v>262</v>
      </c>
      <c r="B288" s="25" t="s">
        <v>4</v>
      </c>
      <c r="C288" s="26" t="s">
        <v>266</v>
      </c>
      <c r="D288" s="27">
        <v>46293.875</v>
      </c>
      <c r="E288" s="27">
        <v>46294.208333333299</v>
      </c>
      <c r="F288" s="26" t="s">
        <v>264</v>
      </c>
    </row>
    <row r="289" spans="1:6" ht="46.5" x14ac:dyDescent="0.35">
      <c r="A289" s="25" t="s">
        <v>262</v>
      </c>
      <c r="B289" s="25" t="s">
        <v>4</v>
      </c>
      <c r="C289" s="26" t="s">
        <v>619</v>
      </c>
      <c r="D289" s="27">
        <v>46293.875</v>
      </c>
      <c r="E289" s="27">
        <v>46294.25</v>
      </c>
      <c r="F289" s="26" t="s">
        <v>620</v>
      </c>
    </row>
    <row r="290" spans="1:6" ht="46.5" x14ac:dyDescent="0.35">
      <c r="A290" s="25" t="s">
        <v>262</v>
      </c>
      <c r="B290" s="25" t="s">
        <v>4</v>
      </c>
      <c r="C290" s="26" t="s">
        <v>621</v>
      </c>
      <c r="D290" s="27">
        <v>46293.875</v>
      </c>
      <c r="E290" s="27">
        <v>46294.25</v>
      </c>
      <c r="F290" s="26" t="s">
        <v>622</v>
      </c>
    </row>
    <row r="291" spans="1:6" ht="46.5" x14ac:dyDescent="0.35">
      <c r="A291" s="25" t="s">
        <v>262</v>
      </c>
      <c r="B291" s="25" t="s">
        <v>6</v>
      </c>
      <c r="C291" s="26" t="s">
        <v>625</v>
      </c>
      <c r="D291" s="27">
        <v>46293.958333333299</v>
      </c>
      <c r="E291" s="27">
        <v>46294.25</v>
      </c>
      <c r="F291" s="26" t="s">
        <v>626</v>
      </c>
    </row>
    <row r="292" spans="1:6" ht="46.5" x14ac:dyDescent="0.35">
      <c r="A292" s="25" t="s">
        <v>309</v>
      </c>
      <c r="B292" s="25" t="s">
        <v>6</v>
      </c>
      <c r="C292" s="26" t="s">
        <v>627</v>
      </c>
      <c r="D292" s="27">
        <v>46293.875</v>
      </c>
      <c r="E292" s="27">
        <v>46294.25</v>
      </c>
      <c r="F292" s="26" t="s">
        <v>311</v>
      </c>
    </row>
    <row r="293" spans="1:6" ht="46.5" x14ac:dyDescent="0.35">
      <c r="A293" s="25" t="s">
        <v>309</v>
      </c>
      <c r="B293" s="25" t="s">
        <v>6</v>
      </c>
      <c r="C293" s="26" t="s">
        <v>628</v>
      </c>
      <c r="D293" s="27">
        <v>46293.875</v>
      </c>
      <c r="E293" s="27">
        <v>46294.25</v>
      </c>
      <c r="F293" s="26" t="s">
        <v>311</v>
      </c>
    </row>
    <row r="294" spans="1:6" ht="46.5" x14ac:dyDescent="0.35">
      <c r="A294" s="25" t="s">
        <v>244</v>
      </c>
      <c r="B294" s="25" t="s">
        <v>4</v>
      </c>
      <c r="C294" s="26" t="s">
        <v>245</v>
      </c>
      <c r="D294" s="27">
        <v>46293.833333333299</v>
      </c>
      <c r="E294" s="27">
        <v>46294.25</v>
      </c>
      <c r="F294" s="26" t="s">
        <v>246</v>
      </c>
    </row>
    <row r="295" spans="1:6" ht="46.5" x14ac:dyDescent="0.35">
      <c r="A295" s="25" t="s">
        <v>244</v>
      </c>
      <c r="B295" s="25" t="s">
        <v>4</v>
      </c>
      <c r="C295" s="26" t="s">
        <v>247</v>
      </c>
      <c r="D295" s="27">
        <v>46293.833333333299</v>
      </c>
      <c r="E295" s="27">
        <v>46294.25</v>
      </c>
      <c r="F295" s="26" t="s">
        <v>246</v>
      </c>
    </row>
    <row r="296" spans="1:6" ht="46.5" x14ac:dyDescent="0.35">
      <c r="A296" s="25" t="s">
        <v>244</v>
      </c>
      <c r="B296" s="25" t="s">
        <v>5</v>
      </c>
      <c r="C296" s="26" t="s">
        <v>248</v>
      </c>
      <c r="D296" s="27">
        <v>46293.833333333299</v>
      </c>
      <c r="E296" s="27">
        <v>46294.25</v>
      </c>
      <c r="F296" s="26" t="s">
        <v>246</v>
      </c>
    </row>
    <row r="297" spans="1:6" ht="46.5" x14ac:dyDescent="0.35">
      <c r="A297" s="25" t="s">
        <v>244</v>
      </c>
      <c r="B297" s="25" t="s">
        <v>5</v>
      </c>
      <c r="C297" s="26" t="s">
        <v>249</v>
      </c>
      <c r="D297" s="27">
        <v>46293.833333333299</v>
      </c>
      <c r="E297" s="27">
        <v>46294.25</v>
      </c>
      <c r="F297" s="26" t="s">
        <v>246</v>
      </c>
    </row>
    <row r="298" spans="1:6" ht="77.5" x14ac:dyDescent="0.35">
      <c r="A298" s="25" t="s">
        <v>535</v>
      </c>
      <c r="B298" s="25" t="s">
        <v>6</v>
      </c>
      <c r="C298" s="26" t="s">
        <v>536</v>
      </c>
      <c r="D298" s="27">
        <v>46293.875</v>
      </c>
      <c r="E298" s="27">
        <v>46294.25</v>
      </c>
      <c r="F298" s="26" t="s">
        <v>534</v>
      </c>
    </row>
  </sheetData>
  <autoFilter ref="A2:F87" xr:uid="{8E28860C-F965-40C0-9C49-A8B021D34924}">
    <sortState xmlns:xlrd2="http://schemas.microsoft.com/office/spreadsheetml/2017/richdata2" ref="A3:F298">
      <sortCondition ref="A2:A87"/>
    </sortState>
  </autoFilter>
  <mergeCells count="1">
    <mergeCell ref="A1:F1"/>
  </mergeCells>
  <conditionalFormatting sqref="A3:F298">
    <cfRule type="expression" dxfId="3" priority="1">
      <formula>$J3="Over 12 hours"</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CE3BE4-81BC-4910-9191-065F47840FDE}">
  <sheetPr>
    <tabColor rgb="FFFFC000"/>
  </sheetPr>
  <dimension ref="A1:K307"/>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0.23046875" style="3" customWidth="1"/>
    <col min="4" max="4" width="15.765625" style="3" customWidth="1"/>
    <col min="5" max="5" width="15.765625" style="13" customWidth="1"/>
    <col min="6" max="6" width="47" style="13" customWidth="1"/>
    <col min="7" max="11" width="0" hidden="1" customWidth="1"/>
    <col min="12" max="16384" width="8.765625" hidden="1"/>
  </cols>
  <sheetData>
    <row r="1" spans="1:6" ht="32.5" x14ac:dyDescent="0.35">
      <c r="A1" s="35" t="str">
        <f>"Daily closure report: "&amp;'Front page'!A10</f>
        <v>Daily closure report: Tuesday, 29 September</v>
      </c>
      <c r="B1" s="35"/>
      <c r="C1" s="35"/>
      <c r="D1" s="35"/>
      <c r="E1" s="35"/>
      <c r="F1" s="35"/>
    </row>
    <row r="2" spans="1:6" s="5" customFormat="1" ht="28" x14ac:dyDescent="0.35">
      <c r="A2" s="12" t="s">
        <v>9</v>
      </c>
      <c r="B2" s="12" t="s">
        <v>1</v>
      </c>
      <c r="C2" s="12" t="s">
        <v>0</v>
      </c>
      <c r="D2" s="11" t="s">
        <v>11</v>
      </c>
      <c r="E2" s="11" t="s">
        <v>12</v>
      </c>
      <c r="F2" s="12" t="s">
        <v>10</v>
      </c>
    </row>
    <row r="3" spans="1:6" s="5" customFormat="1" ht="62" x14ac:dyDescent="0.35">
      <c r="A3" s="25" t="s">
        <v>38</v>
      </c>
      <c r="B3" s="25" t="s">
        <v>6</v>
      </c>
      <c r="C3" s="26" t="s">
        <v>39</v>
      </c>
      <c r="D3" s="27">
        <v>46294.833333333299</v>
      </c>
      <c r="E3" s="27">
        <v>46295.208333333299</v>
      </c>
      <c r="F3" s="26" t="s">
        <v>40</v>
      </c>
    </row>
    <row r="4" spans="1:6" s="5" customFormat="1" ht="62" x14ac:dyDescent="0.35">
      <c r="A4" s="25" t="s">
        <v>38</v>
      </c>
      <c r="B4" s="25" t="s">
        <v>24</v>
      </c>
      <c r="C4" s="26" t="s">
        <v>49</v>
      </c>
      <c r="D4" s="27">
        <v>45847.208333333299</v>
      </c>
      <c r="E4" s="27">
        <v>46507.999305555597</v>
      </c>
      <c r="F4" s="26" t="s">
        <v>50</v>
      </c>
    </row>
    <row r="5" spans="1:6" s="5" customFormat="1" ht="77.5" x14ac:dyDescent="0.35">
      <c r="A5" s="25" t="s">
        <v>38</v>
      </c>
      <c r="B5" s="25" t="s">
        <v>2</v>
      </c>
      <c r="C5" s="26" t="s">
        <v>54</v>
      </c>
      <c r="D5" s="27">
        <v>46294.875</v>
      </c>
      <c r="E5" s="27">
        <v>46295.208333333299</v>
      </c>
      <c r="F5" s="26" t="s">
        <v>53</v>
      </c>
    </row>
    <row r="6" spans="1:6" s="5" customFormat="1" ht="77.5" x14ac:dyDescent="0.35">
      <c r="A6" s="25" t="s">
        <v>38</v>
      </c>
      <c r="B6" s="25" t="s">
        <v>2</v>
      </c>
      <c r="C6" s="26" t="s">
        <v>96</v>
      </c>
      <c r="D6" s="27">
        <v>46293.541666666701</v>
      </c>
      <c r="E6" s="27">
        <v>46295.25</v>
      </c>
      <c r="F6" s="26" t="s">
        <v>97</v>
      </c>
    </row>
    <row r="7" spans="1:6" s="5" customFormat="1" ht="46.5" x14ac:dyDescent="0.35">
      <c r="A7" s="25" t="s">
        <v>38</v>
      </c>
      <c r="B7" s="25" t="s">
        <v>2</v>
      </c>
      <c r="C7" s="26" t="s">
        <v>98</v>
      </c>
      <c r="D7" s="27">
        <v>46294.833333333299</v>
      </c>
      <c r="E7" s="27">
        <v>46295.25</v>
      </c>
      <c r="F7" s="26" t="s">
        <v>97</v>
      </c>
    </row>
    <row r="8" spans="1:6" s="5" customFormat="1" ht="46.5" x14ac:dyDescent="0.35">
      <c r="A8" s="25" t="s">
        <v>38</v>
      </c>
      <c r="B8" s="25" t="s">
        <v>2</v>
      </c>
      <c r="C8" s="26" t="s">
        <v>99</v>
      </c>
      <c r="D8" s="27">
        <v>46294.833333333299</v>
      </c>
      <c r="E8" s="27">
        <v>46295.25</v>
      </c>
      <c r="F8" s="26" t="s">
        <v>97</v>
      </c>
    </row>
    <row r="9" spans="1:6" s="5" customFormat="1" ht="62" x14ac:dyDescent="0.35">
      <c r="A9" s="25" t="s">
        <v>38</v>
      </c>
      <c r="B9" s="25" t="s">
        <v>2</v>
      </c>
      <c r="C9" s="26" t="s">
        <v>100</v>
      </c>
      <c r="D9" s="27">
        <v>46294.833333333299</v>
      </c>
      <c r="E9" s="27">
        <v>46295.25</v>
      </c>
      <c r="F9" s="26" t="s">
        <v>97</v>
      </c>
    </row>
    <row r="10" spans="1:6" s="5" customFormat="1" ht="46.5" x14ac:dyDescent="0.35">
      <c r="A10" s="25" t="s">
        <v>38</v>
      </c>
      <c r="B10" s="25" t="s">
        <v>2</v>
      </c>
      <c r="C10" s="26" t="s">
        <v>101</v>
      </c>
      <c r="D10" s="27">
        <v>46294.833333333299</v>
      </c>
      <c r="E10" s="27">
        <v>46295.25</v>
      </c>
      <c r="F10" s="26" t="s">
        <v>97</v>
      </c>
    </row>
    <row r="11" spans="1:6" s="5" customFormat="1" ht="46.5" x14ac:dyDescent="0.35">
      <c r="A11" s="25" t="s">
        <v>38</v>
      </c>
      <c r="B11" s="25" t="s">
        <v>2</v>
      </c>
      <c r="C11" s="26" t="s">
        <v>102</v>
      </c>
      <c r="D11" s="27">
        <v>46294.833333333299</v>
      </c>
      <c r="E11" s="27">
        <v>46295.25</v>
      </c>
      <c r="F11" s="26" t="s">
        <v>97</v>
      </c>
    </row>
    <row r="12" spans="1:6" s="5" customFormat="1" ht="46.5" x14ac:dyDescent="0.35">
      <c r="A12" s="25" t="s">
        <v>38</v>
      </c>
      <c r="B12" s="25" t="s">
        <v>2</v>
      </c>
      <c r="C12" s="26" t="s">
        <v>103</v>
      </c>
      <c r="D12" s="27">
        <v>46294.833333333299</v>
      </c>
      <c r="E12" s="27">
        <v>46295.25</v>
      </c>
      <c r="F12" s="26" t="s">
        <v>97</v>
      </c>
    </row>
    <row r="13" spans="1:6" s="5" customFormat="1" ht="93" x14ac:dyDescent="0.35">
      <c r="A13" s="25" t="s">
        <v>38</v>
      </c>
      <c r="B13" s="25" t="s">
        <v>2</v>
      </c>
      <c r="C13" s="26" t="s">
        <v>104</v>
      </c>
      <c r="D13" s="27">
        <v>46294.833333333299</v>
      </c>
      <c r="E13" s="27">
        <v>46295.25</v>
      </c>
      <c r="F13" s="26" t="s">
        <v>97</v>
      </c>
    </row>
    <row r="14" spans="1:6" s="5" customFormat="1" ht="93" x14ac:dyDescent="0.35">
      <c r="A14" s="25" t="s">
        <v>38</v>
      </c>
      <c r="B14" s="25" t="s">
        <v>2</v>
      </c>
      <c r="C14" s="26" t="s">
        <v>105</v>
      </c>
      <c r="D14" s="27">
        <v>46294.833333333299</v>
      </c>
      <c r="E14" s="27">
        <v>46295.25</v>
      </c>
      <c r="F14" s="26" t="s">
        <v>97</v>
      </c>
    </row>
    <row r="15" spans="1:6" s="5" customFormat="1" ht="93" x14ac:dyDescent="0.35">
      <c r="A15" s="25" t="s">
        <v>38</v>
      </c>
      <c r="B15" s="25" t="s">
        <v>2</v>
      </c>
      <c r="C15" s="26" t="s">
        <v>106</v>
      </c>
      <c r="D15" s="27">
        <v>46294.833333333299</v>
      </c>
      <c r="E15" s="27">
        <v>46295.25</v>
      </c>
      <c r="F15" s="26" t="s">
        <v>97</v>
      </c>
    </row>
    <row r="16" spans="1:6" s="5" customFormat="1" ht="93" x14ac:dyDescent="0.35">
      <c r="A16" s="25" t="s">
        <v>38</v>
      </c>
      <c r="B16" s="25" t="s">
        <v>2</v>
      </c>
      <c r="C16" s="26" t="s">
        <v>107</v>
      </c>
      <c r="D16" s="27">
        <v>46294.833333333299</v>
      </c>
      <c r="E16" s="27">
        <v>46295.25</v>
      </c>
      <c r="F16" s="26" t="s">
        <v>97</v>
      </c>
    </row>
    <row r="17" spans="1:6" s="5" customFormat="1" ht="93" x14ac:dyDescent="0.35">
      <c r="A17" s="25" t="s">
        <v>38</v>
      </c>
      <c r="B17" s="25" t="s">
        <v>2</v>
      </c>
      <c r="C17" s="26" t="s">
        <v>108</v>
      </c>
      <c r="D17" s="27">
        <v>46294.833333333299</v>
      </c>
      <c r="E17" s="27">
        <v>46295.25</v>
      </c>
      <c r="F17" s="26" t="s">
        <v>97</v>
      </c>
    </row>
    <row r="18" spans="1:6" s="5" customFormat="1" ht="93" x14ac:dyDescent="0.35">
      <c r="A18" s="25" t="s">
        <v>38</v>
      </c>
      <c r="B18" s="25" t="s">
        <v>2</v>
      </c>
      <c r="C18" s="26" t="s">
        <v>109</v>
      </c>
      <c r="D18" s="27">
        <v>46294.833333333299</v>
      </c>
      <c r="E18" s="27">
        <v>46295.25</v>
      </c>
      <c r="F18" s="26" t="s">
        <v>97</v>
      </c>
    </row>
    <row r="19" spans="1:6" s="5" customFormat="1" ht="93" x14ac:dyDescent="0.35">
      <c r="A19" s="25" t="s">
        <v>38</v>
      </c>
      <c r="B19" s="25" t="s">
        <v>2</v>
      </c>
      <c r="C19" s="26" t="s">
        <v>110</v>
      </c>
      <c r="D19" s="27">
        <v>46294.833333333299</v>
      </c>
      <c r="E19" s="27">
        <v>46295.25</v>
      </c>
      <c r="F19" s="26" t="s">
        <v>97</v>
      </c>
    </row>
    <row r="20" spans="1:6" s="5" customFormat="1" ht="93" x14ac:dyDescent="0.35">
      <c r="A20" s="25" t="s">
        <v>38</v>
      </c>
      <c r="B20" s="25" t="s">
        <v>2</v>
      </c>
      <c r="C20" s="26" t="s">
        <v>111</v>
      </c>
      <c r="D20" s="27">
        <v>46294.833333333299</v>
      </c>
      <c r="E20" s="27">
        <v>46295.25</v>
      </c>
      <c r="F20" s="26" t="s">
        <v>97</v>
      </c>
    </row>
    <row r="21" spans="1:6" s="7" customFormat="1" ht="93" x14ac:dyDescent="0.35">
      <c r="A21" s="25" t="s">
        <v>38</v>
      </c>
      <c r="B21" s="25" t="s">
        <v>2</v>
      </c>
      <c r="C21" s="26" t="s">
        <v>112</v>
      </c>
      <c r="D21" s="27">
        <v>46294.833333333299</v>
      </c>
      <c r="E21" s="27">
        <v>46295.25</v>
      </c>
      <c r="F21" s="26" t="s">
        <v>97</v>
      </c>
    </row>
    <row r="22" spans="1:6" s="7" customFormat="1" ht="93" x14ac:dyDescent="0.35">
      <c r="A22" s="25" t="s">
        <v>38</v>
      </c>
      <c r="B22" s="25" t="s">
        <v>2</v>
      </c>
      <c r="C22" s="26" t="s">
        <v>113</v>
      </c>
      <c r="D22" s="27">
        <v>46294.833333333299</v>
      </c>
      <c r="E22" s="27">
        <v>46295.25</v>
      </c>
      <c r="F22" s="26" t="s">
        <v>97</v>
      </c>
    </row>
    <row r="23" spans="1:6" s="7" customFormat="1" ht="93" x14ac:dyDescent="0.35">
      <c r="A23" s="25" t="s">
        <v>38</v>
      </c>
      <c r="B23" s="25" t="s">
        <v>2</v>
      </c>
      <c r="C23" s="26" t="s">
        <v>114</v>
      </c>
      <c r="D23" s="27">
        <v>46294.833333333299</v>
      </c>
      <c r="E23" s="27">
        <v>46295.25</v>
      </c>
      <c r="F23" s="26" t="s">
        <v>97</v>
      </c>
    </row>
    <row r="24" spans="1:6" s="7" customFormat="1" ht="93" x14ac:dyDescent="0.35">
      <c r="A24" s="25" t="s">
        <v>38</v>
      </c>
      <c r="B24" s="25" t="s">
        <v>2</v>
      </c>
      <c r="C24" s="26" t="s">
        <v>115</v>
      </c>
      <c r="D24" s="27">
        <v>46294.833333333299</v>
      </c>
      <c r="E24" s="27">
        <v>46295.25</v>
      </c>
      <c r="F24" s="26" t="s">
        <v>97</v>
      </c>
    </row>
    <row r="25" spans="1:6" s="7" customFormat="1" ht="62" x14ac:dyDescent="0.35">
      <c r="A25" s="25" t="s">
        <v>38</v>
      </c>
      <c r="B25" s="25" t="s">
        <v>2</v>
      </c>
      <c r="C25" s="26" t="s">
        <v>208</v>
      </c>
      <c r="D25" s="27">
        <v>46294.833333333299</v>
      </c>
      <c r="E25" s="27">
        <v>46295.25</v>
      </c>
      <c r="F25" s="26" t="s">
        <v>209</v>
      </c>
    </row>
    <row r="26" spans="1:6" s="7" customFormat="1" ht="62" x14ac:dyDescent="0.35">
      <c r="A26" s="25" t="s">
        <v>38</v>
      </c>
      <c r="B26" s="25" t="s">
        <v>2</v>
      </c>
      <c r="C26" s="26" t="s">
        <v>210</v>
      </c>
      <c r="D26" s="27">
        <v>46294.833333333299</v>
      </c>
      <c r="E26" s="27">
        <v>46295.25</v>
      </c>
      <c r="F26" s="26" t="s">
        <v>209</v>
      </c>
    </row>
    <row r="27" spans="1:6" s="5" customFormat="1" ht="46.5" x14ac:dyDescent="0.35">
      <c r="A27" s="25" t="s">
        <v>62</v>
      </c>
      <c r="B27" s="25" t="s">
        <v>6</v>
      </c>
      <c r="C27" s="26" t="s">
        <v>63</v>
      </c>
      <c r="D27" s="27">
        <v>46294.875</v>
      </c>
      <c r="E27" s="27">
        <v>46295.208333333299</v>
      </c>
      <c r="F27" s="26" t="s">
        <v>64</v>
      </c>
    </row>
    <row r="28" spans="1:6" s="5" customFormat="1" ht="46.5" x14ac:dyDescent="0.35">
      <c r="A28" s="25" t="s">
        <v>62</v>
      </c>
      <c r="B28" s="25" t="s">
        <v>6</v>
      </c>
      <c r="C28" s="26" t="s">
        <v>164</v>
      </c>
      <c r="D28" s="27">
        <v>46294.875</v>
      </c>
      <c r="E28" s="27">
        <v>46295.25</v>
      </c>
      <c r="F28" s="26" t="s">
        <v>165</v>
      </c>
    </row>
    <row r="29" spans="1:6" s="5" customFormat="1" ht="46.5" x14ac:dyDescent="0.35">
      <c r="A29" s="25" t="s">
        <v>62</v>
      </c>
      <c r="B29" s="25" t="s">
        <v>2</v>
      </c>
      <c r="C29" s="26" t="s">
        <v>194</v>
      </c>
      <c r="D29" s="27">
        <v>46294.833333333299</v>
      </c>
      <c r="E29" s="27">
        <v>46295.25</v>
      </c>
      <c r="F29" s="26" t="s">
        <v>195</v>
      </c>
    </row>
    <row r="30" spans="1:6" s="5" customFormat="1" ht="46.5" x14ac:dyDescent="0.35">
      <c r="A30" s="25" t="s">
        <v>62</v>
      </c>
      <c r="B30" s="25" t="s">
        <v>24</v>
      </c>
      <c r="C30" s="26" t="s">
        <v>196</v>
      </c>
      <c r="D30" s="27">
        <v>46294.833333333299</v>
      </c>
      <c r="E30" s="27">
        <v>46295.25</v>
      </c>
      <c r="F30" s="26" t="s">
        <v>195</v>
      </c>
    </row>
    <row r="31" spans="1:6" s="5" customFormat="1" ht="46.5" x14ac:dyDescent="0.35">
      <c r="A31" s="25" t="s">
        <v>62</v>
      </c>
      <c r="B31" s="25" t="s">
        <v>6</v>
      </c>
      <c r="C31" s="26" t="s">
        <v>197</v>
      </c>
      <c r="D31" s="27">
        <v>46294.833333333299</v>
      </c>
      <c r="E31" s="27">
        <v>46295.25</v>
      </c>
      <c r="F31" s="26" t="s">
        <v>195</v>
      </c>
    </row>
    <row r="32" spans="1:6" s="5" customFormat="1" ht="46.5" x14ac:dyDescent="0.35">
      <c r="A32" s="25" t="s">
        <v>62</v>
      </c>
      <c r="B32" s="25" t="s">
        <v>24</v>
      </c>
      <c r="C32" s="26" t="s">
        <v>198</v>
      </c>
      <c r="D32" s="27">
        <v>46294.833333333299</v>
      </c>
      <c r="E32" s="27">
        <v>46295.25</v>
      </c>
      <c r="F32" s="26" t="s">
        <v>195</v>
      </c>
    </row>
    <row r="33" spans="1:6" s="5" customFormat="1" ht="46.5" x14ac:dyDescent="0.35">
      <c r="A33" s="25" t="s">
        <v>62</v>
      </c>
      <c r="B33" s="25" t="s">
        <v>2</v>
      </c>
      <c r="C33" s="26" t="s">
        <v>199</v>
      </c>
      <c r="D33" s="27">
        <v>46294.833333333299</v>
      </c>
      <c r="E33" s="27">
        <v>46295.25</v>
      </c>
      <c r="F33" s="26" t="s">
        <v>195</v>
      </c>
    </row>
    <row r="34" spans="1:6" s="5" customFormat="1" ht="46.5" x14ac:dyDescent="0.35">
      <c r="A34" s="25" t="s">
        <v>62</v>
      </c>
      <c r="B34" s="25" t="s">
        <v>6</v>
      </c>
      <c r="C34" s="26" t="s">
        <v>200</v>
      </c>
      <c r="D34" s="27">
        <v>46294.833333333299</v>
      </c>
      <c r="E34" s="27">
        <v>46295.25</v>
      </c>
      <c r="F34" s="26" t="s">
        <v>195</v>
      </c>
    </row>
    <row r="35" spans="1:6" s="5" customFormat="1" ht="62" x14ac:dyDescent="0.35">
      <c r="A35" s="25" t="s">
        <v>17</v>
      </c>
      <c r="B35" s="25" t="s">
        <v>6</v>
      </c>
      <c r="C35" s="26" t="s">
        <v>18</v>
      </c>
      <c r="D35" s="27">
        <v>46294.833333333299</v>
      </c>
      <c r="E35" s="27">
        <v>46295.25</v>
      </c>
      <c r="F35" s="26" t="s">
        <v>19</v>
      </c>
    </row>
    <row r="36" spans="1:6" s="5" customFormat="1" ht="62" x14ac:dyDescent="0.35">
      <c r="A36" s="25" t="s">
        <v>17</v>
      </c>
      <c r="B36" s="25" t="s">
        <v>6</v>
      </c>
      <c r="C36" s="26" t="s">
        <v>34</v>
      </c>
      <c r="D36" s="27">
        <v>46294.833333333299</v>
      </c>
      <c r="E36" s="27">
        <v>46295.25</v>
      </c>
      <c r="F36" s="26" t="s">
        <v>35</v>
      </c>
    </row>
    <row r="37" spans="1:6" s="5" customFormat="1" ht="62" x14ac:dyDescent="0.35">
      <c r="A37" s="25" t="s">
        <v>20</v>
      </c>
      <c r="B37" s="25" t="s">
        <v>2</v>
      </c>
      <c r="C37" s="26" t="s">
        <v>21</v>
      </c>
      <c r="D37" s="27">
        <v>46294.875</v>
      </c>
      <c r="E37" s="27">
        <v>46295.208333333299</v>
      </c>
      <c r="F37" s="26" t="s">
        <v>22</v>
      </c>
    </row>
    <row r="38" spans="1:6" s="5" customFormat="1" ht="46.5" x14ac:dyDescent="0.35">
      <c r="A38" s="25" t="s">
        <v>20</v>
      </c>
      <c r="B38" s="25" t="s">
        <v>6</v>
      </c>
      <c r="C38" s="26" t="s">
        <v>41</v>
      </c>
      <c r="D38" s="27">
        <v>46294.875</v>
      </c>
      <c r="E38" s="27">
        <v>46295.208333333299</v>
      </c>
      <c r="F38" s="26" t="s">
        <v>42</v>
      </c>
    </row>
    <row r="39" spans="1:6" s="5" customFormat="1" ht="62" x14ac:dyDescent="0.35">
      <c r="A39" s="25" t="s">
        <v>43</v>
      </c>
      <c r="B39" s="25" t="s">
        <v>4</v>
      </c>
      <c r="C39" s="26" t="s">
        <v>44</v>
      </c>
      <c r="D39" s="27">
        <v>46294.833333333299</v>
      </c>
      <c r="E39" s="27">
        <v>46295.25</v>
      </c>
      <c r="F39" s="26" t="s">
        <v>45</v>
      </c>
    </row>
    <row r="40" spans="1:6" s="6" customFormat="1" ht="93" x14ac:dyDescent="0.35">
      <c r="A40" s="25" t="s">
        <v>461</v>
      </c>
      <c r="B40" s="25" t="s">
        <v>4</v>
      </c>
      <c r="C40" s="26" t="s">
        <v>462</v>
      </c>
      <c r="D40" s="27">
        <v>46294.916666666701</v>
      </c>
      <c r="E40" s="27">
        <v>46295.229166666701</v>
      </c>
      <c r="F40" s="26" t="s">
        <v>463</v>
      </c>
    </row>
    <row r="41" spans="1:6" s="6" customFormat="1" ht="46.5" x14ac:dyDescent="0.35">
      <c r="A41" s="25" t="s">
        <v>29</v>
      </c>
      <c r="B41" s="25" t="s">
        <v>5</v>
      </c>
      <c r="C41" s="26" t="s">
        <v>30</v>
      </c>
      <c r="D41" s="27">
        <v>46294.833333333299</v>
      </c>
      <c r="E41" s="27">
        <v>46295.25</v>
      </c>
      <c r="F41" s="26" t="s">
        <v>31</v>
      </c>
    </row>
    <row r="42" spans="1:6" s="6" customFormat="1" ht="46.5" x14ac:dyDescent="0.35">
      <c r="A42" s="25" t="s">
        <v>29</v>
      </c>
      <c r="B42" s="25" t="s">
        <v>4</v>
      </c>
      <c r="C42" s="26" t="s">
        <v>32</v>
      </c>
      <c r="D42" s="27">
        <v>46294.833333333299</v>
      </c>
      <c r="E42" s="27">
        <v>46295.25</v>
      </c>
      <c r="F42" s="26" t="s">
        <v>33</v>
      </c>
    </row>
    <row r="43" spans="1:6" s="6" customFormat="1" ht="46.5" x14ac:dyDescent="0.35">
      <c r="A43" s="25" t="s">
        <v>29</v>
      </c>
      <c r="B43" s="25" t="s">
        <v>5</v>
      </c>
      <c r="C43" s="26" t="s">
        <v>36</v>
      </c>
      <c r="D43" s="27">
        <v>46294.833333333299</v>
      </c>
      <c r="E43" s="27">
        <v>46295.25</v>
      </c>
      <c r="F43" s="26" t="s">
        <v>37</v>
      </c>
    </row>
    <row r="44" spans="1:6" s="6" customFormat="1" ht="46.5" x14ac:dyDescent="0.35">
      <c r="A44" s="25" t="s">
        <v>29</v>
      </c>
      <c r="B44" s="25" t="s">
        <v>5</v>
      </c>
      <c r="C44" s="26" t="s">
        <v>60</v>
      </c>
      <c r="D44" s="27">
        <v>46294.875</v>
      </c>
      <c r="E44" s="27">
        <v>46295.208333333299</v>
      </c>
      <c r="F44" s="26" t="s">
        <v>61</v>
      </c>
    </row>
    <row r="45" spans="1:6" s="6" customFormat="1" ht="93" x14ac:dyDescent="0.35">
      <c r="A45" s="25" t="s">
        <v>29</v>
      </c>
      <c r="B45" s="25" t="s">
        <v>4</v>
      </c>
      <c r="C45" s="26" t="s">
        <v>76</v>
      </c>
      <c r="D45" s="27">
        <v>46293.541666666701</v>
      </c>
      <c r="E45" s="27">
        <v>46298.25</v>
      </c>
      <c r="F45" s="26" t="s">
        <v>77</v>
      </c>
    </row>
    <row r="46" spans="1:6" s="6" customFormat="1" ht="93" x14ac:dyDescent="0.35">
      <c r="A46" s="25" t="s">
        <v>29</v>
      </c>
      <c r="B46" s="25" t="s">
        <v>4</v>
      </c>
      <c r="C46" s="26" t="s">
        <v>78</v>
      </c>
      <c r="D46" s="27">
        <v>46294.833333333299</v>
      </c>
      <c r="E46" s="27">
        <v>46295.25</v>
      </c>
      <c r="F46" s="26" t="s">
        <v>77</v>
      </c>
    </row>
    <row r="47" spans="1:6" s="6" customFormat="1" ht="93" x14ac:dyDescent="0.35">
      <c r="A47" s="25" t="s">
        <v>29</v>
      </c>
      <c r="B47" s="25" t="s">
        <v>4</v>
      </c>
      <c r="C47" s="26" t="s">
        <v>79</v>
      </c>
      <c r="D47" s="27">
        <v>46294.833333333299</v>
      </c>
      <c r="E47" s="27">
        <v>46295.25</v>
      </c>
      <c r="F47" s="26" t="s">
        <v>77</v>
      </c>
    </row>
    <row r="48" spans="1:6" s="6" customFormat="1" ht="93" x14ac:dyDescent="0.35">
      <c r="A48" s="25" t="s">
        <v>29</v>
      </c>
      <c r="B48" s="25" t="s">
        <v>4</v>
      </c>
      <c r="C48" s="26" t="s">
        <v>80</v>
      </c>
      <c r="D48" s="27">
        <v>46294.833333333299</v>
      </c>
      <c r="E48" s="27">
        <v>46295.25</v>
      </c>
      <c r="F48" s="26" t="s">
        <v>77</v>
      </c>
    </row>
    <row r="49" spans="1:6" s="5" customFormat="1" ht="93" x14ac:dyDescent="0.35">
      <c r="A49" s="25" t="s">
        <v>29</v>
      </c>
      <c r="B49" s="25" t="s">
        <v>4</v>
      </c>
      <c r="C49" s="26" t="s">
        <v>81</v>
      </c>
      <c r="D49" s="27">
        <v>46294.833333333299</v>
      </c>
      <c r="E49" s="27">
        <v>46295.25</v>
      </c>
      <c r="F49" s="26" t="s">
        <v>77</v>
      </c>
    </row>
    <row r="50" spans="1:6" s="5" customFormat="1" ht="93" x14ac:dyDescent="0.35">
      <c r="A50" s="25" t="s">
        <v>29</v>
      </c>
      <c r="B50" s="25" t="s">
        <v>4</v>
      </c>
      <c r="C50" s="26" t="s">
        <v>82</v>
      </c>
      <c r="D50" s="27">
        <v>46294.833333333299</v>
      </c>
      <c r="E50" s="27">
        <v>46295.25</v>
      </c>
      <c r="F50" s="26" t="s">
        <v>77</v>
      </c>
    </row>
    <row r="51" spans="1:6" s="5" customFormat="1" ht="93" x14ac:dyDescent="0.35">
      <c r="A51" s="25" t="s">
        <v>29</v>
      </c>
      <c r="B51" s="25" t="s">
        <v>4</v>
      </c>
      <c r="C51" s="26" t="s">
        <v>83</v>
      </c>
      <c r="D51" s="27">
        <v>46294.833333333299</v>
      </c>
      <c r="E51" s="27">
        <v>46295.25</v>
      </c>
      <c r="F51" s="26" t="s">
        <v>77</v>
      </c>
    </row>
    <row r="52" spans="1:6" s="5" customFormat="1" ht="93" x14ac:dyDescent="0.35">
      <c r="A52" s="25" t="s">
        <v>29</v>
      </c>
      <c r="B52" s="25" t="s">
        <v>4</v>
      </c>
      <c r="C52" s="26" t="s">
        <v>84</v>
      </c>
      <c r="D52" s="27">
        <v>46294.833333333299</v>
      </c>
      <c r="E52" s="27">
        <v>46295.25</v>
      </c>
      <c r="F52" s="26" t="s">
        <v>77</v>
      </c>
    </row>
    <row r="53" spans="1:6" s="5" customFormat="1" ht="93" x14ac:dyDescent="0.35">
      <c r="A53" s="25" t="s">
        <v>29</v>
      </c>
      <c r="B53" s="25" t="s">
        <v>4</v>
      </c>
      <c r="C53" s="26" t="s">
        <v>85</v>
      </c>
      <c r="D53" s="27">
        <v>46294.833333333299</v>
      </c>
      <c r="E53" s="27">
        <v>46295.25</v>
      </c>
      <c r="F53" s="26" t="s">
        <v>77</v>
      </c>
    </row>
    <row r="54" spans="1:6" s="5" customFormat="1" ht="93" x14ac:dyDescent="0.35">
      <c r="A54" s="25" t="s">
        <v>29</v>
      </c>
      <c r="B54" s="25" t="s">
        <v>4</v>
      </c>
      <c r="C54" s="26" t="s">
        <v>86</v>
      </c>
      <c r="D54" s="27">
        <v>46294.833333333299</v>
      </c>
      <c r="E54" s="27">
        <v>46295.25</v>
      </c>
      <c r="F54" s="26" t="s">
        <v>77</v>
      </c>
    </row>
    <row r="55" spans="1:6" s="5" customFormat="1" ht="93" x14ac:dyDescent="0.35">
      <c r="A55" s="25" t="s">
        <v>29</v>
      </c>
      <c r="B55" s="25" t="s">
        <v>4</v>
      </c>
      <c r="C55" s="26" t="s">
        <v>87</v>
      </c>
      <c r="D55" s="27">
        <v>46294.833333333299</v>
      </c>
      <c r="E55" s="27">
        <v>46295.25</v>
      </c>
      <c r="F55" s="26" t="s">
        <v>77</v>
      </c>
    </row>
    <row r="56" spans="1:6" s="5" customFormat="1" ht="93" x14ac:dyDescent="0.35">
      <c r="A56" s="25" t="s">
        <v>29</v>
      </c>
      <c r="B56" s="25" t="s">
        <v>4</v>
      </c>
      <c r="C56" s="26" t="s">
        <v>88</v>
      </c>
      <c r="D56" s="27">
        <v>46294.833333333299</v>
      </c>
      <c r="E56" s="27">
        <v>46295.25</v>
      </c>
      <c r="F56" s="26" t="s">
        <v>77</v>
      </c>
    </row>
    <row r="57" spans="1:6" s="5" customFormat="1" ht="62" x14ac:dyDescent="0.35">
      <c r="A57" s="25" t="s">
        <v>51</v>
      </c>
      <c r="B57" s="25" t="s">
        <v>4</v>
      </c>
      <c r="C57" s="26" t="s">
        <v>52</v>
      </c>
      <c r="D57" s="27">
        <v>46294.875</v>
      </c>
      <c r="E57" s="27">
        <v>46295.208333333299</v>
      </c>
      <c r="F57" s="26" t="s">
        <v>53</v>
      </c>
    </row>
    <row r="58" spans="1:6" s="5" customFormat="1" ht="93" x14ac:dyDescent="0.35">
      <c r="A58" s="25" t="s">
        <v>173</v>
      </c>
      <c r="B58" s="25" t="s">
        <v>5</v>
      </c>
      <c r="C58" s="26" t="s">
        <v>174</v>
      </c>
      <c r="D58" s="27">
        <v>46294.833333333299</v>
      </c>
      <c r="E58" s="27">
        <v>46295.25</v>
      </c>
      <c r="F58" s="26" t="s">
        <v>175</v>
      </c>
    </row>
    <row r="59" spans="1:6" s="5" customFormat="1" ht="93" x14ac:dyDescent="0.35">
      <c r="A59" s="25" t="s">
        <v>173</v>
      </c>
      <c r="B59" s="25" t="s">
        <v>5</v>
      </c>
      <c r="C59" s="26" t="s">
        <v>176</v>
      </c>
      <c r="D59" s="27">
        <v>46294.833333333299</v>
      </c>
      <c r="E59" s="27">
        <v>46295.25</v>
      </c>
      <c r="F59" s="26" t="s">
        <v>175</v>
      </c>
    </row>
    <row r="60" spans="1:6" s="5" customFormat="1" ht="93" x14ac:dyDescent="0.35">
      <c r="A60" s="25" t="s">
        <v>173</v>
      </c>
      <c r="B60" s="25" t="s">
        <v>5</v>
      </c>
      <c r="C60" s="26" t="s">
        <v>177</v>
      </c>
      <c r="D60" s="27">
        <v>46294.833333333299</v>
      </c>
      <c r="E60" s="27">
        <v>46295.25</v>
      </c>
      <c r="F60" s="26" t="s">
        <v>175</v>
      </c>
    </row>
    <row r="61" spans="1:6" s="5" customFormat="1" ht="46.5" x14ac:dyDescent="0.35">
      <c r="A61" s="25" t="s">
        <v>217</v>
      </c>
      <c r="B61" s="25" t="s">
        <v>5</v>
      </c>
      <c r="C61" s="26" t="s">
        <v>218</v>
      </c>
      <c r="D61" s="27">
        <v>46294.833333333299</v>
      </c>
      <c r="E61" s="27">
        <v>46295.25</v>
      </c>
      <c r="F61" s="26" t="s">
        <v>219</v>
      </c>
    </row>
    <row r="62" spans="1:6" s="5" customFormat="1" ht="46.5" x14ac:dyDescent="0.35">
      <c r="A62" s="25" t="s">
        <v>220</v>
      </c>
      <c r="B62" s="25" t="s">
        <v>6</v>
      </c>
      <c r="C62" s="26" t="s">
        <v>221</v>
      </c>
      <c r="D62" s="27">
        <v>46294.833333333299</v>
      </c>
      <c r="E62" s="27">
        <v>46295.25</v>
      </c>
      <c r="F62" s="26" t="s">
        <v>222</v>
      </c>
    </row>
    <row r="63" spans="1:6" s="5" customFormat="1" ht="46.5" x14ac:dyDescent="0.35">
      <c r="A63" s="25" t="s">
        <v>220</v>
      </c>
      <c r="B63" s="25" t="s">
        <v>2</v>
      </c>
      <c r="C63" s="26" t="s">
        <v>223</v>
      </c>
      <c r="D63" s="27">
        <v>46294.833333333299</v>
      </c>
      <c r="E63" s="27">
        <v>46295.25</v>
      </c>
      <c r="F63" s="26" t="s">
        <v>224</v>
      </c>
    </row>
    <row r="64" spans="1:6" s="5" customFormat="1" ht="46.5" x14ac:dyDescent="0.35">
      <c r="A64" s="25" t="s">
        <v>220</v>
      </c>
      <c r="B64" s="25" t="s">
        <v>6</v>
      </c>
      <c r="C64" s="26" t="s">
        <v>225</v>
      </c>
      <c r="D64" s="27">
        <v>46294.833333333299</v>
      </c>
      <c r="E64" s="27">
        <v>46295.25</v>
      </c>
      <c r="F64" s="26" t="s">
        <v>224</v>
      </c>
    </row>
    <row r="65" spans="1:6" s="5" customFormat="1" ht="46.5" x14ac:dyDescent="0.35">
      <c r="A65" s="25" t="s">
        <v>220</v>
      </c>
      <c r="B65" s="25" t="s">
        <v>2</v>
      </c>
      <c r="C65" s="26" t="s">
        <v>226</v>
      </c>
      <c r="D65" s="27">
        <v>46294.833333333299</v>
      </c>
      <c r="E65" s="27">
        <v>46295.25</v>
      </c>
      <c r="F65" s="26" t="s">
        <v>227</v>
      </c>
    </row>
    <row r="66" spans="1:6" s="5" customFormat="1" ht="46.5" x14ac:dyDescent="0.35">
      <c r="A66" s="25" t="s">
        <v>377</v>
      </c>
      <c r="B66" s="25" t="s">
        <v>24</v>
      </c>
      <c r="C66" s="26" t="s">
        <v>378</v>
      </c>
      <c r="D66" s="27">
        <v>46294.833333333299</v>
      </c>
      <c r="E66" s="27">
        <v>46295.25</v>
      </c>
      <c r="F66" s="26" t="s">
        <v>379</v>
      </c>
    </row>
    <row r="67" spans="1:6" s="5" customFormat="1" ht="46.5" x14ac:dyDescent="0.35">
      <c r="A67" s="25" t="s">
        <v>377</v>
      </c>
      <c r="B67" s="25" t="s">
        <v>4</v>
      </c>
      <c r="C67" s="26" t="s">
        <v>417</v>
      </c>
      <c r="D67" s="27">
        <v>46294.875</v>
      </c>
      <c r="E67" s="27">
        <v>46295.25</v>
      </c>
      <c r="F67" s="26" t="s">
        <v>418</v>
      </c>
    </row>
    <row r="68" spans="1:6" s="5" customFormat="1" ht="46.5" x14ac:dyDescent="0.35">
      <c r="A68" s="25" t="s">
        <v>377</v>
      </c>
      <c r="B68" s="25" t="s">
        <v>5</v>
      </c>
      <c r="C68" s="26" t="s">
        <v>419</v>
      </c>
      <c r="D68" s="27">
        <v>46294.833333333299</v>
      </c>
      <c r="E68" s="27">
        <v>46295.25</v>
      </c>
      <c r="F68" s="26" t="s">
        <v>420</v>
      </c>
    </row>
    <row r="69" spans="1:6" s="5" customFormat="1" ht="77.5" x14ac:dyDescent="0.35">
      <c r="A69" s="25" t="s">
        <v>377</v>
      </c>
      <c r="B69" s="25" t="s">
        <v>4</v>
      </c>
      <c r="C69" s="26" t="s">
        <v>437</v>
      </c>
      <c r="D69" s="27">
        <v>46294.916666666701</v>
      </c>
      <c r="E69" s="27">
        <v>46295.229166666701</v>
      </c>
      <c r="F69" s="26" t="s">
        <v>438</v>
      </c>
    </row>
    <row r="70" spans="1:6" s="5" customFormat="1" ht="46.5" x14ac:dyDescent="0.35">
      <c r="A70" s="25" t="s">
        <v>382</v>
      </c>
      <c r="B70" s="25" t="s">
        <v>4</v>
      </c>
      <c r="C70" s="26" t="s">
        <v>383</v>
      </c>
      <c r="D70" s="27">
        <v>46294.833333333299</v>
      </c>
      <c r="E70" s="27">
        <v>46295.208333333299</v>
      </c>
      <c r="F70" s="26" t="s">
        <v>384</v>
      </c>
    </row>
    <row r="71" spans="1:6" s="5" customFormat="1" ht="46.5" x14ac:dyDescent="0.35">
      <c r="A71" s="25" t="s">
        <v>382</v>
      </c>
      <c r="B71" s="25" t="s">
        <v>4</v>
      </c>
      <c r="C71" s="26" t="s">
        <v>385</v>
      </c>
      <c r="D71" s="27">
        <v>46294.833333333299</v>
      </c>
      <c r="E71" s="27">
        <v>46295.208333333299</v>
      </c>
      <c r="F71" s="26" t="s">
        <v>384</v>
      </c>
    </row>
    <row r="72" spans="1:6" s="5" customFormat="1" ht="62" x14ac:dyDescent="0.35">
      <c r="A72" s="25" t="s">
        <v>382</v>
      </c>
      <c r="B72" s="25" t="s">
        <v>5</v>
      </c>
      <c r="C72" s="26" t="s">
        <v>445</v>
      </c>
      <c r="D72" s="27">
        <v>46294.916666666701</v>
      </c>
      <c r="E72" s="27">
        <v>46295.229166666701</v>
      </c>
      <c r="F72" s="26" t="s">
        <v>446</v>
      </c>
    </row>
    <row r="73" spans="1:6" s="5" customFormat="1" ht="46.5" x14ac:dyDescent="0.35">
      <c r="A73" s="25" t="s">
        <v>403</v>
      </c>
      <c r="B73" s="25" t="s">
        <v>5</v>
      </c>
      <c r="C73" s="26" t="s">
        <v>404</v>
      </c>
      <c r="D73" s="27">
        <v>46294.916666666701</v>
      </c>
      <c r="E73" s="27">
        <v>46295.166666666701</v>
      </c>
      <c r="F73" s="26" t="s">
        <v>405</v>
      </c>
    </row>
    <row r="74" spans="1:6" s="5" customFormat="1" ht="46.5" x14ac:dyDescent="0.35">
      <c r="A74" s="25" t="s">
        <v>403</v>
      </c>
      <c r="B74" s="25" t="s">
        <v>5</v>
      </c>
      <c r="C74" s="26" t="s">
        <v>406</v>
      </c>
      <c r="D74" s="27">
        <v>46294.916666666701</v>
      </c>
      <c r="E74" s="27">
        <v>46295.25</v>
      </c>
      <c r="F74" s="26" t="s">
        <v>405</v>
      </c>
    </row>
    <row r="75" spans="1:6" s="5" customFormat="1" ht="77.5" x14ac:dyDescent="0.35">
      <c r="A75" s="25" t="s">
        <v>396</v>
      </c>
      <c r="B75" s="25" t="s">
        <v>2</v>
      </c>
      <c r="C75" s="26" t="s">
        <v>397</v>
      </c>
      <c r="D75" s="27">
        <v>46294.833333333299</v>
      </c>
      <c r="E75" s="27">
        <v>46295.25</v>
      </c>
      <c r="F75" s="26" t="s">
        <v>398</v>
      </c>
    </row>
    <row r="76" spans="1:6" s="5" customFormat="1" ht="46.5" x14ac:dyDescent="0.35">
      <c r="A76" s="25" t="s">
        <v>396</v>
      </c>
      <c r="B76" s="25" t="s">
        <v>2</v>
      </c>
      <c r="C76" s="26" t="s">
        <v>407</v>
      </c>
      <c r="D76" s="27">
        <v>46294.833333333299</v>
      </c>
      <c r="E76" s="27">
        <v>46295.25</v>
      </c>
      <c r="F76" s="26" t="s">
        <v>408</v>
      </c>
    </row>
    <row r="77" spans="1:6" s="5" customFormat="1" ht="46.5" x14ac:dyDescent="0.35">
      <c r="A77" s="25" t="s">
        <v>396</v>
      </c>
      <c r="B77" s="25" t="s">
        <v>2</v>
      </c>
      <c r="C77" s="26" t="s">
        <v>409</v>
      </c>
      <c r="D77" s="27">
        <v>46294.833333333299</v>
      </c>
      <c r="E77" s="27">
        <v>46295.25</v>
      </c>
      <c r="F77" s="26" t="s">
        <v>408</v>
      </c>
    </row>
    <row r="78" spans="1:6" s="5" customFormat="1" ht="46.5" x14ac:dyDescent="0.35">
      <c r="A78" s="25" t="s">
        <v>396</v>
      </c>
      <c r="B78" s="25" t="s">
        <v>4</v>
      </c>
      <c r="C78" s="26" t="s">
        <v>410</v>
      </c>
      <c r="D78" s="27">
        <v>46294.875</v>
      </c>
      <c r="E78" s="27">
        <v>46295.25</v>
      </c>
      <c r="F78" s="26" t="s">
        <v>411</v>
      </c>
    </row>
    <row r="79" spans="1:6" s="5" customFormat="1" ht="31" x14ac:dyDescent="0.35">
      <c r="A79" s="25" t="s">
        <v>396</v>
      </c>
      <c r="B79" s="25" t="s">
        <v>24</v>
      </c>
      <c r="C79" s="26" t="s">
        <v>415</v>
      </c>
      <c r="D79" s="27">
        <v>46294.833333333299</v>
      </c>
      <c r="E79" s="27">
        <v>46295.25</v>
      </c>
      <c r="F79" s="26" t="s">
        <v>416</v>
      </c>
    </row>
    <row r="80" spans="1:6" s="5" customFormat="1" ht="46.5" x14ac:dyDescent="0.35">
      <c r="A80" s="25" t="s">
        <v>412</v>
      </c>
      <c r="B80" s="25" t="s">
        <v>24</v>
      </c>
      <c r="C80" s="26" t="s">
        <v>413</v>
      </c>
      <c r="D80" s="27">
        <v>46294.833333333299</v>
      </c>
      <c r="E80" s="27">
        <v>46295.25</v>
      </c>
      <c r="F80" s="26" t="s">
        <v>414</v>
      </c>
    </row>
    <row r="81" spans="1:6" s="5" customFormat="1" ht="46.5" x14ac:dyDescent="0.35">
      <c r="A81" s="25" t="s">
        <v>359</v>
      </c>
      <c r="B81" s="25" t="s">
        <v>5</v>
      </c>
      <c r="C81" s="26" t="s">
        <v>360</v>
      </c>
      <c r="D81" s="27">
        <v>46294.916666666701</v>
      </c>
      <c r="E81" s="27">
        <v>46295.25</v>
      </c>
      <c r="F81" s="26" t="s">
        <v>361</v>
      </c>
    </row>
    <row r="82" spans="1:6" s="5" customFormat="1" ht="62" x14ac:dyDescent="0.35">
      <c r="A82" s="25" t="s">
        <v>359</v>
      </c>
      <c r="B82" s="25" t="s">
        <v>24</v>
      </c>
      <c r="C82" s="26" t="s">
        <v>380</v>
      </c>
      <c r="D82" s="27">
        <v>46294.833333333299</v>
      </c>
      <c r="E82" s="27">
        <v>46295.25</v>
      </c>
      <c r="F82" s="26" t="s">
        <v>381</v>
      </c>
    </row>
    <row r="83" spans="1:6" s="5" customFormat="1" ht="62" x14ac:dyDescent="0.35">
      <c r="A83" s="25" t="s">
        <v>429</v>
      </c>
      <c r="B83" s="25" t="s">
        <v>2</v>
      </c>
      <c r="C83" s="26" t="s">
        <v>430</v>
      </c>
      <c r="D83" s="27">
        <v>46294.875</v>
      </c>
      <c r="E83" s="27">
        <v>46295.229166666701</v>
      </c>
      <c r="F83" s="26" t="s">
        <v>431</v>
      </c>
    </row>
    <row r="84" spans="1:6" s="5" customFormat="1" ht="62" x14ac:dyDescent="0.35">
      <c r="A84" s="25" t="s">
        <v>429</v>
      </c>
      <c r="B84" s="25" t="s">
        <v>2</v>
      </c>
      <c r="C84" s="26" t="s">
        <v>432</v>
      </c>
      <c r="D84" s="27">
        <v>46294.875</v>
      </c>
      <c r="E84" s="27">
        <v>46295.229166666701</v>
      </c>
      <c r="F84" s="26" t="s">
        <v>431</v>
      </c>
    </row>
    <row r="85" spans="1:6" s="5" customFormat="1" ht="62" x14ac:dyDescent="0.35">
      <c r="A85" s="25" t="s">
        <v>330</v>
      </c>
      <c r="B85" s="25" t="s">
        <v>2</v>
      </c>
      <c r="C85" s="26" t="s">
        <v>331</v>
      </c>
      <c r="D85" s="27">
        <v>46294.875</v>
      </c>
      <c r="E85" s="27">
        <v>46295.25</v>
      </c>
      <c r="F85" s="26" t="s">
        <v>332</v>
      </c>
    </row>
    <row r="86" spans="1:6" s="5" customFormat="1" ht="46.5" x14ac:dyDescent="0.35">
      <c r="A86" s="25" t="s">
        <v>330</v>
      </c>
      <c r="B86" s="25" t="s">
        <v>2</v>
      </c>
      <c r="C86" s="26" t="s">
        <v>344</v>
      </c>
      <c r="D86" s="27">
        <v>46294.875</v>
      </c>
      <c r="E86" s="27">
        <v>46295.25</v>
      </c>
      <c r="F86" s="26" t="s">
        <v>345</v>
      </c>
    </row>
    <row r="87" spans="1:6" s="5" customFormat="1" ht="46.5" x14ac:dyDescent="0.35">
      <c r="A87" s="25" t="s">
        <v>330</v>
      </c>
      <c r="B87" s="25" t="s">
        <v>2</v>
      </c>
      <c r="C87" s="26" t="s">
        <v>346</v>
      </c>
      <c r="D87" s="27">
        <v>46294.875</v>
      </c>
      <c r="E87" s="27">
        <v>46295.25</v>
      </c>
      <c r="F87" s="26" t="s">
        <v>345</v>
      </c>
    </row>
    <row r="88" spans="1:6" s="5" customFormat="1" ht="46.5" x14ac:dyDescent="0.35">
      <c r="A88" s="25" t="s">
        <v>330</v>
      </c>
      <c r="B88" s="25" t="s">
        <v>2</v>
      </c>
      <c r="C88" s="26" t="s">
        <v>347</v>
      </c>
      <c r="D88" s="27">
        <v>46294.875</v>
      </c>
      <c r="E88" s="27">
        <v>46295.25</v>
      </c>
      <c r="F88" s="26" t="s">
        <v>345</v>
      </c>
    </row>
    <row r="89" spans="1:6" s="5" customFormat="1" ht="46.5" x14ac:dyDescent="0.35">
      <c r="A89" s="25" t="s">
        <v>330</v>
      </c>
      <c r="B89" s="25" t="s">
        <v>2</v>
      </c>
      <c r="C89" s="26" t="s">
        <v>348</v>
      </c>
      <c r="D89" s="27">
        <v>46294.875</v>
      </c>
      <c r="E89" s="27">
        <v>46295.25</v>
      </c>
      <c r="F89" s="26" t="s">
        <v>345</v>
      </c>
    </row>
    <row r="90" spans="1:6" s="5" customFormat="1" ht="62" x14ac:dyDescent="0.35">
      <c r="A90" s="25" t="s">
        <v>330</v>
      </c>
      <c r="B90" s="25" t="s">
        <v>6</v>
      </c>
      <c r="C90" s="26" t="s">
        <v>465</v>
      </c>
      <c r="D90" s="27">
        <v>46294.916666666701</v>
      </c>
      <c r="E90" s="27">
        <v>46295.229166666701</v>
      </c>
      <c r="F90" s="26" t="s">
        <v>466</v>
      </c>
    </row>
    <row r="91" spans="1:6" s="5" customFormat="1" ht="124" x14ac:dyDescent="0.35">
      <c r="A91" s="25" t="s">
        <v>467</v>
      </c>
      <c r="B91" s="25" t="s">
        <v>4</v>
      </c>
      <c r="C91" s="26" t="s">
        <v>468</v>
      </c>
      <c r="D91" s="27">
        <v>46294.833333333299</v>
      </c>
      <c r="E91" s="27">
        <v>46295.25</v>
      </c>
      <c r="F91" s="26" t="s">
        <v>469</v>
      </c>
    </row>
    <row r="92" spans="1:6" s="5" customFormat="1" ht="46.5" x14ac:dyDescent="0.35">
      <c r="A92" s="25" t="s">
        <v>467</v>
      </c>
      <c r="B92" s="25" t="s">
        <v>4</v>
      </c>
      <c r="C92" s="26" t="s">
        <v>473</v>
      </c>
      <c r="D92" s="27">
        <v>46272.25</v>
      </c>
      <c r="E92" s="27">
        <v>46341.833333333299</v>
      </c>
      <c r="F92" s="26" t="s">
        <v>474</v>
      </c>
    </row>
    <row r="93" spans="1:6" s="5" customFormat="1" ht="46.5" x14ac:dyDescent="0.35">
      <c r="A93" s="25" t="s">
        <v>340</v>
      </c>
      <c r="B93" s="25" t="s">
        <v>5</v>
      </c>
      <c r="C93" s="26" t="s">
        <v>341</v>
      </c>
      <c r="D93" s="27">
        <v>46294.875</v>
      </c>
      <c r="E93" s="27">
        <v>46295.25</v>
      </c>
      <c r="F93" s="26" t="s">
        <v>342</v>
      </c>
    </row>
    <row r="94" spans="1:6" s="5" customFormat="1" ht="46.5" x14ac:dyDescent="0.35">
      <c r="A94" s="25" t="s">
        <v>340</v>
      </c>
      <c r="B94" s="25" t="s">
        <v>4</v>
      </c>
      <c r="C94" s="26" t="s">
        <v>343</v>
      </c>
      <c r="D94" s="27">
        <v>46294.875</v>
      </c>
      <c r="E94" s="27">
        <v>46295.25</v>
      </c>
      <c r="F94" s="26" t="s">
        <v>342</v>
      </c>
    </row>
    <row r="95" spans="1:6" s="5" customFormat="1" ht="62" x14ac:dyDescent="0.35">
      <c r="A95" s="25" t="s">
        <v>340</v>
      </c>
      <c r="B95" s="25" t="s">
        <v>4</v>
      </c>
      <c r="C95" s="26" t="s">
        <v>356</v>
      </c>
      <c r="D95" s="27">
        <v>46294.875</v>
      </c>
      <c r="E95" s="27">
        <v>46295.25</v>
      </c>
      <c r="F95" s="26" t="s">
        <v>357</v>
      </c>
    </row>
    <row r="96" spans="1:6" s="5" customFormat="1" ht="46.5" x14ac:dyDescent="0.35">
      <c r="A96" s="25" t="s">
        <v>340</v>
      </c>
      <c r="B96" s="25" t="s">
        <v>5</v>
      </c>
      <c r="C96" s="26" t="s">
        <v>366</v>
      </c>
      <c r="D96" s="27">
        <v>46294.9375</v>
      </c>
      <c r="E96" s="27">
        <v>46295.25</v>
      </c>
      <c r="F96" s="26" t="s">
        <v>367</v>
      </c>
    </row>
    <row r="97" spans="1:6" s="5" customFormat="1" ht="46.5" x14ac:dyDescent="0.35">
      <c r="A97" s="25" t="s">
        <v>340</v>
      </c>
      <c r="B97" s="25" t="s">
        <v>5</v>
      </c>
      <c r="C97" s="26" t="s">
        <v>368</v>
      </c>
      <c r="D97" s="27">
        <v>46294.9375</v>
      </c>
      <c r="E97" s="27">
        <v>46295.25</v>
      </c>
      <c r="F97" s="26" t="s">
        <v>367</v>
      </c>
    </row>
    <row r="98" spans="1:6" s="5" customFormat="1" ht="108.5" x14ac:dyDescent="0.35">
      <c r="A98" s="25" t="s">
        <v>340</v>
      </c>
      <c r="B98" s="25" t="s">
        <v>24</v>
      </c>
      <c r="C98" s="26" t="s">
        <v>501</v>
      </c>
      <c r="D98" s="27">
        <v>46294.875</v>
      </c>
      <c r="E98" s="27">
        <v>46295.25</v>
      </c>
      <c r="F98" s="26" t="s">
        <v>502</v>
      </c>
    </row>
    <row r="99" spans="1:6" s="5" customFormat="1" ht="46.5" x14ac:dyDescent="0.35">
      <c r="A99" s="25" t="s">
        <v>333</v>
      </c>
      <c r="B99" s="25" t="s">
        <v>5</v>
      </c>
      <c r="C99" s="26" t="s">
        <v>334</v>
      </c>
      <c r="D99" s="27">
        <v>46294.875</v>
      </c>
      <c r="E99" s="27">
        <v>46295.25</v>
      </c>
      <c r="F99" s="26" t="s">
        <v>335</v>
      </c>
    </row>
    <row r="100" spans="1:6" s="5" customFormat="1" ht="46.5" x14ac:dyDescent="0.35">
      <c r="A100" s="25" t="s">
        <v>333</v>
      </c>
      <c r="B100" s="25" t="s">
        <v>5</v>
      </c>
      <c r="C100" s="26" t="s">
        <v>336</v>
      </c>
      <c r="D100" s="27">
        <v>46294.875</v>
      </c>
      <c r="E100" s="27">
        <v>46295.25</v>
      </c>
      <c r="F100" s="26" t="s">
        <v>335</v>
      </c>
    </row>
    <row r="101" spans="1:6" s="5" customFormat="1" ht="46.5" x14ac:dyDescent="0.35">
      <c r="A101" s="25" t="s">
        <v>333</v>
      </c>
      <c r="B101" s="25" t="s">
        <v>5</v>
      </c>
      <c r="C101" s="26" t="s">
        <v>337</v>
      </c>
      <c r="D101" s="27">
        <v>46294.875</v>
      </c>
      <c r="E101" s="27">
        <v>46295.25</v>
      </c>
      <c r="F101" s="26" t="s">
        <v>335</v>
      </c>
    </row>
    <row r="102" spans="1:6" s="5" customFormat="1" ht="46.5" x14ac:dyDescent="0.35">
      <c r="A102" s="25" t="s">
        <v>327</v>
      </c>
      <c r="B102" s="25" t="s">
        <v>2</v>
      </c>
      <c r="C102" s="26" t="s">
        <v>328</v>
      </c>
      <c r="D102" s="27">
        <v>46294.875</v>
      </c>
      <c r="E102" s="27">
        <v>46295.25</v>
      </c>
      <c r="F102" s="26" t="s">
        <v>329</v>
      </c>
    </row>
    <row r="103" spans="1:6" s="5" customFormat="1" ht="46.5" x14ac:dyDescent="0.35">
      <c r="A103" s="25" t="s">
        <v>327</v>
      </c>
      <c r="B103" s="25" t="s">
        <v>6</v>
      </c>
      <c r="C103" s="26" t="s">
        <v>338</v>
      </c>
      <c r="D103" s="27">
        <v>46294.875</v>
      </c>
      <c r="E103" s="27">
        <v>46295.25</v>
      </c>
      <c r="F103" s="26" t="s">
        <v>339</v>
      </c>
    </row>
    <row r="104" spans="1:6" s="5" customFormat="1" ht="46.5" x14ac:dyDescent="0.35">
      <c r="A104" s="25" t="s">
        <v>327</v>
      </c>
      <c r="B104" s="25" t="s">
        <v>6</v>
      </c>
      <c r="C104" s="26" t="s">
        <v>364</v>
      </c>
      <c r="D104" s="27">
        <v>46294.916666666701</v>
      </c>
      <c r="E104" s="27">
        <v>46295.25</v>
      </c>
      <c r="F104" s="26" t="s">
        <v>365</v>
      </c>
    </row>
    <row r="105" spans="1:6" s="5" customFormat="1" ht="31" x14ac:dyDescent="0.35">
      <c r="A105" s="25" t="s">
        <v>511</v>
      </c>
      <c r="B105" s="25" t="s">
        <v>24</v>
      </c>
      <c r="C105" s="26" t="s">
        <v>512</v>
      </c>
      <c r="D105" s="27">
        <v>46294.833333333299</v>
      </c>
      <c r="E105" s="27">
        <v>46295.25</v>
      </c>
      <c r="F105" s="26" t="s">
        <v>513</v>
      </c>
    </row>
    <row r="106" spans="1:6" s="5" customFormat="1" ht="31" x14ac:dyDescent="0.35">
      <c r="A106" s="25" t="s">
        <v>511</v>
      </c>
      <c r="B106" s="25" t="s">
        <v>5</v>
      </c>
      <c r="C106" s="26" t="s">
        <v>514</v>
      </c>
      <c r="D106" s="27">
        <v>46295.291666666701</v>
      </c>
      <c r="E106" s="27">
        <v>46295.708333333299</v>
      </c>
      <c r="F106" s="26" t="s">
        <v>515</v>
      </c>
    </row>
    <row r="107" spans="1:6" s="5" customFormat="1" ht="139.5" x14ac:dyDescent="0.35">
      <c r="A107" s="25" t="s">
        <v>489</v>
      </c>
      <c r="B107" s="25" t="s">
        <v>24</v>
      </c>
      <c r="C107" s="26" t="s">
        <v>490</v>
      </c>
      <c r="D107" s="27">
        <v>46294.833333333299</v>
      </c>
      <c r="E107" s="27">
        <v>46295.25</v>
      </c>
      <c r="F107" s="26" t="s">
        <v>491</v>
      </c>
    </row>
    <row r="108" spans="1:6" s="5" customFormat="1" ht="108.5" x14ac:dyDescent="0.35">
      <c r="A108" s="25" t="s">
        <v>470</v>
      </c>
      <c r="B108" s="25" t="s">
        <v>5</v>
      </c>
      <c r="C108" s="26" t="s">
        <v>471</v>
      </c>
      <c r="D108" s="27">
        <v>46294.875</v>
      </c>
      <c r="E108" s="27">
        <v>46295.25</v>
      </c>
      <c r="F108" s="26" t="s">
        <v>472</v>
      </c>
    </row>
    <row r="109" spans="1:6" s="5" customFormat="1" ht="46.5" x14ac:dyDescent="0.35">
      <c r="A109" s="25" t="s">
        <v>470</v>
      </c>
      <c r="B109" s="25" t="s">
        <v>4</v>
      </c>
      <c r="C109" s="26" t="s">
        <v>475</v>
      </c>
      <c r="D109" s="27">
        <v>46294.8125</v>
      </c>
      <c r="E109" s="27">
        <v>46295.25</v>
      </c>
      <c r="F109" s="26" t="s">
        <v>476</v>
      </c>
    </row>
    <row r="110" spans="1:6" s="5" customFormat="1" ht="62" x14ac:dyDescent="0.35">
      <c r="A110" s="25" t="s">
        <v>470</v>
      </c>
      <c r="B110" s="25" t="s">
        <v>5</v>
      </c>
      <c r="C110" s="26" t="s">
        <v>477</v>
      </c>
      <c r="D110" s="27">
        <v>46294.8125</v>
      </c>
      <c r="E110" s="27">
        <v>46295.25</v>
      </c>
      <c r="F110" s="26" t="s">
        <v>478</v>
      </c>
    </row>
    <row r="111" spans="1:6" s="5" customFormat="1" ht="46.5" x14ac:dyDescent="0.35">
      <c r="A111" s="25" t="s">
        <v>470</v>
      </c>
      <c r="B111" s="25" t="s">
        <v>4</v>
      </c>
      <c r="C111" s="26" t="s">
        <v>479</v>
      </c>
      <c r="D111" s="27">
        <v>46294.833333333299</v>
      </c>
      <c r="E111" s="27">
        <v>46295.25</v>
      </c>
      <c r="F111" s="26" t="s">
        <v>480</v>
      </c>
    </row>
    <row r="112" spans="1:6" s="5" customFormat="1" ht="46.5" x14ac:dyDescent="0.35">
      <c r="A112" s="25" t="s">
        <v>470</v>
      </c>
      <c r="B112" s="25" t="s">
        <v>5</v>
      </c>
      <c r="C112" s="26" t="s">
        <v>481</v>
      </c>
      <c r="D112" s="27">
        <v>46294.833333333299</v>
      </c>
      <c r="E112" s="27">
        <v>46295.25</v>
      </c>
      <c r="F112" s="26" t="s">
        <v>482</v>
      </c>
    </row>
    <row r="113" spans="1:6" s="5" customFormat="1" ht="77.5" x14ac:dyDescent="0.35">
      <c r="A113" s="25" t="s">
        <v>470</v>
      </c>
      <c r="B113" s="25" t="s">
        <v>5</v>
      </c>
      <c r="C113" s="26" t="s">
        <v>483</v>
      </c>
      <c r="D113" s="27">
        <v>46294.875</v>
      </c>
      <c r="E113" s="27">
        <v>46295.25</v>
      </c>
      <c r="F113" s="26" t="s">
        <v>484</v>
      </c>
    </row>
    <row r="114" spans="1:6" s="5" customFormat="1" ht="46.5" x14ac:dyDescent="0.35">
      <c r="A114" s="25" t="s">
        <v>470</v>
      </c>
      <c r="B114" s="25" t="s">
        <v>5</v>
      </c>
      <c r="C114" s="26" t="s">
        <v>485</v>
      </c>
      <c r="D114" s="27">
        <v>46294.895833333299</v>
      </c>
      <c r="E114" s="27">
        <v>46295.25</v>
      </c>
      <c r="F114" s="26" t="s">
        <v>486</v>
      </c>
    </row>
    <row r="115" spans="1:6" s="5" customFormat="1" ht="77.5" x14ac:dyDescent="0.35">
      <c r="A115" s="25" t="s">
        <v>470</v>
      </c>
      <c r="B115" s="25" t="s">
        <v>4</v>
      </c>
      <c r="C115" s="26" t="s">
        <v>487</v>
      </c>
      <c r="D115" s="27">
        <v>46294.833333333299</v>
      </c>
      <c r="E115" s="27">
        <v>46295.25</v>
      </c>
      <c r="F115" s="26" t="s">
        <v>488</v>
      </c>
    </row>
    <row r="116" spans="1:6" s="5" customFormat="1" ht="108.5" x14ac:dyDescent="0.35">
      <c r="A116" s="25" t="s">
        <v>470</v>
      </c>
      <c r="B116" s="25" t="s">
        <v>6</v>
      </c>
      <c r="C116" s="26" t="s">
        <v>521</v>
      </c>
      <c r="D116" s="27">
        <v>46202.875</v>
      </c>
      <c r="E116" s="27">
        <v>46508.208333333299</v>
      </c>
      <c r="F116" s="26" t="s">
        <v>522</v>
      </c>
    </row>
    <row r="117" spans="1:6" s="5" customFormat="1" ht="108.5" x14ac:dyDescent="0.35">
      <c r="A117" s="25" t="s">
        <v>470</v>
      </c>
      <c r="B117" s="25" t="s">
        <v>2</v>
      </c>
      <c r="C117" s="26" t="s">
        <v>523</v>
      </c>
      <c r="D117" s="27">
        <v>46266.333333333299</v>
      </c>
      <c r="E117" s="27">
        <v>46507</v>
      </c>
      <c r="F117" s="26" t="s">
        <v>522</v>
      </c>
    </row>
    <row r="118" spans="1:6" s="5" customFormat="1" ht="108.5" x14ac:dyDescent="0.35">
      <c r="A118" s="25" t="s">
        <v>470</v>
      </c>
      <c r="B118" s="25" t="s">
        <v>2</v>
      </c>
      <c r="C118" s="26" t="s">
        <v>527</v>
      </c>
      <c r="D118" s="27">
        <v>46294.833333333299</v>
      </c>
      <c r="E118" s="27">
        <v>46295.25</v>
      </c>
      <c r="F118" s="26" t="s">
        <v>528</v>
      </c>
    </row>
    <row r="119" spans="1:6" s="5" customFormat="1" ht="46.5" x14ac:dyDescent="0.35">
      <c r="A119" s="25" t="s">
        <v>362</v>
      </c>
      <c r="B119" s="25" t="s">
        <v>6</v>
      </c>
      <c r="C119" s="26" t="s">
        <v>363</v>
      </c>
      <c r="D119" s="27">
        <v>46294.916666666701</v>
      </c>
      <c r="E119" s="27">
        <v>46295.25</v>
      </c>
      <c r="F119" s="26" t="s">
        <v>361</v>
      </c>
    </row>
    <row r="120" spans="1:6" s="5" customFormat="1" ht="46.5" x14ac:dyDescent="0.35">
      <c r="A120" s="25" t="s">
        <v>369</v>
      </c>
      <c r="B120" s="25" t="s">
        <v>2</v>
      </c>
      <c r="C120" s="26" t="s">
        <v>370</v>
      </c>
      <c r="D120" s="27">
        <v>46294.875</v>
      </c>
      <c r="E120" s="27">
        <v>46295.25</v>
      </c>
      <c r="F120" s="26" t="s">
        <v>371</v>
      </c>
    </row>
    <row r="121" spans="1:6" s="5" customFormat="1" ht="46.5" x14ac:dyDescent="0.35">
      <c r="A121" s="25" t="s">
        <v>369</v>
      </c>
      <c r="B121" s="25" t="s">
        <v>2</v>
      </c>
      <c r="C121" s="26" t="s">
        <v>372</v>
      </c>
      <c r="D121" s="27">
        <v>46294.875</v>
      </c>
      <c r="E121" s="27">
        <v>46295.25</v>
      </c>
      <c r="F121" s="26" t="s">
        <v>371</v>
      </c>
    </row>
    <row r="122" spans="1:6" s="5" customFormat="1" ht="62" x14ac:dyDescent="0.35">
      <c r="A122" s="25" t="s">
        <v>492</v>
      </c>
      <c r="B122" s="25" t="s">
        <v>6</v>
      </c>
      <c r="C122" s="26" t="s">
        <v>493</v>
      </c>
      <c r="D122" s="27">
        <v>46294.875</v>
      </c>
      <c r="E122" s="27">
        <v>46295.25</v>
      </c>
      <c r="F122" s="26" t="s">
        <v>494</v>
      </c>
    </row>
    <row r="123" spans="1:6" s="5" customFormat="1" ht="93" x14ac:dyDescent="0.35">
      <c r="A123" s="25" t="s">
        <v>545</v>
      </c>
      <c r="B123" s="25" t="s">
        <v>7</v>
      </c>
      <c r="C123" s="26" t="s">
        <v>546</v>
      </c>
      <c r="D123" s="27">
        <v>46217.625</v>
      </c>
      <c r="E123" s="27">
        <v>46387.875</v>
      </c>
      <c r="F123" s="26" t="s">
        <v>547</v>
      </c>
    </row>
    <row r="124" spans="1:6" s="5" customFormat="1" ht="46.5" x14ac:dyDescent="0.35">
      <c r="A124" s="25" t="s">
        <v>560</v>
      </c>
      <c r="B124" s="25" t="s">
        <v>4</v>
      </c>
      <c r="C124" s="26" t="s">
        <v>561</v>
      </c>
      <c r="D124" s="27">
        <v>46294.875</v>
      </c>
      <c r="E124" s="27">
        <v>46295.25</v>
      </c>
      <c r="F124" s="26" t="s">
        <v>559</v>
      </c>
    </row>
    <row r="125" spans="1:6" s="5" customFormat="1" ht="93" x14ac:dyDescent="0.35">
      <c r="A125" s="25" t="s">
        <v>73</v>
      </c>
      <c r="B125" s="25" t="s">
        <v>6</v>
      </c>
      <c r="C125" s="26" t="s">
        <v>74</v>
      </c>
      <c r="D125" s="27">
        <v>46294.541666666701</v>
      </c>
      <c r="E125" s="27">
        <v>46295.25</v>
      </c>
      <c r="F125" s="26" t="s">
        <v>75</v>
      </c>
    </row>
    <row r="126" spans="1:6" s="5" customFormat="1" ht="77.5" x14ac:dyDescent="0.35">
      <c r="A126" s="25" t="s">
        <v>73</v>
      </c>
      <c r="B126" s="25" t="s">
        <v>6</v>
      </c>
      <c r="C126" s="26" t="s">
        <v>116</v>
      </c>
      <c r="D126" s="27">
        <v>46294.833333333299</v>
      </c>
      <c r="E126" s="27">
        <v>46295.25</v>
      </c>
      <c r="F126" s="26" t="s">
        <v>117</v>
      </c>
    </row>
    <row r="127" spans="1:6" s="5" customFormat="1" ht="77.5" x14ac:dyDescent="0.35">
      <c r="A127" s="25" t="s">
        <v>73</v>
      </c>
      <c r="B127" s="25" t="s">
        <v>6</v>
      </c>
      <c r="C127" s="26" t="s">
        <v>543</v>
      </c>
      <c r="D127" s="27">
        <v>46294.833333333299</v>
      </c>
      <c r="E127" s="27">
        <v>46295.25</v>
      </c>
      <c r="F127" s="26" t="s">
        <v>544</v>
      </c>
    </row>
    <row r="128" spans="1:6" s="5" customFormat="1" ht="77.5" x14ac:dyDescent="0.35">
      <c r="A128" s="25" t="s">
        <v>23</v>
      </c>
      <c r="B128" s="25" t="s">
        <v>24</v>
      </c>
      <c r="C128" s="26" t="s">
        <v>25</v>
      </c>
      <c r="D128" s="27">
        <v>46294.833333333299</v>
      </c>
      <c r="E128" s="27">
        <v>46295.25</v>
      </c>
      <c r="F128" s="26" t="s">
        <v>26</v>
      </c>
    </row>
    <row r="129" spans="1:6" s="5" customFormat="1" ht="77.5" x14ac:dyDescent="0.35">
      <c r="A129" s="25" t="s">
        <v>23</v>
      </c>
      <c r="B129" s="25" t="s">
        <v>24</v>
      </c>
      <c r="C129" s="26" t="s">
        <v>27</v>
      </c>
      <c r="D129" s="27">
        <v>46294.833333333299</v>
      </c>
      <c r="E129" s="27">
        <v>46295.25</v>
      </c>
      <c r="F129" s="26" t="s">
        <v>28</v>
      </c>
    </row>
    <row r="130" spans="1:6" s="5" customFormat="1" ht="124" x14ac:dyDescent="0.35">
      <c r="A130" s="25" t="s">
        <v>89</v>
      </c>
      <c r="B130" s="25" t="s">
        <v>6</v>
      </c>
      <c r="C130" s="26" t="s">
        <v>90</v>
      </c>
      <c r="D130" s="27">
        <v>46293.541666666701</v>
      </c>
      <c r="E130" s="27">
        <v>46295.25</v>
      </c>
      <c r="F130" s="26" t="s">
        <v>91</v>
      </c>
    </row>
    <row r="131" spans="1:6" s="5" customFormat="1" ht="124" x14ac:dyDescent="0.35">
      <c r="A131" s="25" t="s">
        <v>89</v>
      </c>
      <c r="B131" s="25" t="s">
        <v>24</v>
      </c>
      <c r="C131" s="26" t="s">
        <v>92</v>
      </c>
      <c r="D131" s="27">
        <v>46294.833333333299</v>
      </c>
      <c r="E131" s="27">
        <v>46295.25</v>
      </c>
      <c r="F131" s="26" t="s">
        <v>91</v>
      </c>
    </row>
    <row r="132" spans="1:6" s="5" customFormat="1" ht="108.5" x14ac:dyDescent="0.35">
      <c r="A132" s="25" t="s">
        <v>529</v>
      </c>
      <c r="B132" s="25" t="s">
        <v>5</v>
      </c>
      <c r="C132" s="26" t="s">
        <v>530</v>
      </c>
      <c r="D132" s="27">
        <v>46294.833333333299</v>
      </c>
      <c r="E132" s="27">
        <v>46295.25</v>
      </c>
      <c r="F132" s="26" t="s">
        <v>528</v>
      </c>
    </row>
    <row r="133" spans="1:6" s="5" customFormat="1" ht="46.5" x14ac:dyDescent="0.35">
      <c r="A133" s="25" t="s">
        <v>529</v>
      </c>
      <c r="B133" s="25" t="s">
        <v>5</v>
      </c>
      <c r="C133" s="26" t="s">
        <v>562</v>
      </c>
      <c r="D133" s="27">
        <v>46294.833333333299</v>
      </c>
      <c r="E133" s="27">
        <v>46295.208333333299</v>
      </c>
      <c r="F133" s="26" t="s">
        <v>563</v>
      </c>
    </row>
    <row r="134" spans="1:6" s="5" customFormat="1" ht="46.5" x14ac:dyDescent="0.35">
      <c r="A134" s="25" t="s">
        <v>529</v>
      </c>
      <c r="B134" s="25" t="s">
        <v>24</v>
      </c>
      <c r="C134" s="26" t="s">
        <v>564</v>
      </c>
      <c r="D134" s="27">
        <v>46294.833333333299</v>
      </c>
      <c r="E134" s="27">
        <v>46295.208333333299</v>
      </c>
      <c r="F134" s="26" t="s">
        <v>565</v>
      </c>
    </row>
    <row r="135" spans="1:6" s="5" customFormat="1" ht="77.5" x14ac:dyDescent="0.35">
      <c r="A135" s="25" t="s">
        <v>537</v>
      </c>
      <c r="B135" s="25" t="s">
        <v>24</v>
      </c>
      <c r="C135" s="26" t="s">
        <v>538</v>
      </c>
      <c r="D135" s="27">
        <v>46230.833333333299</v>
      </c>
      <c r="E135" s="27">
        <v>46403.25</v>
      </c>
      <c r="F135" s="26" t="s">
        <v>539</v>
      </c>
    </row>
    <row r="136" spans="1:6" s="5" customFormat="1" ht="93" x14ac:dyDescent="0.35">
      <c r="A136" s="25" t="s">
        <v>120</v>
      </c>
      <c r="B136" s="25" t="s">
        <v>5</v>
      </c>
      <c r="C136" s="26" t="s">
        <v>121</v>
      </c>
      <c r="D136" s="27">
        <v>46294.875</v>
      </c>
      <c r="E136" s="27">
        <v>46295.166666666701</v>
      </c>
      <c r="F136" s="26" t="s">
        <v>122</v>
      </c>
    </row>
    <row r="137" spans="1:6" s="5" customFormat="1" ht="93" x14ac:dyDescent="0.35">
      <c r="A137" s="25" t="s">
        <v>120</v>
      </c>
      <c r="B137" s="25" t="s">
        <v>5</v>
      </c>
      <c r="C137" s="26" t="s">
        <v>123</v>
      </c>
      <c r="D137" s="27">
        <v>46294.875</v>
      </c>
      <c r="E137" s="27">
        <v>46295.166666666701</v>
      </c>
      <c r="F137" s="26" t="s">
        <v>122</v>
      </c>
    </row>
    <row r="138" spans="1:6" s="5" customFormat="1" ht="93" x14ac:dyDescent="0.35">
      <c r="A138" s="25" t="s">
        <v>120</v>
      </c>
      <c r="B138" s="25" t="s">
        <v>5</v>
      </c>
      <c r="C138" s="26" t="s">
        <v>124</v>
      </c>
      <c r="D138" s="27">
        <v>46294.875</v>
      </c>
      <c r="E138" s="27">
        <v>46295.166666666701</v>
      </c>
      <c r="F138" s="26" t="s">
        <v>122</v>
      </c>
    </row>
    <row r="139" spans="1:6" s="5" customFormat="1" ht="46.5" x14ac:dyDescent="0.35">
      <c r="A139" s="25" t="s">
        <v>273</v>
      </c>
      <c r="B139" s="25" t="s">
        <v>5</v>
      </c>
      <c r="C139" s="26" t="s">
        <v>274</v>
      </c>
      <c r="D139" s="27">
        <v>46294.875</v>
      </c>
      <c r="E139" s="27">
        <v>46295.208333333299</v>
      </c>
      <c r="F139" s="26" t="s">
        <v>275</v>
      </c>
    </row>
    <row r="140" spans="1:6" s="5" customFormat="1" ht="46.5" x14ac:dyDescent="0.35">
      <c r="A140" s="25" t="s">
        <v>292</v>
      </c>
      <c r="B140" s="25" t="s">
        <v>2</v>
      </c>
      <c r="C140" s="26" t="s">
        <v>293</v>
      </c>
      <c r="D140" s="27">
        <v>46294.875</v>
      </c>
      <c r="E140" s="27">
        <v>46295.25</v>
      </c>
      <c r="F140" s="26" t="s">
        <v>294</v>
      </c>
    </row>
    <row r="141" spans="1:6" s="5" customFormat="1" ht="46.5" x14ac:dyDescent="0.35">
      <c r="A141" s="25" t="s">
        <v>292</v>
      </c>
      <c r="B141" s="25" t="s">
        <v>2</v>
      </c>
      <c r="C141" s="26" t="s">
        <v>295</v>
      </c>
      <c r="D141" s="27">
        <v>46294.875</v>
      </c>
      <c r="E141" s="27">
        <v>46295.25</v>
      </c>
      <c r="F141" s="26" t="s">
        <v>294</v>
      </c>
    </row>
    <row r="142" spans="1:6" s="5" customFormat="1" ht="62" x14ac:dyDescent="0.35">
      <c r="A142" s="25" t="s">
        <v>289</v>
      </c>
      <c r="B142" s="25" t="s">
        <v>2</v>
      </c>
      <c r="C142" s="26" t="s">
        <v>290</v>
      </c>
      <c r="D142" s="27">
        <v>46294.833333333299</v>
      </c>
      <c r="E142" s="27">
        <v>46295.25</v>
      </c>
      <c r="F142" s="26" t="s">
        <v>288</v>
      </c>
    </row>
    <row r="143" spans="1:6" s="5" customFormat="1" ht="77.5" x14ac:dyDescent="0.35">
      <c r="A143" s="25" t="s">
        <v>185</v>
      </c>
      <c r="B143" s="25" t="s">
        <v>24</v>
      </c>
      <c r="C143" s="26" t="s">
        <v>186</v>
      </c>
      <c r="D143" s="27">
        <v>46294.833333333299</v>
      </c>
      <c r="E143" s="27">
        <v>46295.25</v>
      </c>
      <c r="F143" s="26" t="s">
        <v>187</v>
      </c>
    </row>
    <row r="144" spans="1:6" s="5" customFormat="1" ht="77.5" x14ac:dyDescent="0.35">
      <c r="A144" s="25" t="s">
        <v>185</v>
      </c>
      <c r="B144" s="25" t="s">
        <v>5</v>
      </c>
      <c r="C144" s="26" t="s">
        <v>188</v>
      </c>
      <c r="D144" s="27">
        <v>46294.833333333299</v>
      </c>
      <c r="E144" s="27">
        <v>46295.25</v>
      </c>
      <c r="F144" s="26" t="s">
        <v>187</v>
      </c>
    </row>
    <row r="145" spans="1:6" s="5" customFormat="1" ht="77.5" x14ac:dyDescent="0.35">
      <c r="A145" s="25" t="s">
        <v>185</v>
      </c>
      <c r="B145" s="25" t="s">
        <v>4</v>
      </c>
      <c r="C145" s="26" t="s">
        <v>189</v>
      </c>
      <c r="D145" s="27">
        <v>46294.833333333299</v>
      </c>
      <c r="E145" s="27">
        <v>46295.25</v>
      </c>
      <c r="F145" s="26" t="s">
        <v>187</v>
      </c>
    </row>
    <row r="146" spans="1:6" s="5" customFormat="1" ht="93" x14ac:dyDescent="0.35">
      <c r="A146" s="25" t="s">
        <v>166</v>
      </c>
      <c r="B146" s="25" t="s">
        <v>6</v>
      </c>
      <c r="C146" s="26" t="s">
        <v>167</v>
      </c>
      <c r="D146" s="27">
        <v>46237.833333333299</v>
      </c>
      <c r="E146" s="27">
        <v>46326.25</v>
      </c>
      <c r="F146" s="26" t="s">
        <v>168</v>
      </c>
    </row>
    <row r="147" spans="1:6" s="5" customFormat="1" ht="93" x14ac:dyDescent="0.35">
      <c r="A147" s="25" t="s">
        <v>166</v>
      </c>
      <c r="B147" s="25" t="s">
        <v>2</v>
      </c>
      <c r="C147" s="26" t="s">
        <v>169</v>
      </c>
      <c r="D147" s="27">
        <v>46237.833333333299</v>
      </c>
      <c r="E147" s="27">
        <v>46326.25</v>
      </c>
      <c r="F147" s="26" t="s">
        <v>168</v>
      </c>
    </row>
    <row r="148" spans="1:6" s="5" customFormat="1" ht="77.5" x14ac:dyDescent="0.35">
      <c r="A148" s="25" t="s">
        <v>152</v>
      </c>
      <c r="B148" s="25" t="s">
        <v>24</v>
      </c>
      <c r="C148" s="26" t="s">
        <v>153</v>
      </c>
      <c r="D148" s="27">
        <v>46294.833333333299</v>
      </c>
      <c r="E148" s="27">
        <v>46295.25</v>
      </c>
      <c r="F148" s="26" t="s">
        <v>154</v>
      </c>
    </row>
    <row r="149" spans="1:6" s="5" customFormat="1" ht="77.5" x14ac:dyDescent="0.35">
      <c r="A149" s="25" t="s">
        <v>134</v>
      </c>
      <c r="B149" s="25" t="s">
        <v>5</v>
      </c>
      <c r="C149" s="26" t="s">
        <v>135</v>
      </c>
      <c r="D149" s="27">
        <v>46294.833333333299</v>
      </c>
      <c r="E149" s="27">
        <v>46295.25</v>
      </c>
      <c r="F149" s="26" t="s">
        <v>136</v>
      </c>
    </row>
    <row r="150" spans="1:6" s="5" customFormat="1" ht="77.5" x14ac:dyDescent="0.35">
      <c r="A150" s="25" t="s">
        <v>134</v>
      </c>
      <c r="B150" s="25" t="s">
        <v>5</v>
      </c>
      <c r="C150" s="26" t="s">
        <v>137</v>
      </c>
      <c r="D150" s="27">
        <v>46294.833333333299</v>
      </c>
      <c r="E150" s="27">
        <v>46295.25</v>
      </c>
      <c r="F150" s="26" t="s">
        <v>136</v>
      </c>
    </row>
    <row r="151" spans="1:6" s="5" customFormat="1" ht="77.5" x14ac:dyDescent="0.35">
      <c r="A151" s="25" t="s">
        <v>134</v>
      </c>
      <c r="B151" s="25" t="s">
        <v>5</v>
      </c>
      <c r="C151" s="26" t="s">
        <v>138</v>
      </c>
      <c r="D151" s="27">
        <v>46294.833333333299</v>
      </c>
      <c r="E151" s="27">
        <v>46295</v>
      </c>
      <c r="F151" s="26" t="s">
        <v>136</v>
      </c>
    </row>
    <row r="152" spans="1:6" s="5" customFormat="1" ht="77.5" x14ac:dyDescent="0.35">
      <c r="A152" s="25" t="s">
        <v>134</v>
      </c>
      <c r="B152" s="25" t="s">
        <v>4</v>
      </c>
      <c r="C152" s="26" t="s">
        <v>139</v>
      </c>
      <c r="D152" s="27">
        <v>46294.833333333299</v>
      </c>
      <c r="E152" s="27">
        <v>46295.25</v>
      </c>
      <c r="F152" s="26" t="s">
        <v>140</v>
      </c>
    </row>
    <row r="153" spans="1:6" s="5" customFormat="1" ht="77.5" x14ac:dyDescent="0.35">
      <c r="A153" s="25" t="s">
        <v>134</v>
      </c>
      <c r="B153" s="25" t="s">
        <v>4</v>
      </c>
      <c r="C153" s="26" t="s">
        <v>141</v>
      </c>
      <c r="D153" s="27">
        <v>46294.833333333299</v>
      </c>
      <c r="E153" s="27">
        <v>46295.25</v>
      </c>
      <c r="F153" s="26" t="s">
        <v>140</v>
      </c>
    </row>
    <row r="154" spans="1:6" s="5" customFormat="1" ht="77.5" x14ac:dyDescent="0.35">
      <c r="A154" s="25" t="s">
        <v>134</v>
      </c>
      <c r="B154" s="25" t="s">
        <v>4</v>
      </c>
      <c r="C154" s="26" t="s">
        <v>142</v>
      </c>
      <c r="D154" s="27">
        <v>46294.833333333299</v>
      </c>
      <c r="E154" s="27">
        <v>46295.25</v>
      </c>
      <c r="F154" s="26" t="s">
        <v>140</v>
      </c>
    </row>
    <row r="155" spans="1:6" s="5" customFormat="1" ht="77.5" x14ac:dyDescent="0.35">
      <c r="A155" s="25" t="s">
        <v>134</v>
      </c>
      <c r="B155" s="25" t="s">
        <v>5</v>
      </c>
      <c r="C155" s="26" t="s">
        <v>143</v>
      </c>
      <c r="D155" s="27">
        <v>46294.833333333299</v>
      </c>
      <c r="E155" s="27">
        <v>46295.25</v>
      </c>
      <c r="F155" s="26" t="s">
        <v>144</v>
      </c>
    </row>
    <row r="156" spans="1:6" s="5" customFormat="1" ht="77.5" x14ac:dyDescent="0.35">
      <c r="A156" s="25" t="s">
        <v>134</v>
      </c>
      <c r="B156" s="25" t="s">
        <v>5</v>
      </c>
      <c r="C156" s="26" t="s">
        <v>145</v>
      </c>
      <c r="D156" s="27">
        <v>46294.833333333299</v>
      </c>
      <c r="E156" s="27">
        <v>46295.25</v>
      </c>
      <c r="F156" s="26" t="s">
        <v>144</v>
      </c>
    </row>
    <row r="157" spans="1:6" s="5" customFormat="1" ht="77.5" x14ac:dyDescent="0.35">
      <c r="A157" s="25" t="s">
        <v>134</v>
      </c>
      <c r="B157" s="25" t="s">
        <v>5</v>
      </c>
      <c r="C157" s="26" t="s">
        <v>146</v>
      </c>
      <c r="D157" s="27">
        <v>46294.833333333299</v>
      </c>
      <c r="E157" s="27">
        <v>46295.25</v>
      </c>
      <c r="F157" s="26" t="s">
        <v>144</v>
      </c>
    </row>
    <row r="158" spans="1:6" s="5" customFormat="1" ht="77.5" x14ac:dyDescent="0.35">
      <c r="A158" s="25" t="s">
        <v>134</v>
      </c>
      <c r="B158" s="25" t="s">
        <v>5</v>
      </c>
      <c r="C158" s="26" t="s">
        <v>147</v>
      </c>
      <c r="D158" s="27">
        <v>46294.833333333299</v>
      </c>
      <c r="E158" s="27">
        <v>46295.25</v>
      </c>
      <c r="F158" s="26" t="s">
        <v>144</v>
      </c>
    </row>
    <row r="159" spans="1:6" s="5" customFormat="1" ht="77.5" x14ac:dyDescent="0.35">
      <c r="A159" s="25" t="s">
        <v>134</v>
      </c>
      <c r="B159" s="25" t="s">
        <v>5</v>
      </c>
      <c r="C159" s="26" t="s">
        <v>137</v>
      </c>
      <c r="D159" s="27">
        <v>46294.833333333299</v>
      </c>
      <c r="E159" s="27">
        <v>46295.25</v>
      </c>
      <c r="F159" s="26" t="s">
        <v>144</v>
      </c>
    </row>
    <row r="160" spans="1:6" s="5" customFormat="1" ht="77.5" x14ac:dyDescent="0.35">
      <c r="A160" s="25" t="s">
        <v>201</v>
      </c>
      <c r="B160" s="25" t="s">
        <v>5</v>
      </c>
      <c r="C160" s="26" t="s">
        <v>202</v>
      </c>
      <c r="D160" s="27">
        <v>46294.833333333299</v>
      </c>
      <c r="E160" s="27">
        <v>46295.25</v>
      </c>
      <c r="F160" s="26" t="s">
        <v>203</v>
      </c>
    </row>
    <row r="161" spans="1:6" s="5" customFormat="1" ht="77.5" x14ac:dyDescent="0.35">
      <c r="A161" s="25" t="s">
        <v>201</v>
      </c>
      <c r="B161" s="25" t="s">
        <v>5</v>
      </c>
      <c r="C161" s="26" t="s">
        <v>204</v>
      </c>
      <c r="D161" s="27">
        <v>46294.833333333299</v>
      </c>
      <c r="E161" s="27">
        <v>46295.25</v>
      </c>
      <c r="F161" s="26" t="s">
        <v>203</v>
      </c>
    </row>
    <row r="162" spans="1:6" s="5" customFormat="1" ht="77.5" x14ac:dyDescent="0.35">
      <c r="A162" s="25" t="s">
        <v>201</v>
      </c>
      <c r="B162" s="25" t="s">
        <v>5</v>
      </c>
      <c r="C162" s="26" t="s">
        <v>205</v>
      </c>
      <c r="D162" s="27">
        <v>46294.833333333299</v>
      </c>
      <c r="E162" s="27">
        <v>46295.25</v>
      </c>
      <c r="F162" s="26" t="s">
        <v>203</v>
      </c>
    </row>
    <row r="163" spans="1:6" s="5" customFormat="1" ht="77.5" x14ac:dyDescent="0.35">
      <c r="A163" s="25" t="s">
        <v>201</v>
      </c>
      <c r="B163" s="25" t="s">
        <v>5</v>
      </c>
      <c r="C163" s="26" t="s">
        <v>206</v>
      </c>
      <c r="D163" s="27">
        <v>46294.833333333299</v>
      </c>
      <c r="E163" s="27">
        <v>46295.25</v>
      </c>
      <c r="F163" s="26" t="s">
        <v>203</v>
      </c>
    </row>
    <row r="164" spans="1:6" s="5" customFormat="1" ht="77.5" x14ac:dyDescent="0.35">
      <c r="A164" s="25" t="s">
        <v>201</v>
      </c>
      <c r="B164" s="25" t="s">
        <v>5</v>
      </c>
      <c r="C164" s="26" t="s">
        <v>207</v>
      </c>
      <c r="D164" s="27">
        <v>46294.833333333299</v>
      </c>
      <c r="E164" s="27">
        <v>46295.25</v>
      </c>
      <c r="F164" s="26" t="s">
        <v>203</v>
      </c>
    </row>
    <row r="165" spans="1:6" s="5" customFormat="1" ht="46.5" x14ac:dyDescent="0.35">
      <c r="A165" s="25" t="s">
        <v>201</v>
      </c>
      <c r="B165" s="25" t="s">
        <v>5</v>
      </c>
      <c r="C165" s="26" t="s">
        <v>228</v>
      </c>
      <c r="D165" s="27">
        <v>46294.833333333299</v>
      </c>
      <c r="E165" s="27">
        <v>46295.25</v>
      </c>
      <c r="F165" s="26" t="s">
        <v>229</v>
      </c>
    </row>
    <row r="166" spans="1:6" s="5" customFormat="1" ht="46.5" x14ac:dyDescent="0.35">
      <c r="A166" s="25" t="s">
        <v>201</v>
      </c>
      <c r="B166" s="25" t="s">
        <v>4</v>
      </c>
      <c r="C166" s="26" t="s">
        <v>230</v>
      </c>
      <c r="D166" s="27">
        <v>46294.833333333299</v>
      </c>
      <c r="E166" s="27">
        <v>46295.25</v>
      </c>
      <c r="F166" s="26" t="s">
        <v>229</v>
      </c>
    </row>
    <row r="167" spans="1:6" s="5" customFormat="1" ht="46.5" x14ac:dyDescent="0.35">
      <c r="A167" s="25" t="s">
        <v>296</v>
      </c>
      <c r="B167" s="25" t="s">
        <v>2</v>
      </c>
      <c r="C167" s="26" t="s">
        <v>297</v>
      </c>
      <c r="D167" s="27">
        <v>46294.875</v>
      </c>
      <c r="E167" s="27">
        <v>46295.25</v>
      </c>
      <c r="F167" s="26" t="s">
        <v>298</v>
      </c>
    </row>
    <row r="168" spans="1:6" s="5" customFormat="1" ht="46.5" x14ac:dyDescent="0.35">
      <c r="A168" s="25" t="s">
        <v>211</v>
      </c>
      <c r="B168" s="25" t="s">
        <v>4</v>
      </c>
      <c r="C168" s="26" t="s">
        <v>212</v>
      </c>
      <c r="D168" s="27">
        <v>46294.833333333299</v>
      </c>
      <c r="E168" s="27">
        <v>46295.25</v>
      </c>
      <c r="F168" s="26" t="s">
        <v>213</v>
      </c>
    </row>
    <row r="169" spans="1:6" s="5" customFormat="1" ht="46.5" x14ac:dyDescent="0.35">
      <c r="A169" s="25" t="s">
        <v>211</v>
      </c>
      <c r="B169" s="25" t="s">
        <v>5</v>
      </c>
      <c r="C169" s="26" t="s">
        <v>214</v>
      </c>
      <c r="D169" s="27">
        <v>46294.833333333299</v>
      </c>
      <c r="E169" s="27">
        <v>46295.25</v>
      </c>
      <c r="F169" s="26" t="s">
        <v>213</v>
      </c>
    </row>
    <row r="170" spans="1:6" ht="46.5" x14ac:dyDescent="0.35">
      <c r="A170" s="25" t="s">
        <v>211</v>
      </c>
      <c r="B170" s="25" t="s">
        <v>5</v>
      </c>
      <c r="C170" s="26" t="s">
        <v>215</v>
      </c>
      <c r="D170" s="27">
        <v>46294.833333333299</v>
      </c>
      <c r="E170" s="27">
        <v>46295.25</v>
      </c>
      <c r="F170" s="26" t="s">
        <v>213</v>
      </c>
    </row>
    <row r="171" spans="1:6" ht="46.5" x14ac:dyDescent="0.35">
      <c r="A171" s="25" t="s">
        <v>211</v>
      </c>
      <c r="B171" s="25" t="s">
        <v>4</v>
      </c>
      <c r="C171" s="26" t="s">
        <v>216</v>
      </c>
      <c r="D171" s="27">
        <v>46294.833333333299</v>
      </c>
      <c r="E171" s="27">
        <v>46295.25</v>
      </c>
      <c r="F171" s="26" t="s">
        <v>213</v>
      </c>
    </row>
    <row r="172" spans="1:6" ht="77.5" x14ac:dyDescent="0.35">
      <c r="A172" s="25" t="s">
        <v>55</v>
      </c>
      <c r="B172" s="25" t="s">
        <v>2</v>
      </c>
      <c r="C172" s="26" t="s">
        <v>56</v>
      </c>
      <c r="D172" s="27">
        <v>46294.875</v>
      </c>
      <c r="E172" s="27">
        <v>46295.208333333299</v>
      </c>
      <c r="F172" s="26" t="s">
        <v>57</v>
      </c>
    </row>
    <row r="173" spans="1:6" ht="62" x14ac:dyDescent="0.35">
      <c r="A173" s="25" t="s">
        <v>55</v>
      </c>
      <c r="B173" s="25" t="s">
        <v>2</v>
      </c>
      <c r="C173" s="26" t="s">
        <v>58</v>
      </c>
      <c r="D173" s="27">
        <v>46294.916666666701</v>
      </c>
      <c r="E173" s="27">
        <v>46295.208333333299</v>
      </c>
      <c r="F173" s="26" t="s">
        <v>59</v>
      </c>
    </row>
    <row r="174" spans="1:6" ht="62" x14ac:dyDescent="0.35">
      <c r="A174" s="25" t="s">
        <v>55</v>
      </c>
      <c r="B174" s="25" t="s">
        <v>2</v>
      </c>
      <c r="C174" s="26" t="s">
        <v>65</v>
      </c>
      <c r="D174" s="27">
        <v>46294.916666666701</v>
      </c>
      <c r="E174" s="27">
        <v>46295.208333333299</v>
      </c>
      <c r="F174" s="26" t="s">
        <v>66</v>
      </c>
    </row>
    <row r="175" spans="1:6" ht="93" x14ac:dyDescent="0.35">
      <c r="A175" s="25" t="s">
        <v>55</v>
      </c>
      <c r="B175" s="25" t="s">
        <v>2</v>
      </c>
      <c r="C175" s="26" t="s">
        <v>71</v>
      </c>
      <c r="D175" s="27">
        <v>46294.833333333299</v>
      </c>
      <c r="E175" s="27">
        <v>46295.25</v>
      </c>
      <c r="F175" s="26" t="s">
        <v>72</v>
      </c>
    </row>
    <row r="176" spans="1:6" ht="77.5" x14ac:dyDescent="0.35">
      <c r="A176" s="25" t="s">
        <v>55</v>
      </c>
      <c r="B176" s="25" t="s">
        <v>6</v>
      </c>
      <c r="C176" s="26" t="s">
        <v>118</v>
      </c>
      <c r="D176" s="27">
        <v>46294.833333333299</v>
      </c>
      <c r="E176" s="27">
        <v>46295.25</v>
      </c>
      <c r="F176" s="26" t="s">
        <v>119</v>
      </c>
    </row>
    <row r="177" spans="1:6" ht="62" x14ac:dyDescent="0.35">
      <c r="A177" s="25" t="s">
        <v>55</v>
      </c>
      <c r="B177" s="25" t="s">
        <v>2</v>
      </c>
      <c r="C177" s="26" t="s">
        <v>183</v>
      </c>
      <c r="D177" s="27">
        <v>46294.833333333299</v>
      </c>
      <c r="E177" s="27">
        <v>46295.208333333299</v>
      </c>
      <c r="F177" s="26" t="s">
        <v>184</v>
      </c>
    </row>
    <row r="178" spans="1:6" ht="77.5" x14ac:dyDescent="0.35">
      <c r="A178" s="25" t="s">
        <v>55</v>
      </c>
      <c r="B178" s="25" t="s">
        <v>6</v>
      </c>
      <c r="C178" s="26" t="s">
        <v>190</v>
      </c>
      <c r="D178" s="27">
        <v>46294.833333333299</v>
      </c>
      <c r="E178" s="27">
        <v>46295.25</v>
      </c>
      <c r="F178" s="26" t="s">
        <v>191</v>
      </c>
    </row>
    <row r="179" spans="1:6" ht="46.5" x14ac:dyDescent="0.35">
      <c r="A179" s="25" t="s">
        <v>55</v>
      </c>
      <c r="B179" s="25" t="s">
        <v>2</v>
      </c>
      <c r="C179" s="26" t="s">
        <v>192</v>
      </c>
      <c r="D179" s="27">
        <v>46294.833333333299</v>
      </c>
      <c r="E179" s="27">
        <v>46295.208333333299</v>
      </c>
      <c r="F179" s="26" t="s">
        <v>193</v>
      </c>
    </row>
    <row r="180" spans="1:6" ht="46.5" x14ac:dyDescent="0.35">
      <c r="A180" s="25" t="s">
        <v>55</v>
      </c>
      <c r="B180" s="25" t="s">
        <v>2</v>
      </c>
      <c r="C180" s="26" t="s">
        <v>435</v>
      </c>
      <c r="D180" s="27">
        <v>46294.916666666701</v>
      </c>
      <c r="E180" s="27">
        <v>46295.229166666701</v>
      </c>
      <c r="F180" s="26" t="s">
        <v>436</v>
      </c>
    </row>
    <row r="181" spans="1:6" ht="46.5" x14ac:dyDescent="0.35">
      <c r="A181" s="25" t="s">
        <v>46</v>
      </c>
      <c r="B181" s="25" t="s">
        <v>2</v>
      </c>
      <c r="C181" s="26" t="s">
        <v>47</v>
      </c>
      <c r="D181" s="27">
        <v>46294.875</v>
      </c>
      <c r="E181" s="27">
        <v>46295.208333333299</v>
      </c>
      <c r="F181" s="26" t="s">
        <v>48</v>
      </c>
    </row>
    <row r="182" spans="1:6" ht="77.5" x14ac:dyDescent="0.35">
      <c r="A182" s="25" t="s">
        <v>46</v>
      </c>
      <c r="B182" s="25" t="s">
        <v>2</v>
      </c>
      <c r="C182" s="26" t="s">
        <v>425</v>
      </c>
      <c r="D182" s="27">
        <v>46294.916666666701</v>
      </c>
      <c r="E182" s="27">
        <v>46295.229166666701</v>
      </c>
      <c r="F182" s="26" t="s">
        <v>426</v>
      </c>
    </row>
    <row r="183" spans="1:6" ht="108.5" x14ac:dyDescent="0.35">
      <c r="A183" s="25" t="s">
        <v>128</v>
      </c>
      <c r="B183" s="25" t="s">
        <v>5</v>
      </c>
      <c r="C183" s="26" t="s">
        <v>129</v>
      </c>
      <c r="D183" s="27">
        <v>46294.833333333299</v>
      </c>
      <c r="E183" s="27">
        <v>46295.25</v>
      </c>
      <c r="F183" s="26" t="s">
        <v>130</v>
      </c>
    </row>
    <row r="184" spans="1:6" ht="108.5" x14ac:dyDescent="0.35">
      <c r="A184" s="25" t="s">
        <v>128</v>
      </c>
      <c r="B184" s="25" t="s">
        <v>5</v>
      </c>
      <c r="C184" s="26" t="s">
        <v>133</v>
      </c>
      <c r="D184" s="27">
        <v>46294.833333333299</v>
      </c>
      <c r="E184" s="27">
        <v>46295.25</v>
      </c>
      <c r="F184" s="26" t="s">
        <v>130</v>
      </c>
    </row>
    <row r="185" spans="1:6" ht="108.5" x14ac:dyDescent="0.35">
      <c r="A185" s="25" t="s">
        <v>131</v>
      </c>
      <c r="B185" s="25" t="s">
        <v>6</v>
      </c>
      <c r="C185" s="26" t="s">
        <v>132</v>
      </c>
      <c r="D185" s="27">
        <v>46294.833333333299</v>
      </c>
      <c r="E185" s="27">
        <v>46295.25</v>
      </c>
      <c r="F185" s="26" t="s">
        <v>130</v>
      </c>
    </row>
    <row r="186" spans="1:6" ht="46.5" x14ac:dyDescent="0.35">
      <c r="A186" s="25" t="s">
        <v>399</v>
      </c>
      <c r="B186" s="25" t="s">
        <v>4</v>
      </c>
      <c r="C186" s="26" t="s">
        <v>400</v>
      </c>
      <c r="D186" s="27">
        <v>46294.833333333299</v>
      </c>
      <c r="E186" s="27">
        <v>46295.25</v>
      </c>
      <c r="F186" s="26" t="s">
        <v>401</v>
      </c>
    </row>
    <row r="187" spans="1:6" ht="46.5" x14ac:dyDescent="0.35">
      <c r="A187" s="25" t="s">
        <v>399</v>
      </c>
      <c r="B187" s="25" t="s">
        <v>4</v>
      </c>
      <c r="C187" s="26" t="s">
        <v>402</v>
      </c>
      <c r="D187" s="27">
        <v>46294.833333333299</v>
      </c>
      <c r="E187" s="27">
        <v>46295.25</v>
      </c>
      <c r="F187" s="26" t="s">
        <v>401</v>
      </c>
    </row>
    <row r="188" spans="1:6" ht="46.5" x14ac:dyDescent="0.35">
      <c r="A188" s="25" t="s">
        <v>386</v>
      </c>
      <c r="B188" s="25" t="s">
        <v>5</v>
      </c>
      <c r="C188" s="26" t="s">
        <v>387</v>
      </c>
      <c r="D188" s="27">
        <v>46294.833333333299</v>
      </c>
      <c r="E188" s="27">
        <v>46295.25</v>
      </c>
      <c r="F188" s="26" t="s">
        <v>388</v>
      </c>
    </row>
    <row r="189" spans="1:6" ht="62" x14ac:dyDescent="0.35">
      <c r="A189" s="25" t="s">
        <v>386</v>
      </c>
      <c r="B189" s="25" t="s">
        <v>5</v>
      </c>
      <c r="C189" s="26" t="s">
        <v>389</v>
      </c>
      <c r="D189" s="27">
        <v>46294.833333333299</v>
      </c>
      <c r="E189" s="27">
        <v>46295.25</v>
      </c>
      <c r="F189" s="26" t="s">
        <v>390</v>
      </c>
    </row>
    <row r="190" spans="1:6" ht="46.5" x14ac:dyDescent="0.35">
      <c r="A190" s="25" t="s">
        <v>386</v>
      </c>
      <c r="B190" s="25" t="s">
        <v>5</v>
      </c>
      <c r="C190" s="26" t="s">
        <v>391</v>
      </c>
      <c r="D190" s="27">
        <v>46294.833333333299</v>
      </c>
      <c r="E190" s="27">
        <v>46295.208333333299</v>
      </c>
      <c r="F190" s="26" t="s">
        <v>392</v>
      </c>
    </row>
    <row r="191" spans="1:6" ht="46.5" x14ac:dyDescent="0.35">
      <c r="A191" s="25" t="s">
        <v>386</v>
      </c>
      <c r="B191" s="25" t="s">
        <v>5</v>
      </c>
      <c r="C191" s="26" t="s">
        <v>389</v>
      </c>
      <c r="D191" s="27">
        <v>46294.833333333299</v>
      </c>
      <c r="E191" s="27">
        <v>46295.208333333299</v>
      </c>
      <c r="F191" s="26" t="s">
        <v>392</v>
      </c>
    </row>
    <row r="192" spans="1:6" ht="46.5" x14ac:dyDescent="0.35">
      <c r="A192" s="25" t="s">
        <v>386</v>
      </c>
      <c r="B192" s="25" t="s">
        <v>5</v>
      </c>
      <c r="C192" s="26" t="s">
        <v>393</v>
      </c>
      <c r="D192" s="27">
        <v>46294.833333333299</v>
      </c>
      <c r="E192" s="27">
        <v>46295.208333333299</v>
      </c>
      <c r="F192" s="26" t="s">
        <v>392</v>
      </c>
    </row>
    <row r="193" spans="1:6" ht="31" x14ac:dyDescent="0.35">
      <c r="A193" s="25" t="s">
        <v>386</v>
      </c>
      <c r="B193" s="25" t="s">
        <v>4</v>
      </c>
      <c r="C193" s="26" t="s">
        <v>394</v>
      </c>
      <c r="D193" s="27">
        <v>46294.833333333299</v>
      </c>
      <c r="E193" s="27">
        <v>46295.25</v>
      </c>
      <c r="F193" s="26" t="s">
        <v>395</v>
      </c>
    </row>
    <row r="194" spans="1:6" ht="62" x14ac:dyDescent="0.35">
      <c r="A194" s="25" t="s">
        <v>439</v>
      </c>
      <c r="B194" s="25" t="s">
        <v>6</v>
      </c>
      <c r="C194" s="26" t="s">
        <v>440</v>
      </c>
      <c r="D194" s="27">
        <v>46294.916666666701</v>
      </c>
      <c r="E194" s="27">
        <v>46295.229166666701</v>
      </c>
      <c r="F194" s="26" t="s">
        <v>441</v>
      </c>
    </row>
    <row r="195" spans="1:6" ht="62" x14ac:dyDescent="0.35">
      <c r="A195" s="25" t="s">
        <v>439</v>
      </c>
      <c r="B195" s="25" t="s">
        <v>6</v>
      </c>
      <c r="C195" s="26" t="s">
        <v>442</v>
      </c>
      <c r="D195" s="27">
        <v>46294.916666666701</v>
      </c>
      <c r="E195" s="27">
        <v>46295.229166666701</v>
      </c>
      <c r="F195" s="26" t="s">
        <v>441</v>
      </c>
    </row>
    <row r="196" spans="1:6" ht="62" x14ac:dyDescent="0.35">
      <c r="A196" s="25" t="s">
        <v>421</v>
      </c>
      <c r="B196" s="25" t="s">
        <v>7</v>
      </c>
      <c r="C196" s="26" t="s">
        <v>422</v>
      </c>
      <c r="D196" s="27">
        <v>46294.916666666701</v>
      </c>
      <c r="E196" s="27">
        <v>46295.229166666701</v>
      </c>
      <c r="F196" s="26" t="s">
        <v>423</v>
      </c>
    </row>
    <row r="197" spans="1:6" ht="62" x14ac:dyDescent="0.35">
      <c r="A197" s="25" t="s">
        <v>421</v>
      </c>
      <c r="B197" s="25" t="s">
        <v>7</v>
      </c>
      <c r="C197" s="26" t="s">
        <v>424</v>
      </c>
      <c r="D197" s="27">
        <v>46294.916666666701</v>
      </c>
      <c r="E197" s="27">
        <v>46295.229166666701</v>
      </c>
      <c r="F197" s="26" t="s">
        <v>423</v>
      </c>
    </row>
    <row r="198" spans="1:6" ht="77.5" x14ac:dyDescent="0.35">
      <c r="A198" s="25" t="s">
        <v>421</v>
      </c>
      <c r="B198" s="25" t="s">
        <v>8</v>
      </c>
      <c r="C198" s="26" t="s">
        <v>433</v>
      </c>
      <c r="D198" s="27">
        <v>46294.916666666701</v>
      </c>
      <c r="E198" s="27">
        <v>46295.229166666701</v>
      </c>
      <c r="F198" s="26" t="s">
        <v>434</v>
      </c>
    </row>
    <row r="199" spans="1:6" ht="93" x14ac:dyDescent="0.35">
      <c r="A199" s="25" t="s">
        <v>421</v>
      </c>
      <c r="B199" s="25" t="s">
        <v>7</v>
      </c>
      <c r="C199" s="26" t="s">
        <v>443</v>
      </c>
      <c r="D199" s="27">
        <v>46294.916666666701</v>
      </c>
      <c r="E199" s="27">
        <v>46295.229166666701</v>
      </c>
      <c r="F199" s="26" t="s">
        <v>444</v>
      </c>
    </row>
    <row r="200" spans="1:6" ht="62" x14ac:dyDescent="0.35">
      <c r="A200" s="25" t="s">
        <v>421</v>
      </c>
      <c r="B200" s="25" t="s">
        <v>8</v>
      </c>
      <c r="C200" s="26" t="s">
        <v>447</v>
      </c>
      <c r="D200" s="27">
        <v>46294.916666666701</v>
      </c>
      <c r="E200" s="27">
        <v>46295.229166666701</v>
      </c>
      <c r="F200" s="26" t="s">
        <v>448</v>
      </c>
    </row>
    <row r="201" spans="1:6" ht="62" x14ac:dyDescent="0.35">
      <c r="A201" s="25" t="s">
        <v>421</v>
      </c>
      <c r="B201" s="25" t="s">
        <v>8</v>
      </c>
      <c r="C201" s="26" t="s">
        <v>455</v>
      </c>
      <c r="D201" s="27">
        <v>46294.916666666701</v>
      </c>
      <c r="E201" s="27">
        <v>46295.229166666701</v>
      </c>
      <c r="F201" s="26" t="s">
        <v>456</v>
      </c>
    </row>
    <row r="202" spans="1:6" ht="77.5" x14ac:dyDescent="0.35">
      <c r="A202" s="25" t="s">
        <v>421</v>
      </c>
      <c r="B202" s="25" t="s">
        <v>8</v>
      </c>
      <c r="C202" s="26" t="s">
        <v>457</v>
      </c>
      <c r="D202" s="27">
        <v>46294.916666666701</v>
      </c>
      <c r="E202" s="27">
        <v>46295.229166666701</v>
      </c>
      <c r="F202" s="26" t="s">
        <v>458</v>
      </c>
    </row>
    <row r="203" spans="1:6" ht="46.5" x14ac:dyDescent="0.35">
      <c r="A203" s="25" t="s">
        <v>421</v>
      </c>
      <c r="B203" s="25" t="s">
        <v>7</v>
      </c>
      <c r="C203" s="26" t="s">
        <v>459</v>
      </c>
      <c r="D203" s="27">
        <v>46294.916666666701</v>
      </c>
      <c r="E203" s="27">
        <v>46295.229166666701</v>
      </c>
      <c r="F203" s="26" t="s">
        <v>460</v>
      </c>
    </row>
    <row r="204" spans="1:6" ht="93" x14ac:dyDescent="0.35">
      <c r="A204" s="25" t="s">
        <v>421</v>
      </c>
      <c r="B204" s="25" t="s">
        <v>8</v>
      </c>
      <c r="C204" s="26" t="s">
        <v>464</v>
      </c>
      <c r="D204" s="27">
        <v>46294.916666666701</v>
      </c>
      <c r="E204" s="27">
        <v>46295.229166666701</v>
      </c>
      <c r="F204" s="26" t="s">
        <v>463</v>
      </c>
    </row>
    <row r="205" spans="1:6" ht="77.5" x14ac:dyDescent="0.35">
      <c r="A205" s="25" t="s">
        <v>449</v>
      </c>
      <c r="B205" s="25" t="s">
        <v>4</v>
      </c>
      <c r="C205" s="26" t="s">
        <v>450</v>
      </c>
      <c r="D205" s="27">
        <v>46294.916666666701</v>
      </c>
      <c r="E205" s="27">
        <v>46295.229166666701</v>
      </c>
      <c r="F205" s="26" t="s">
        <v>451</v>
      </c>
    </row>
    <row r="206" spans="1:6" ht="77.5" x14ac:dyDescent="0.35">
      <c r="A206" s="25" t="s">
        <v>449</v>
      </c>
      <c r="B206" s="25" t="s">
        <v>4</v>
      </c>
      <c r="C206" s="26" t="s">
        <v>452</v>
      </c>
      <c r="D206" s="27">
        <v>46294.916666666701</v>
      </c>
      <c r="E206" s="27">
        <v>46295.229166666701</v>
      </c>
      <c r="F206" s="26" t="s">
        <v>451</v>
      </c>
    </row>
    <row r="207" spans="1:6" ht="46.5" x14ac:dyDescent="0.35">
      <c r="A207" s="25" t="s">
        <v>349</v>
      </c>
      <c r="B207" s="25" t="s">
        <v>5</v>
      </c>
      <c r="C207" s="26" t="s">
        <v>350</v>
      </c>
      <c r="D207" s="27">
        <v>46294.875</v>
      </c>
      <c r="E207" s="27">
        <v>46295.25</v>
      </c>
      <c r="F207" s="26" t="s">
        <v>351</v>
      </c>
    </row>
    <row r="208" spans="1:6" ht="31" x14ac:dyDescent="0.35">
      <c r="A208" s="25" t="s">
        <v>349</v>
      </c>
      <c r="B208" s="25" t="s">
        <v>5</v>
      </c>
      <c r="C208" s="26" t="s">
        <v>354</v>
      </c>
      <c r="D208" s="27">
        <v>46294.875</v>
      </c>
      <c r="E208" s="27">
        <v>46295.25</v>
      </c>
      <c r="F208" s="26" t="s">
        <v>355</v>
      </c>
    </row>
    <row r="209" spans="1:6" ht="62" x14ac:dyDescent="0.35">
      <c r="A209" s="25" t="s">
        <v>324</v>
      </c>
      <c r="B209" s="25" t="s">
        <v>2</v>
      </c>
      <c r="C209" s="26" t="s">
        <v>325</v>
      </c>
      <c r="D209" s="27">
        <v>46237.25</v>
      </c>
      <c r="E209" s="27">
        <v>46692.25</v>
      </c>
      <c r="F209" s="26" t="s">
        <v>326</v>
      </c>
    </row>
    <row r="210" spans="1:6" ht="46.5" x14ac:dyDescent="0.35">
      <c r="A210" s="25" t="s">
        <v>324</v>
      </c>
      <c r="B210" s="25" t="s">
        <v>6</v>
      </c>
      <c r="C210" s="26" t="s">
        <v>352</v>
      </c>
      <c r="D210" s="27">
        <v>46294.875</v>
      </c>
      <c r="E210" s="27">
        <v>46295.25</v>
      </c>
      <c r="F210" s="26" t="s">
        <v>353</v>
      </c>
    </row>
    <row r="211" spans="1:6" ht="62" x14ac:dyDescent="0.35">
      <c r="A211" s="25" t="s">
        <v>324</v>
      </c>
      <c r="B211" s="25" t="s">
        <v>2</v>
      </c>
      <c r="C211" s="26" t="s">
        <v>358</v>
      </c>
      <c r="D211" s="27">
        <v>46294.875</v>
      </c>
      <c r="E211" s="27">
        <v>46295.25</v>
      </c>
      <c r="F211" s="26" t="s">
        <v>357</v>
      </c>
    </row>
    <row r="212" spans="1:6" ht="31" x14ac:dyDescent="0.35">
      <c r="A212" s="25" t="s">
        <v>373</v>
      </c>
      <c r="B212" s="25" t="s">
        <v>4</v>
      </c>
      <c r="C212" s="26" t="s">
        <v>374</v>
      </c>
      <c r="D212" s="27">
        <v>46294.875</v>
      </c>
      <c r="E212" s="27">
        <v>46295.25</v>
      </c>
      <c r="F212" s="26" t="s">
        <v>375</v>
      </c>
    </row>
    <row r="213" spans="1:6" ht="31" x14ac:dyDescent="0.35">
      <c r="A213" s="25" t="s">
        <v>373</v>
      </c>
      <c r="B213" s="25" t="s">
        <v>5</v>
      </c>
      <c r="C213" s="26" t="s">
        <v>376</v>
      </c>
      <c r="D213" s="27">
        <v>46294.875</v>
      </c>
      <c r="E213" s="27">
        <v>46295.25</v>
      </c>
      <c r="F213" s="26" t="s">
        <v>375</v>
      </c>
    </row>
    <row r="214" spans="1:6" ht="46.5" x14ac:dyDescent="0.35">
      <c r="A214" s="25" t="s">
        <v>373</v>
      </c>
      <c r="B214" s="25" t="s">
        <v>4</v>
      </c>
      <c r="C214" s="26" t="s">
        <v>427</v>
      </c>
      <c r="D214" s="27">
        <v>46294.916666666701</v>
      </c>
      <c r="E214" s="27">
        <v>46295.229166666701</v>
      </c>
      <c r="F214" s="26" t="s">
        <v>428</v>
      </c>
    </row>
    <row r="215" spans="1:6" ht="62" x14ac:dyDescent="0.35">
      <c r="A215" s="25" t="s">
        <v>373</v>
      </c>
      <c r="B215" s="25" t="s">
        <v>4</v>
      </c>
      <c r="C215" s="26" t="s">
        <v>453</v>
      </c>
      <c r="D215" s="27">
        <v>46294.916666666701</v>
      </c>
      <c r="E215" s="27">
        <v>46295.229166666701</v>
      </c>
      <c r="F215" s="26" t="s">
        <v>454</v>
      </c>
    </row>
    <row r="216" spans="1:6" ht="46.5" x14ac:dyDescent="0.35">
      <c r="A216" s="25" t="s">
        <v>373</v>
      </c>
      <c r="B216" s="25" t="s">
        <v>4</v>
      </c>
      <c r="C216" s="26" t="s">
        <v>498</v>
      </c>
      <c r="D216" s="27">
        <v>46294.875</v>
      </c>
      <c r="E216" s="27">
        <v>46295.25</v>
      </c>
      <c r="F216" s="26" t="s">
        <v>499</v>
      </c>
    </row>
    <row r="217" spans="1:6" ht="46.5" x14ac:dyDescent="0.35">
      <c r="A217" s="25" t="s">
        <v>373</v>
      </c>
      <c r="B217" s="25" t="s">
        <v>4</v>
      </c>
      <c r="C217" s="26" t="s">
        <v>500</v>
      </c>
      <c r="D217" s="27">
        <v>46294.875</v>
      </c>
      <c r="E217" s="27">
        <v>46295.25</v>
      </c>
      <c r="F217" s="26" t="s">
        <v>499</v>
      </c>
    </row>
    <row r="218" spans="1:6" ht="108.5" x14ac:dyDescent="0.35">
      <c r="A218" s="25" t="s">
        <v>373</v>
      </c>
      <c r="B218" s="25" t="s">
        <v>5</v>
      </c>
      <c r="C218" s="26" t="s">
        <v>516</v>
      </c>
      <c r="D218" s="27">
        <v>46294.875</v>
      </c>
      <c r="E218" s="27">
        <v>46295.25</v>
      </c>
      <c r="F218" s="26" t="s">
        <v>517</v>
      </c>
    </row>
    <row r="219" spans="1:6" ht="77.5" x14ac:dyDescent="0.35">
      <c r="A219" s="25" t="s">
        <v>67</v>
      </c>
      <c r="B219" s="25" t="s">
        <v>6</v>
      </c>
      <c r="C219" s="26" t="s">
        <v>68</v>
      </c>
      <c r="D219" s="27">
        <v>46294.927083333299</v>
      </c>
      <c r="E219" s="27">
        <v>46295.25</v>
      </c>
      <c r="F219" s="26" t="s">
        <v>69</v>
      </c>
    </row>
    <row r="220" spans="1:6" ht="77.5" x14ac:dyDescent="0.35">
      <c r="A220" s="25" t="s">
        <v>67</v>
      </c>
      <c r="B220" s="25" t="s">
        <v>6</v>
      </c>
      <c r="C220" s="26" t="s">
        <v>70</v>
      </c>
      <c r="D220" s="27">
        <v>46294.927083333299</v>
      </c>
      <c r="E220" s="27">
        <v>46295.25</v>
      </c>
      <c r="F220" s="26" t="s">
        <v>69</v>
      </c>
    </row>
    <row r="221" spans="1:6" ht="62" x14ac:dyDescent="0.35">
      <c r="A221" s="25" t="s">
        <v>67</v>
      </c>
      <c r="B221" s="25" t="s">
        <v>2</v>
      </c>
      <c r="C221" s="26" t="s">
        <v>548</v>
      </c>
      <c r="D221" s="27">
        <v>46294.875</v>
      </c>
      <c r="E221" s="27">
        <v>46295.25</v>
      </c>
      <c r="F221" s="26" t="s">
        <v>549</v>
      </c>
    </row>
    <row r="222" spans="1:6" ht="77.5" x14ac:dyDescent="0.35">
      <c r="A222" s="25" t="s">
        <v>540</v>
      </c>
      <c r="B222" s="25" t="s">
        <v>2</v>
      </c>
      <c r="C222" s="26" t="s">
        <v>541</v>
      </c>
      <c r="D222" s="27">
        <v>46294.875</v>
      </c>
      <c r="E222" s="27">
        <v>46295.25</v>
      </c>
      <c r="F222" s="26" t="s">
        <v>542</v>
      </c>
    </row>
    <row r="223" spans="1:6" ht="77.5" x14ac:dyDescent="0.35">
      <c r="A223" s="25" t="s">
        <v>540</v>
      </c>
      <c r="B223" s="25" t="s">
        <v>6</v>
      </c>
      <c r="C223" s="26" t="s">
        <v>550</v>
      </c>
      <c r="D223" s="27">
        <v>46294.875</v>
      </c>
      <c r="E223" s="27">
        <v>46295.25</v>
      </c>
      <c r="F223" s="26" t="s">
        <v>551</v>
      </c>
    </row>
    <row r="224" spans="1:6" ht="62" x14ac:dyDescent="0.35">
      <c r="A224" s="25" t="s">
        <v>518</v>
      </c>
      <c r="B224" s="25" t="s">
        <v>4</v>
      </c>
      <c r="C224" s="26" t="s">
        <v>519</v>
      </c>
      <c r="D224" s="27">
        <v>46294.833333333299</v>
      </c>
      <c r="E224" s="27">
        <v>46295.25</v>
      </c>
      <c r="F224" s="26" t="s">
        <v>520</v>
      </c>
    </row>
    <row r="225" spans="1:6" ht="77.5" x14ac:dyDescent="0.35">
      <c r="A225" s="25" t="s">
        <v>495</v>
      </c>
      <c r="B225" s="25" t="s">
        <v>2</v>
      </c>
      <c r="C225" s="26" t="s">
        <v>496</v>
      </c>
      <c r="D225" s="27">
        <v>46294.854166666701</v>
      </c>
      <c r="E225" s="27">
        <v>46295.25</v>
      </c>
      <c r="F225" s="26" t="s">
        <v>497</v>
      </c>
    </row>
    <row r="226" spans="1:6" ht="46.5" x14ac:dyDescent="0.35">
      <c r="A226" s="25" t="s">
        <v>495</v>
      </c>
      <c r="B226" s="25" t="s">
        <v>2</v>
      </c>
      <c r="C226" s="26" t="s">
        <v>503</v>
      </c>
      <c r="D226" s="27">
        <v>46294.916666666701</v>
      </c>
      <c r="E226" s="27">
        <v>46295.25</v>
      </c>
      <c r="F226" s="26" t="s">
        <v>504</v>
      </c>
    </row>
    <row r="227" spans="1:6" ht="93" x14ac:dyDescent="0.35">
      <c r="A227" s="25" t="s">
        <v>495</v>
      </c>
      <c r="B227" s="25" t="s">
        <v>6</v>
      </c>
      <c r="C227" s="26" t="s">
        <v>505</v>
      </c>
      <c r="D227" s="27">
        <v>46294.916666666701</v>
      </c>
      <c r="E227" s="27">
        <v>46295.25</v>
      </c>
      <c r="F227" s="26" t="s">
        <v>506</v>
      </c>
    </row>
    <row r="228" spans="1:6" ht="46.5" x14ac:dyDescent="0.35">
      <c r="A228" s="25" t="s">
        <v>495</v>
      </c>
      <c r="B228" s="25" t="s">
        <v>6</v>
      </c>
      <c r="C228" s="26" t="s">
        <v>507</v>
      </c>
      <c r="D228" s="27">
        <v>46294.875</v>
      </c>
      <c r="E228" s="27">
        <v>46295.208333333299</v>
      </c>
      <c r="F228" s="26" t="s">
        <v>508</v>
      </c>
    </row>
    <row r="229" spans="1:6" ht="46.5" x14ac:dyDescent="0.35">
      <c r="A229" s="25" t="s">
        <v>495</v>
      </c>
      <c r="B229" s="25" t="s">
        <v>6</v>
      </c>
      <c r="C229" s="26" t="s">
        <v>509</v>
      </c>
      <c r="D229" s="27">
        <v>46294.875</v>
      </c>
      <c r="E229" s="27">
        <v>46295.208333333299</v>
      </c>
      <c r="F229" s="26" t="s">
        <v>508</v>
      </c>
    </row>
    <row r="230" spans="1:6" ht="46.5" x14ac:dyDescent="0.35">
      <c r="A230" s="25" t="s">
        <v>495</v>
      </c>
      <c r="B230" s="25" t="s">
        <v>6</v>
      </c>
      <c r="C230" s="26" t="s">
        <v>510</v>
      </c>
      <c r="D230" s="27">
        <v>46294.875</v>
      </c>
      <c r="E230" s="27">
        <v>46295.208333333299</v>
      </c>
      <c r="F230" s="26" t="s">
        <v>508</v>
      </c>
    </row>
    <row r="231" spans="1:6" ht="77.5" x14ac:dyDescent="0.35">
      <c r="A231" s="25" t="s">
        <v>495</v>
      </c>
      <c r="B231" s="25" t="s">
        <v>6</v>
      </c>
      <c r="C231" s="26" t="s">
        <v>552</v>
      </c>
      <c r="D231" s="27">
        <v>46294.875</v>
      </c>
      <c r="E231" s="27">
        <v>46295.25</v>
      </c>
      <c r="F231" s="26" t="s">
        <v>551</v>
      </c>
    </row>
    <row r="232" spans="1:6" ht="46.5" x14ac:dyDescent="0.35">
      <c r="A232" s="25" t="s">
        <v>495</v>
      </c>
      <c r="B232" s="25" t="s">
        <v>2</v>
      </c>
      <c r="C232" s="26" t="s">
        <v>558</v>
      </c>
      <c r="D232" s="27">
        <v>46294.875</v>
      </c>
      <c r="E232" s="27">
        <v>46295.25</v>
      </c>
      <c r="F232" s="26" t="s">
        <v>559</v>
      </c>
    </row>
    <row r="233" spans="1:6" ht="46.5" x14ac:dyDescent="0.35">
      <c r="A233" s="25" t="s">
        <v>237</v>
      </c>
      <c r="B233" s="25" t="s">
        <v>2</v>
      </c>
      <c r="C233" s="26" t="s">
        <v>238</v>
      </c>
      <c r="D233" s="27">
        <v>46294.833333333299</v>
      </c>
      <c r="E233" s="27">
        <v>46295.25</v>
      </c>
      <c r="F233" s="26" t="s">
        <v>236</v>
      </c>
    </row>
    <row r="234" spans="1:6" ht="46.5" x14ac:dyDescent="0.35">
      <c r="A234" s="25" t="s">
        <v>237</v>
      </c>
      <c r="B234" s="25" t="s">
        <v>2</v>
      </c>
      <c r="C234" s="26" t="s">
        <v>239</v>
      </c>
      <c r="D234" s="27">
        <v>46294.833333333299</v>
      </c>
      <c r="E234" s="27">
        <v>46295.25</v>
      </c>
      <c r="F234" s="26" t="s">
        <v>236</v>
      </c>
    </row>
    <row r="235" spans="1:6" ht="46.5" x14ac:dyDescent="0.35">
      <c r="A235" s="25" t="s">
        <v>237</v>
      </c>
      <c r="B235" s="25" t="s">
        <v>2</v>
      </c>
      <c r="C235" s="26" t="s">
        <v>240</v>
      </c>
      <c r="D235" s="27">
        <v>46294.833333333299</v>
      </c>
      <c r="E235" s="27">
        <v>46295.25</v>
      </c>
      <c r="F235" s="26" t="s">
        <v>236</v>
      </c>
    </row>
    <row r="236" spans="1:6" ht="46.5" x14ac:dyDescent="0.35">
      <c r="A236" s="25" t="s">
        <v>237</v>
      </c>
      <c r="B236" s="25" t="s">
        <v>2</v>
      </c>
      <c r="C236" s="26" t="s">
        <v>241</v>
      </c>
      <c r="D236" s="27">
        <v>46294.833333333299</v>
      </c>
      <c r="E236" s="27">
        <v>46295.25</v>
      </c>
      <c r="F236" s="26" t="s">
        <v>236</v>
      </c>
    </row>
    <row r="237" spans="1:6" ht="46.5" x14ac:dyDescent="0.35">
      <c r="A237" s="25" t="s">
        <v>237</v>
      </c>
      <c r="B237" s="25" t="s">
        <v>2</v>
      </c>
      <c r="C237" s="26" t="s">
        <v>242</v>
      </c>
      <c r="D237" s="27">
        <v>46294.833333333299</v>
      </c>
      <c r="E237" s="27">
        <v>46295.25</v>
      </c>
      <c r="F237" s="26" t="s">
        <v>236</v>
      </c>
    </row>
    <row r="238" spans="1:6" ht="46.5" x14ac:dyDescent="0.35">
      <c r="A238" s="25" t="s">
        <v>237</v>
      </c>
      <c r="B238" s="25" t="s">
        <v>2</v>
      </c>
      <c r="C238" s="26" t="s">
        <v>243</v>
      </c>
      <c r="D238" s="27">
        <v>46294.833333333299</v>
      </c>
      <c r="E238" s="27">
        <v>46295.25</v>
      </c>
      <c r="F238" s="26" t="s">
        <v>236</v>
      </c>
    </row>
    <row r="239" spans="1:6" ht="62" x14ac:dyDescent="0.35">
      <c r="A239" s="25" t="s">
        <v>237</v>
      </c>
      <c r="B239" s="25" t="s">
        <v>5</v>
      </c>
      <c r="C239" s="26" t="s">
        <v>278</v>
      </c>
      <c r="D239" s="27">
        <v>46294.833333333299</v>
      </c>
      <c r="E239" s="27">
        <v>46295.208333333299</v>
      </c>
      <c r="F239" s="26" t="s">
        <v>279</v>
      </c>
    </row>
    <row r="240" spans="1:6" ht="77.5" x14ac:dyDescent="0.35">
      <c r="A240" s="25" t="s">
        <v>555</v>
      </c>
      <c r="B240" s="25" t="s">
        <v>4</v>
      </c>
      <c r="C240" s="26" t="s">
        <v>556</v>
      </c>
      <c r="D240" s="27">
        <v>46294.875</v>
      </c>
      <c r="E240" s="27">
        <v>46295.25</v>
      </c>
      <c r="F240" s="26" t="s">
        <v>557</v>
      </c>
    </row>
    <row r="241" spans="1:6" ht="46.5" x14ac:dyDescent="0.35">
      <c r="A241" s="25" t="s">
        <v>234</v>
      </c>
      <c r="B241" s="25" t="s">
        <v>5</v>
      </c>
      <c r="C241" s="26" t="s">
        <v>235</v>
      </c>
      <c r="D241" s="27">
        <v>46294.833333333299</v>
      </c>
      <c r="E241" s="27">
        <v>46295.25</v>
      </c>
      <c r="F241" s="26" t="s">
        <v>236</v>
      </c>
    </row>
    <row r="242" spans="1:6" ht="62" x14ac:dyDescent="0.35">
      <c r="A242" s="25" t="s">
        <v>234</v>
      </c>
      <c r="B242" s="25" t="s">
        <v>4</v>
      </c>
      <c r="C242" s="26" t="s">
        <v>276</v>
      </c>
      <c r="D242" s="27">
        <v>46294.875</v>
      </c>
      <c r="E242" s="27">
        <v>46295.25</v>
      </c>
      <c r="F242" s="26" t="s">
        <v>277</v>
      </c>
    </row>
    <row r="243" spans="1:6" ht="62" x14ac:dyDescent="0.35">
      <c r="A243" s="25" t="s">
        <v>234</v>
      </c>
      <c r="B243" s="25" t="s">
        <v>4</v>
      </c>
      <c r="C243" s="26" t="s">
        <v>283</v>
      </c>
      <c r="D243" s="27">
        <v>46294.875</v>
      </c>
      <c r="E243" s="27">
        <v>46295.25</v>
      </c>
      <c r="F243" s="26" t="s">
        <v>281</v>
      </c>
    </row>
    <row r="244" spans="1:6" ht="62" x14ac:dyDescent="0.35">
      <c r="A244" s="25" t="s">
        <v>234</v>
      </c>
      <c r="B244" s="25" t="s">
        <v>5</v>
      </c>
      <c r="C244" s="26" t="s">
        <v>284</v>
      </c>
      <c r="D244" s="27">
        <v>46294.875</v>
      </c>
      <c r="E244" s="27">
        <v>46295.25</v>
      </c>
      <c r="F244" s="26" t="s">
        <v>281</v>
      </c>
    </row>
    <row r="245" spans="1:6" ht="46.5" x14ac:dyDescent="0.35">
      <c r="A245" s="25" t="s">
        <v>231</v>
      </c>
      <c r="B245" s="25" t="s">
        <v>6</v>
      </c>
      <c r="C245" s="26" t="s">
        <v>232</v>
      </c>
      <c r="D245" s="27">
        <v>45804.208333333299</v>
      </c>
      <c r="E245" s="27">
        <v>46418.208333333299</v>
      </c>
      <c r="F245" s="26" t="s">
        <v>233</v>
      </c>
    </row>
    <row r="246" spans="1:6" ht="31" x14ac:dyDescent="0.35">
      <c r="A246" s="25" t="s">
        <v>231</v>
      </c>
      <c r="B246" s="25" t="s">
        <v>2</v>
      </c>
      <c r="C246" s="26" t="s">
        <v>269</v>
      </c>
      <c r="D246" s="27">
        <v>46267.833333333299</v>
      </c>
      <c r="E246" s="27">
        <v>46323.25</v>
      </c>
      <c r="F246" s="26" t="s">
        <v>270</v>
      </c>
    </row>
    <row r="247" spans="1:6" ht="62" x14ac:dyDescent="0.35">
      <c r="A247" s="25" t="s">
        <v>231</v>
      </c>
      <c r="B247" s="25" t="s">
        <v>2</v>
      </c>
      <c r="C247" s="26" t="s">
        <v>291</v>
      </c>
      <c r="D247" s="27">
        <v>46294.833333333299</v>
      </c>
      <c r="E247" s="27">
        <v>46295.25</v>
      </c>
      <c r="F247" s="26" t="s">
        <v>288</v>
      </c>
    </row>
    <row r="248" spans="1:6" ht="46.5" x14ac:dyDescent="0.35">
      <c r="A248" s="25" t="s">
        <v>231</v>
      </c>
      <c r="B248" s="25" t="s">
        <v>2</v>
      </c>
      <c r="C248" s="26" t="s">
        <v>315</v>
      </c>
      <c r="D248" s="27">
        <v>46294.875</v>
      </c>
      <c r="E248" s="27">
        <v>46295.25</v>
      </c>
      <c r="F248" s="26" t="s">
        <v>316</v>
      </c>
    </row>
    <row r="249" spans="1:6" ht="46.5" x14ac:dyDescent="0.35">
      <c r="A249" s="25" t="s">
        <v>231</v>
      </c>
      <c r="B249" s="25" t="s">
        <v>2</v>
      </c>
      <c r="C249" s="26" t="s">
        <v>317</v>
      </c>
      <c r="D249" s="27">
        <v>46294.875</v>
      </c>
      <c r="E249" s="27">
        <v>46295.25</v>
      </c>
      <c r="F249" s="26" t="s">
        <v>316</v>
      </c>
    </row>
    <row r="250" spans="1:6" ht="46.5" x14ac:dyDescent="0.35">
      <c r="A250" s="25" t="s">
        <v>231</v>
      </c>
      <c r="B250" s="25" t="s">
        <v>6</v>
      </c>
      <c r="C250" s="26" t="s">
        <v>318</v>
      </c>
      <c r="D250" s="27">
        <v>46294.875</v>
      </c>
      <c r="E250" s="27">
        <v>46295.25</v>
      </c>
      <c r="F250" s="26" t="s">
        <v>316</v>
      </c>
    </row>
    <row r="251" spans="1:6" ht="46.5" x14ac:dyDescent="0.35">
      <c r="A251" s="25" t="s">
        <v>231</v>
      </c>
      <c r="B251" s="25" t="s">
        <v>6</v>
      </c>
      <c r="C251" s="26" t="s">
        <v>319</v>
      </c>
      <c r="D251" s="27">
        <v>46294.875</v>
      </c>
      <c r="E251" s="27">
        <v>46295.25</v>
      </c>
      <c r="F251" s="26" t="s">
        <v>316</v>
      </c>
    </row>
    <row r="252" spans="1:6" ht="62" x14ac:dyDescent="0.35">
      <c r="A252" s="25" t="s">
        <v>286</v>
      </c>
      <c r="B252" s="25" t="s">
        <v>24</v>
      </c>
      <c r="C252" s="26" t="s">
        <v>287</v>
      </c>
      <c r="D252" s="27">
        <v>46294.833333333299</v>
      </c>
      <c r="E252" s="27">
        <v>46295.25</v>
      </c>
      <c r="F252" s="26" t="s">
        <v>288</v>
      </c>
    </row>
    <row r="253" spans="1:6" ht="77.5" x14ac:dyDescent="0.35">
      <c r="A253" s="25" t="s">
        <v>93</v>
      </c>
      <c r="B253" s="25" t="s">
        <v>6</v>
      </c>
      <c r="C253" s="26" t="s">
        <v>94</v>
      </c>
      <c r="D253" s="27">
        <v>46294.833333333299</v>
      </c>
      <c r="E253" s="27">
        <v>46295.25</v>
      </c>
      <c r="F253" s="26" t="s">
        <v>95</v>
      </c>
    </row>
    <row r="254" spans="1:6" ht="62" x14ac:dyDescent="0.35">
      <c r="A254" s="25" t="s">
        <v>93</v>
      </c>
      <c r="B254" s="25" t="s">
        <v>2</v>
      </c>
      <c r="C254" s="26" t="s">
        <v>280</v>
      </c>
      <c r="D254" s="27">
        <v>46294.875</v>
      </c>
      <c r="E254" s="27">
        <v>46295.25</v>
      </c>
      <c r="F254" s="26" t="s">
        <v>281</v>
      </c>
    </row>
    <row r="255" spans="1:6" ht="62" x14ac:dyDescent="0.35">
      <c r="A255" s="25" t="s">
        <v>93</v>
      </c>
      <c r="B255" s="25" t="s">
        <v>2</v>
      </c>
      <c r="C255" s="26" t="s">
        <v>282</v>
      </c>
      <c r="D255" s="27">
        <v>46294.875</v>
      </c>
      <c r="E255" s="27">
        <v>46295.25</v>
      </c>
      <c r="F255" s="26" t="s">
        <v>281</v>
      </c>
    </row>
    <row r="256" spans="1:6" ht="62" x14ac:dyDescent="0.35">
      <c r="A256" s="25" t="s">
        <v>93</v>
      </c>
      <c r="B256" s="25" t="s">
        <v>2</v>
      </c>
      <c r="C256" s="26" t="s">
        <v>285</v>
      </c>
      <c r="D256" s="27">
        <v>46294.875</v>
      </c>
      <c r="E256" s="27">
        <v>46295.25</v>
      </c>
      <c r="F256" s="26" t="s">
        <v>281</v>
      </c>
    </row>
    <row r="257" spans="1:6" ht="46.5" x14ac:dyDescent="0.35">
      <c r="A257" s="25" t="s">
        <v>93</v>
      </c>
      <c r="B257" s="25" t="s">
        <v>2</v>
      </c>
      <c r="C257" s="26" t="s">
        <v>300</v>
      </c>
      <c r="D257" s="27">
        <v>46294.833333333299</v>
      </c>
      <c r="E257" s="27">
        <v>46295.25</v>
      </c>
      <c r="F257" s="26" t="s">
        <v>301</v>
      </c>
    </row>
    <row r="258" spans="1:6" ht="46.5" x14ac:dyDescent="0.35">
      <c r="A258" s="25" t="s">
        <v>93</v>
      </c>
      <c r="B258" s="25" t="s">
        <v>2</v>
      </c>
      <c r="C258" s="26" t="s">
        <v>302</v>
      </c>
      <c r="D258" s="27">
        <v>46294.833333333299</v>
      </c>
      <c r="E258" s="27">
        <v>46295.25</v>
      </c>
      <c r="F258" s="26" t="s">
        <v>301</v>
      </c>
    </row>
    <row r="259" spans="1:6" ht="46.5" x14ac:dyDescent="0.35">
      <c r="A259" s="25" t="s">
        <v>93</v>
      </c>
      <c r="B259" s="25" t="s">
        <v>6</v>
      </c>
      <c r="C259" s="26" t="s">
        <v>306</v>
      </c>
      <c r="D259" s="27">
        <v>46294.916666666701</v>
      </c>
      <c r="E259" s="27">
        <v>46295.25</v>
      </c>
      <c r="F259" s="26" t="s">
        <v>307</v>
      </c>
    </row>
    <row r="260" spans="1:6" ht="46.5" x14ac:dyDescent="0.35">
      <c r="A260" s="25" t="s">
        <v>93</v>
      </c>
      <c r="B260" s="25" t="s">
        <v>6</v>
      </c>
      <c r="C260" s="26" t="s">
        <v>308</v>
      </c>
      <c r="D260" s="27">
        <v>46294.916666666701</v>
      </c>
      <c r="E260" s="27">
        <v>46295.25</v>
      </c>
      <c r="F260" s="26" t="s">
        <v>307</v>
      </c>
    </row>
    <row r="261" spans="1:6" ht="46.5" x14ac:dyDescent="0.35">
      <c r="A261" s="25" t="s">
        <v>93</v>
      </c>
      <c r="B261" s="25" t="s">
        <v>2</v>
      </c>
      <c r="C261" s="26" t="s">
        <v>320</v>
      </c>
      <c r="D261" s="27">
        <v>46294.833333333299</v>
      </c>
      <c r="E261" s="27">
        <v>46295.25</v>
      </c>
      <c r="F261" s="26" t="s">
        <v>321</v>
      </c>
    </row>
    <row r="262" spans="1:6" ht="62" x14ac:dyDescent="0.35">
      <c r="A262" s="25" t="s">
        <v>93</v>
      </c>
      <c r="B262" s="25" t="s">
        <v>2</v>
      </c>
      <c r="C262" s="26" t="s">
        <v>322</v>
      </c>
      <c r="D262" s="27">
        <v>46294.833333333299</v>
      </c>
      <c r="E262" s="27">
        <v>46295.25</v>
      </c>
      <c r="F262" s="26" t="s">
        <v>323</v>
      </c>
    </row>
    <row r="263" spans="1:6" ht="93" x14ac:dyDescent="0.35">
      <c r="A263" s="25" t="s">
        <v>93</v>
      </c>
      <c r="B263" s="25" t="s">
        <v>2</v>
      </c>
      <c r="C263" s="26" t="s">
        <v>524</v>
      </c>
      <c r="D263" s="27">
        <v>46294.875</v>
      </c>
      <c r="E263" s="27">
        <v>46295.25</v>
      </c>
      <c r="F263" s="26" t="s">
        <v>525</v>
      </c>
    </row>
    <row r="264" spans="1:6" ht="93" x14ac:dyDescent="0.35">
      <c r="A264" s="25" t="s">
        <v>93</v>
      </c>
      <c r="B264" s="25" t="s">
        <v>6</v>
      </c>
      <c r="C264" s="26" t="s">
        <v>526</v>
      </c>
      <c r="D264" s="27">
        <v>46294.875</v>
      </c>
      <c r="E264" s="27">
        <v>46295.25</v>
      </c>
      <c r="F264" s="26" t="s">
        <v>525</v>
      </c>
    </row>
    <row r="265" spans="1:6" ht="77.5" x14ac:dyDescent="0.35">
      <c r="A265" s="25" t="s">
        <v>93</v>
      </c>
      <c r="B265" s="25" t="s">
        <v>6</v>
      </c>
      <c r="C265" s="26" t="s">
        <v>531</v>
      </c>
      <c r="D265" s="27">
        <v>46294.875</v>
      </c>
      <c r="E265" s="27">
        <v>46295.25</v>
      </c>
      <c r="F265" s="26" t="s">
        <v>532</v>
      </c>
    </row>
    <row r="266" spans="1:6" ht="77.5" x14ac:dyDescent="0.35">
      <c r="A266" s="25" t="s">
        <v>93</v>
      </c>
      <c r="B266" s="25" t="s">
        <v>2</v>
      </c>
      <c r="C266" s="26" t="s">
        <v>533</v>
      </c>
      <c r="D266" s="27">
        <v>46294.875</v>
      </c>
      <c r="E266" s="27">
        <v>46295.25</v>
      </c>
      <c r="F266" s="26" t="s">
        <v>534</v>
      </c>
    </row>
    <row r="267" spans="1:6" ht="93" x14ac:dyDescent="0.35">
      <c r="A267" s="25" t="s">
        <v>93</v>
      </c>
      <c r="B267" s="25" t="s">
        <v>2</v>
      </c>
      <c r="C267" s="26" t="s">
        <v>553</v>
      </c>
      <c r="D267" s="27">
        <v>46294.875</v>
      </c>
      <c r="E267" s="27">
        <v>46295.25</v>
      </c>
      <c r="F267" s="26" t="s">
        <v>554</v>
      </c>
    </row>
    <row r="268" spans="1:6" ht="46.5" x14ac:dyDescent="0.35">
      <c r="A268" s="25" t="s">
        <v>250</v>
      </c>
      <c r="B268" s="25" t="s">
        <v>8</v>
      </c>
      <c r="C268" s="26" t="s">
        <v>251</v>
      </c>
      <c r="D268" s="27">
        <v>46294.875</v>
      </c>
      <c r="E268" s="27">
        <v>46295.25</v>
      </c>
      <c r="F268" s="26" t="s">
        <v>252</v>
      </c>
    </row>
    <row r="269" spans="1:6" ht="46.5" x14ac:dyDescent="0.35">
      <c r="A269" s="25" t="s">
        <v>250</v>
      </c>
      <c r="B269" s="25" t="s">
        <v>8</v>
      </c>
      <c r="C269" s="26" t="s">
        <v>259</v>
      </c>
      <c r="D269" s="27">
        <v>46294.875</v>
      </c>
      <c r="E269" s="27">
        <v>46295.25</v>
      </c>
      <c r="F269" s="26" t="s">
        <v>260</v>
      </c>
    </row>
    <row r="270" spans="1:6" ht="46.5" x14ac:dyDescent="0.35">
      <c r="A270" s="25" t="s">
        <v>250</v>
      </c>
      <c r="B270" s="25" t="s">
        <v>7</v>
      </c>
      <c r="C270" s="26" t="s">
        <v>261</v>
      </c>
      <c r="D270" s="27">
        <v>46294.875</v>
      </c>
      <c r="E270" s="27">
        <v>46295.25</v>
      </c>
      <c r="F270" s="26" t="s">
        <v>260</v>
      </c>
    </row>
    <row r="271" spans="1:6" ht="46.5" x14ac:dyDescent="0.35">
      <c r="A271" s="25" t="s">
        <v>250</v>
      </c>
      <c r="B271" s="25" t="s">
        <v>7</v>
      </c>
      <c r="C271" s="26" t="s">
        <v>271</v>
      </c>
      <c r="D271" s="27">
        <v>46294.875</v>
      </c>
      <c r="E271" s="27">
        <v>46295.25</v>
      </c>
      <c r="F271" s="26" t="s">
        <v>272</v>
      </c>
    </row>
    <row r="272" spans="1:6" ht="93" x14ac:dyDescent="0.35">
      <c r="A272" s="25" t="s">
        <v>155</v>
      </c>
      <c r="B272" s="25" t="s">
        <v>2</v>
      </c>
      <c r="C272" s="26" t="s">
        <v>156</v>
      </c>
      <c r="D272" s="27">
        <v>46294.833333333299</v>
      </c>
      <c r="E272" s="27">
        <v>46295.25</v>
      </c>
      <c r="F272" s="26" t="s">
        <v>157</v>
      </c>
    </row>
    <row r="273" spans="1:6" ht="93" x14ac:dyDescent="0.35">
      <c r="A273" s="25" t="s">
        <v>155</v>
      </c>
      <c r="B273" s="25" t="s">
        <v>2</v>
      </c>
      <c r="C273" s="26" t="s">
        <v>158</v>
      </c>
      <c r="D273" s="27">
        <v>46294.833333333299</v>
      </c>
      <c r="E273" s="27">
        <v>46295.25</v>
      </c>
      <c r="F273" s="26" t="s">
        <v>157</v>
      </c>
    </row>
    <row r="274" spans="1:6" ht="93" x14ac:dyDescent="0.35">
      <c r="A274" s="25" t="s">
        <v>155</v>
      </c>
      <c r="B274" s="25" t="s">
        <v>2</v>
      </c>
      <c r="C274" s="26" t="s">
        <v>159</v>
      </c>
      <c r="D274" s="27">
        <v>46294.833333333299</v>
      </c>
      <c r="E274" s="27">
        <v>46295.25</v>
      </c>
      <c r="F274" s="26" t="s">
        <v>157</v>
      </c>
    </row>
    <row r="275" spans="1:6" ht="93" x14ac:dyDescent="0.35">
      <c r="A275" s="25" t="s">
        <v>155</v>
      </c>
      <c r="B275" s="25" t="s">
        <v>2</v>
      </c>
      <c r="C275" s="26" t="s">
        <v>160</v>
      </c>
      <c r="D275" s="27">
        <v>46294.833333333299</v>
      </c>
      <c r="E275" s="27">
        <v>46295.25</v>
      </c>
      <c r="F275" s="26" t="s">
        <v>157</v>
      </c>
    </row>
    <row r="276" spans="1:6" ht="46.5" x14ac:dyDescent="0.35">
      <c r="A276" s="25" t="s">
        <v>267</v>
      </c>
      <c r="B276" s="25" t="s">
        <v>6</v>
      </c>
      <c r="C276" s="26" t="s">
        <v>268</v>
      </c>
      <c r="D276" s="27">
        <v>46294.875</v>
      </c>
      <c r="E276" s="27">
        <v>46295.208333333299</v>
      </c>
      <c r="F276" s="26" t="s">
        <v>264</v>
      </c>
    </row>
    <row r="277" spans="1:6" ht="46.5" x14ac:dyDescent="0.35">
      <c r="A277" s="25" t="s">
        <v>267</v>
      </c>
      <c r="B277" s="25" t="s">
        <v>6</v>
      </c>
      <c r="C277" s="26" t="s">
        <v>299</v>
      </c>
      <c r="D277" s="27">
        <v>46294.875</v>
      </c>
      <c r="E277" s="27">
        <v>46295.25</v>
      </c>
      <c r="F277" s="26" t="s">
        <v>298</v>
      </c>
    </row>
    <row r="278" spans="1:6" ht="31" x14ac:dyDescent="0.35">
      <c r="A278" s="25" t="s">
        <v>267</v>
      </c>
      <c r="B278" s="25" t="s">
        <v>2</v>
      </c>
      <c r="C278" s="26" t="s">
        <v>303</v>
      </c>
      <c r="D278" s="27">
        <v>46294.875</v>
      </c>
      <c r="E278" s="27">
        <v>46295.208333333299</v>
      </c>
      <c r="F278" s="26" t="s">
        <v>304</v>
      </c>
    </row>
    <row r="279" spans="1:6" ht="31" x14ac:dyDescent="0.35">
      <c r="A279" s="25" t="s">
        <v>267</v>
      </c>
      <c r="B279" s="25" t="s">
        <v>2</v>
      </c>
      <c r="C279" s="26" t="s">
        <v>305</v>
      </c>
      <c r="D279" s="27">
        <v>46294.875</v>
      </c>
      <c r="E279" s="27">
        <v>46295.208333333299</v>
      </c>
      <c r="F279" s="26" t="s">
        <v>304</v>
      </c>
    </row>
    <row r="280" spans="1:6" ht="46.5" x14ac:dyDescent="0.35">
      <c r="A280" s="25" t="s">
        <v>267</v>
      </c>
      <c r="B280" s="25" t="s">
        <v>6</v>
      </c>
      <c r="C280" s="26" t="s">
        <v>313</v>
      </c>
      <c r="D280" s="27">
        <v>46294.875</v>
      </c>
      <c r="E280" s="27">
        <v>46295.208333333299</v>
      </c>
      <c r="F280" s="26" t="s">
        <v>314</v>
      </c>
    </row>
    <row r="281" spans="1:6" ht="77.5" x14ac:dyDescent="0.35">
      <c r="A281" s="25" t="s">
        <v>125</v>
      </c>
      <c r="B281" s="25" t="s">
        <v>4</v>
      </c>
      <c r="C281" s="26" t="s">
        <v>126</v>
      </c>
      <c r="D281" s="27">
        <v>46290.25</v>
      </c>
      <c r="E281" s="27">
        <v>46502.25</v>
      </c>
      <c r="F281" s="26" t="s">
        <v>127</v>
      </c>
    </row>
    <row r="282" spans="1:6" ht="93" x14ac:dyDescent="0.35">
      <c r="A282" s="25" t="s">
        <v>125</v>
      </c>
      <c r="B282" s="25" t="s">
        <v>5</v>
      </c>
      <c r="C282" s="26" t="s">
        <v>148</v>
      </c>
      <c r="D282" s="27">
        <v>46294.833333333299</v>
      </c>
      <c r="E282" s="27">
        <v>46295.25</v>
      </c>
      <c r="F282" s="26" t="s">
        <v>149</v>
      </c>
    </row>
    <row r="283" spans="1:6" ht="93" x14ac:dyDescent="0.35">
      <c r="A283" s="25" t="s">
        <v>125</v>
      </c>
      <c r="B283" s="25" t="s">
        <v>5</v>
      </c>
      <c r="C283" s="26" t="s">
        <v>150</v>
      </c>
      <c r="D283" s="27">
        <v>46294.833333333299</v>
      </c>
      <c r="E283" s="27">
        <v>46295.25</v>
      </c>
      <c r="F283" s="26" t="s">
        <v>149</v>
      </c>
    </row>
    <row r="284" spans="1:6" ht="93" x14ac:dyDescent="0.35">
      <c r="A284" s="25" t="s">
        <v>125</v>
      </c>
      <c r="B284" s="25" t="s">
        <v>5</v>
      </c>
      <c r="C284" s="26" t="s">
        <v>151</v>
      </c>
      <c r="D284" s="27">
        <v>46294.833333333299</v>
      </c>
      <c r="E284" s="27">
        <v>46295.25</v>
      </c>
      <c r="F284" s="26" t="s">
        <v>149</v>
      </c>
    </row>
    <row r="285" spans="1:6" ht="93" x14ac:dyDescent="0.35">
      <c r="A285" s="25" t="s">
        <v>125</v>
      </c>
      <c r="B285" s="25" t="s">
        <v>24</v>
      </c>
      <c r="C285" s="26" t="s">
        <v>161</v>
      </c>
      <c r="D285" s="27">
        <v>46294.833333333299</v>
      </c>
      <c r="E285" s="27">
        <v>46295.25</v>
      </c>
      <c r="F285" s="26" t="s">
        <v>162</v>
      </c>
    </row>
    <row r="286" spans="1:6" ht="93" x14ac:dyDescent="0.35">
      <c r="A286" s="25" t="s">
        <v>125</v>
      </c>
      <c r="B286" s="25" t="s">
        <v>24</v>
      </c>
      <c r="C286" s="26" t="s">
        <v>163</v>
      </c>
      <c r="D286" s="27">
        <v>46294.833333333299</v>
      </c>
      <c r="E286" s="27">
        <v>46295.25</v>
      </c>
      <c r="F286" s="26" t="s">
        <v>162</v>
      </c>
    </row>
    <row r="287" spans="1:6" ht="93" x14ac:dyDescent="0.35">
      <c r="A287" s="25" t="s">
        <v>125</v>
      </c>
      <c r="B287" s="25" t="s">
        <v>5</v>
      </c>
      <c r="C287" s="26" t="s">
        <v>172</v>
      </c>
      <c r="D287" s="27">
        <v>46294.833333333299</v>
      </c>
      <c r="E287" s="27">
        <v>46295.25</v>
      </c>
      <c r="F287" s="26" t="s">
        <v>168</v>
      </c>
    </row>
    <row r="288" spans="1:6" ht="77.5" x14ac:dyDescent="0.35">
      <c r="A288" s="25" t="s">
        <v>125</v>
      </c>
      <c r="B288" s="25" t="s">
        <v>4</v>
      </c>
      <c r="C288" s="26" t="s">
        <v>178</v>
      </c>
      <c r="D288" s="27">
        <v>46294.875</v>
      </c>
      <c r="E288" s="27">
        <v>46295.25</v>
      </c>
      <c r="F288" s="26" t="s">
        <v>179</v>
      </c>
    </row>
    <row r="289" spans="1:6" ht="77.5" x14ac:dyDescent="0.35">
      <c r="A289" s="25" t="s">
        <v>125</v>
      </c>
      <c r="B289" s="25" t="s">
        <v>4</v>
      </c>
      <c r="C289" s="26" t="s">
        <v>180</v>
      </c>
      <c r="D289" s="27">
        <v>46294.875</v>
      </c>
      <c r="E289" s="27">
        <v>46295.25</v>
      </c>
      <c r="F289" s="26" t="s">
        <v>179</v>
      </c>
    </row>
    <row r="290" spans="1:6" ht="77.5" x14ac:dyDescent="0.35">
      <c r="A290" s="25" t="s">
        <v>125</v>
      </c>
      <c r="B290" s="25" t="s">
        <v>4</v>
      </c>
      <c r="C290" s="26" t="s">
        <v>181</v>
      </c>
      <c r="D290" s="27">
        <v>46294.875</v>
      </c>
      <c r="E290" s="27">
        <v>46295.25</v>
      </c>
      <c r="F290" s="26" t="s">
        <v>179</v>
      </c>
    </row>
    <row r="291" spans="1:6" ht="77.5" x14ac:dyDescent="0.35">
      <c r="A291" s="25" t="s">
        <v>125</v>
      </c>
      <c r="B291" s="25" t="s">
        <v>4</v>
      </c>
      <c r="C291" s="26" t="s">
        <v>182</v>
      </c>
      <c r="D291" s="27">
        <v>46294.875</v>
      </c>
      <c r="E291" s="27">
        <v>46295.25</v>
      </c>
      <c r="F291" s="26" t="s">
        <v>179</v>
      </c>
    </row>
    <row r="292" spans="1:6" ht="46.5" x14ac:dyDescent="0.35">
      <c r="A292" s="25" t="s">
        <v>125</v>
      </c>
      <c r="B292" s="25" t="s">
        <v>4</v>
      </c>
      <c r="C292" s="26" t="s">
        <v>253</v>
      </c>
      <c r="D292" s="27">
        <v>46294.916666666701</v>
      </c>
      <c r="E292" s="27">
        <v>46295.208333333299</v>
      </c>
      <c r="F292" s="26" t="s">
        <v>254</v>
      </c>
    </row>
    <row r="293" spans="1:6" ht="46.5" x14ac:dyDescent="0.35">
      <c r="A293" s="25" t="s">
        <v>125</v>
      </c>
      <c r="B293" s="25" t="s">
        <v>4</v>
      </c>
      <c r="C293" s="26" t="s">
        <v>255</v>
      </c>
      <c r="D293" s="27">
        <v>46294.916666666701</v>
      </c>
      <c r="E293" s="27">
        <v>46295.208333333299</v>
      </c>
      <c r="F293" s="26" t="s">
        <v>254</v>
      </c>
    </row>
    <row r="294" spans="1:6" ht="46.5" x14ac:dyDescent="0.35">
      <c r="A294" s="25" t="s">
        <v>125</v>
      </c>
      <c r="B294" s="25" t="s">
        <v>2</v>
      </c>
      <c r="C294" s="26" t="s">
        <v>256</v>
      </c>
      <c r="D294" s="27">
        <v>46294.916666666701</v>
      </c>
      <c r="E294" s="27">
        <v>46295.208333333299</v>
      </c>
      <c r="F294" s="26" t="s">
        <v>254</v>
      </c>
    </row>
    <row r="295" spans="1:6" ht="46.5" x14ac:dyDescent="0.35">
      <c r="A295" s="25" t="s">
        <v>125</v>
      </c>
      <c r="B295" s="25" t="s">
        <v>4</v>
      </c>
      <c r="C295" s="26" t="s">
        <v>257</v>
      </c>
      <c r="D295" s="27">
        <v>46294.916666666701</v>
      </c>
      <c r="E295" s="27">
        <v>46295.208333333299</v>
      </c>
      <c r="F295" s="26" t="s">
        <v>254</v>
      </c>
    </row>
    <row r="296" spans="1:6" ht="46.5" x14ac:dyDescent="0.35">
      <c r="A296" s="25" t="s">
        <v>125</v>
      </c>
      <c r="B296" s="25" t="s">
        <v>5</v>
      </c>
      <c r="C296" s="26" t="s">
        <v>258</v>
      </c>
      <c r="D296" s="27">
        <v>46294.916666666701</v>
      </c>
      <c r="E296" s="27">
        <v>46295.208333333299</v>
      </c>
      <c r="F296" s="26" t="s">
        <v>254</v>
      </c>
    </row>
    <row r="297" spans="1:6" ht="46.5" x14ac:dyDescent="0.35">
      <c r="A297" s="25" t="s">
        <v>125</v>
      </c>
      <c r="B297" s="25" t="s">
        <v>5</v>
      </c>
      <c r="C297" s="26" t="s">
        <v>312</v>
      </c>
      <c r="D297" s="27">
        <v>46294.875</v>
      </c>
      <c r="E297" s="27">
        <v>46295.25</v>
      </c>
      <c r="F297" s="26" t="s">
        <v>311</v>
      </c>
    </row>
    <row r="298" spans="1:6" ht="93" x14ac:dyDescent="0.35">
      <c r="A298" s="25" t="s">
        <v>170</v>
      </c>
      <c r="B298" s="25" t="s">
        <v>8</v>
      </c>
      <c r="C298" s="26" t="s">
        <v>171</v>
      </c>
      <c r="D298" s="27">
        <v>46294.833333333299</v>
      </c>
      <c r="E298" s="27">
        <v>46295.25</v>
      </c>
      <c r="F298" s="26" t="s">
        <v>168</v>
      </c>
    </row>
    <row r="299" spans="1:6" ht="46.5" x14ac:dyDescent="0.35">
      <c r="A299" s="25" t="s">
        <v>262</v>
      </c>
      <c r="B299" s="25" t="s">
        <v>4</v>
      </c>
      <c r="C299" s="26" t="s">
        <v>263</v>
      </c>
      <c r="D299" s="27">
        <v>46294.875</v>
      </c>
      <c r="E299" s="27">
        <v>46295.208333333299</v>
      </c>
      <c r="F299" s="26" t="s">
        <v>264</v>
      </c>
    </row>
    <row r="300" spans="1:6" ht="46.5" x14ac:dyDescent="0.35">
      <c r="A300" s="25" t="s">
        <v>262</v>
      </c>
      <c r="B300" s="25" t="s">
        <v>4</v>
      </c>
      <c r="C300" s="26" t="s">
        <v>265</v>
      </c>
      <c r="D300" s="27">
        <v>46294.875</v>
      </c>
      <c r="E300" s="27">
        <v>46295.208333333299</v>
      </c>
      <c r="F300" s="26" t="s">
        <v>264</v>
      </c>
    </row>
    <row r="301" spans="1:6" ht="46.5" x14ac:dyDescent="0.35">
      <c r="A301" s="25" t="s">
        <v>262</v>
      </c>
      <c r="B301" s="25" t="s">
        <v>4</v>
      </c>
      <c r="C301" s="26" t="s">
        <v>266</v>
      </c>
      <c r="D301" s="27">
        <v>46294.875</v>
      </c>
      <c r="E301" s="27">
        <v>46295.208333333299</v>
      </c>
      <c r="F301" s="26" t="s">
        <v>264</v>
      </c>
    </row>
    <row r="302" spans="1:6" ht="46.5" x14ac:dyDescent="0.35">
      <c r="A302" s="25" t="s">
        <v>309</v>
      </c>
      <c r="B302" s="25" t="s">
        <v>6</v>
      </c>
      <c r="C302" s="26" t="s">
        <v>310</v>
      </c>
      <c r="D302" s="27">
        <v>46294.875</v>
      </c>
      <c r="E302" s="27">
        <v>46295.25</v>
      </c>
      <c r="F302" s="26" t="s">
        <v>311</v>
      </c>
    </row>
    <row r="303" spans="1:6" ht="46.5" x14ac:dyDescent="0.35">
      <c r="A303" s="25" t="s">
        <v>244</v>
      </c>
      <c r="B303" s="25" t="s">
        <v>4</v>
      </c>
      <c r="C303" s="26" t="s">
        <v>245</v>
      </c>
      <c r="D303" s="27">
        <v>46294.833333333299</v>
      </c>
      <c r="E303" s="27">
        <v>46295.25</v>
      </c>
      <c r="F303" s="26" t="s">
        <v>246</v>
      </c>
    </row>
    <row r="304" spans="1:6" ht="46.5" x14ac:dyDescent="0.35">
      <c r="A304" s="25" t="s">
        <v>244</v>
      </c>
      <c r="B304" s="25" t="s">
        <v>4</v>
      </c>
      <c r="C304" s="26" t="s">
        <v>247</v>
      </c>
      <c r="D304" s="27">
        <v>46294.833333333299</v>
      </c>
      <c r="E304" s="27">
        <v>46295.25</v>
      </c>
      <c r="F304" s="26" t="s">
        <v>246</v>
      </c>
    </row>
    <row r="305" spans="1:6" ht="46.5" x14ac:dyDescent="0.35">
      <c r="A305" s="25" t="s">
        <v>244</v>
      </c>
      <c r="B305" s="25" t="s">
        <v>5</v>
      </c>
      <c r="C305" s="26" t="s">
        <v>248</v>
      </c>
      <c r="D305" s="27">
        <v>46294.833333333299</v>
      </c>
      <c r="E305" s="27">
        <v>46295.25</v>
      </c>
      <c r="F305" s="26" t="s">
        <v>246</v>
      </c>
    </row>
    <row r="306" spans="1:6" ht="46.5" x14ac:dyDescent="0.35">
      <c r="A306" s="25" t="s">
        <v>244</v>
      </c>
      <c r="B306" s="25" t="s">
        <v>5</v>
      </c>
      <c r="C306" s="26" t="s">
        <v>249</v>
      </c>
      <c r="D306" s="27">
        <v>46294.833333333299</v>
      </c>
      <c r="E306" s="27">
        <v>46295.25</v>
      </c>
      <c r="F306" s="26" t="s">
        <v>246</v>
      </c>
    </row>
    <row r="307" spans="1:6" ht="77.5" x14ac:dyDescent="0.35">
      <c r="A307" s="25" t="s">
        <v>535</v>
      </c>
      <c r="B307" s="25" t="s">
        <v>6</v>
      </c>
      <c r="C307" s="26" t="s">
        <v>536</v>
      </c>
      <c r="D307" s="27">
        <v>46294.875</v>
      </c>
      <c r="E307" s="27">
        <v>46295.25</v>
      </c>
      <c r="F307" s="26" t="s">
        <v>534</v>
      </c>
    </row>
  </sheetData>
  <autoFilter ref="A2:F82" xr:uid="{93B7315F-D2FC-4C0E-9F55-271D0AA7A834}">
    <sortState xmlns:xlrd2="http://schemas.microsoft.com/office/spreadsheetml/2017/richdata2" ref="A3:F307">
      <sortCondition ref="A2:A82"/>
    </sortState>
  </autoFilter>
  <mergeCells count="1">
    <mergeCell ref="A1:F1"/>
  </mergeCells>
  <conditionalFormatting sqref="A3:F307">
    <cfRule type="expression" dxfId="2" priority="1">
      <formula>$J3="Over 12 hours"</formula>
    </cfRule>
  </conditionalFormatting>
  <pageMargins left="0.7" right="0.7" top="0.75" bottom="0.75" header="0.3" footer="0.3"/>
  <pageSetup paperSize="9" orientation="portrait" horizontalDpi="90" verticalDpi="90"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03F7DD7E550E714EBBB37184DEE9042A" ma:contentTypeVersion="4" ma:contentTypeDescription="Create a new document." ma:contentTypeScope="" ma:versionID="993e41160bd79433078f1dac99c7621c">
  <xsd:schema xmlns:xsd="http://www.w3.org/2001/XMLSchema" xmlns:xs="http://www.w3.org/2001/XMLSchema" xmlns:p="http://schemas.microsoft.com/office/2006/metadata/properties" xmlns:ns2="4db06a9e-47bb-4e48-8002-f1a1cce53aab" xmlns:ns3="3add3de3-da4f-4a14-abc7-0122c5e6d5f6" targetNamespace="http://schemas.microsoft.com/office/2006/metadata/properties" ma:root="true" ma:fieldsID="c6940948c5ab8243157ce08a9de9ac0b" ns2:_="" ns3:_="">
    <xsd:import namespace="4db06a9e-47bb-4e48-8002-f1a1cce53aab"/>
    <xsd:import namespace="3add3de3-da4f-4a14-abc7-0122c5e6d5f6"/>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b06a9e-47bb-4e48-8002-f1a1cce53aa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add3de3-da4f-4a14-abc7-0122c5e6d5f6"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1C075FC-49E4-4E3E-8064-F066CAD46D1E}">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18B28E8A-E5F0-4F94-84D1-4010DF1F6BA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b06a9e-47bb-4e48-8002-f1a1cce53aab"/>
    <ds:schemaRef ds:uri="3add3de3-da4f-4a14-abc7-0122c5e6d5f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5FF2590-D718-4E2D-833D-CDB8C115C698}">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3</vt:i4>
      </vt:variant>
    </vt:vector>
  </HeadingPairs>
  <TitlesOfParts>
    <vt:vector size="12" baseType="lpstr">
      <vt:lpstr>Front page</vt:lpstr>
      <vt:lpstr>Data Listing</vt:lpstr>
      <vt:lpstr>Wednesday</vt:lpstr>
      <vt:lpstr>Thursday</vt:lpstr>
      <vt:lpstr>Friday</vt:lpstr>
      <vt:lpstr>Saturday</vt:lpstr>
      <vt:lpstr>Sunday</vt:lpstr>
      <vt:lpstr>Monday</vt:lpstr>
      <vt:lpstr>Tuesday</vt:lpstr>
      <vt:lpstr>Direction</vt:lpstr>
      <vt:lpstr>Wednesday!Print_Area</vt:lpstr>
      <vt:lpstr>Wednesday!Print_Titles</vt:lpstr>
    </vt:vector>
  </TitlesOfParts>
  <Company>Highways Agency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Matthew Sparks</dc:creator>
  <cp:lastModifiedBy>Max Lingley-Churchill</cp:lastModifiedBy>
  <cp:lastPrinted>2018-06-22T09:26:57Z</cp:lastPrinted>
  <dcterms:created xsi:type="dcterms:W3CDTF">2018-05-14T11:33:39Z</dcterms:created>
  <dcterms:modified xsi:type="dcterms:W3CDTF">2026-09-23T14:19:18Z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0x010100245106A6FB05E5439A2F0D1B69EDED6F</vt:lpwstr>
  </property>
</Properties>
</file>